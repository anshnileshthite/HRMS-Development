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Company Data\DC&amp;T\Gemshine Aug 26 Attendance ,Bill ,Invoice\"/>
    </mc:Choice>
  </mc:AlternateContent>
  <xr:revisionPtr revIDLastSave="0" documentId="13_ncr:1_{2CDC9173-65A5-4385-8B75-C4C2432BC06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ages Sheet 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'Wages Sheet '!$A$1:$AV$55</definedName>
    <definedName name="_xlnm.Print_Area" localSheetId="0">'Wages Sheet '!$A$1:$AV$65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3" i="1" l="1"/>
  <c r="E52" i="1"/>
  <c r="E51" i="1"/>
  <c r="E50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AL54" i="1"/>
  <c r="AE53" i="1"/>
  <c r="AB53" i="1"/>
  <c r="W53" i="1"/>
  <c r="P53" i="1"/>
  <c r="AA53" i="1" s="1"/>
  <c r="AE52" i="1"/>
  <c r="AB52" i="1"/>
  <c r="W52" i="1"/>
  <c r="P52" i="1"/>
  <c r="AA52" i="1" s="1"/>
  <c r="AE51" i="1"/>
  <c r="AB51" i="1"/>
  <c r="W51" i="1"/>
  <c r="Z51" i="1" s="1"/>
  <c r="P51" i="1"/>
  <c r="S51" i="1" s="1"/>
  <c r="AE50" i="1"/>
  <c r="AB50" i="1"/>
  <c r="W50" i="1"/>
  <c r="Y50" i="1" s="1"/>
  <c r="P50" i="1"/>
  <c r="S50" i="1" s="1"/>
  <c r="Y52" i="1" l="1"/>
  <c r="Z52" i="1"/>
  <c r="Z50" i="1"/>
  <c r="AG50" i="1" s="1"/>
  <c r="AC54" i="1"/>
  <c r="S52" i="1"/>
  <c r="Y53" i="1"/>
  <c r="Z53" i="1"/>
  <c r="S53" i="1"/>
  <c r="Y51" i="1"/>
  <c r="AO52" i="1" l="1"/>
  <c r="AD52" i="1"/>
  <c r="AF52" i="1" s="1"/>
  <c r="AI52" i="1" s="1"/>
  <c r="AP52" i="1"/>
  <c r="AG52" i="1"/>
  <c r="AD50" i="1"/>
  <c r="AF50" i="1" s="1"/>
  <c r="AS50" i="1" s="1"/>
  <c r="AO50" i="1"/>
  <c r="AP50" i="1"/>
  <c r="AP53" i="1"/>
  <c r="AG53" i="1"/>
  <c r="AO53" i="1"/>
  <c r="AD53" i="1"/>
  <c r="AF53" i="1" s="1"/>
  <c r="AO51" i="1"/>
  <c r="AD51" i="1"/>
  <c r="AF51" i="1" s="1"/>
  <c r="AG51" i="1"/>
  <c r="AP51" i="1"/>
  <c r="AS52" i="1" l="1"/>
  <c r="AI50" i="1"/>
  <c r="AH52" i="1"/>
  <c r="AM52" i="1" s="1"/>
  <c r="AN52" i="1" s="1"/>
  <c r="AQ52" i="1"/>
  <c r="AH50" i="1"/>
  <c r="AQ50" i="1"/>
  <c r="AT50" i="1" s="1"/>
  <c r="AU50" i="1" s="1"/>
  <c r="AV50" i="1" s="1"/>
  <c r="AI53" i="1"/>
  <c r="AH53" i="1"/>
  <c r="AS53" i="1"/>
  <c r="AQ53" i="1"/>
  <c r="AH51" i="1"/>
  <c r="AQ51" i="1"/>
  <c r="AS51" i="1"/>
  <c r="AI51" i="1"/>
  <c r="AM53" i="1" l="1"/>
  <c r="AN53" i="1" s="1"/>
  <c r="AT52" i="1"/>
  <c r="AU52" i="1" s="1"/>
  <c r="AV52" i="1" s="1"/>
  <c r="AM50" i="1"/>
  <c r="AN50" i="1" s="1"/>
  <c r="AT53" i="1"/>
  <c r="AT51" i="1"/>
  <c r="AU51" i="1" s="1"/>
  <c r="AV51" i="1" s="1"/>
  <c r="AJ54" i="1"/>
  <c r="AM51" i="1"/>
  <c r="AN51" i="1" s="1"/>
  <c r="AU53" i="1"/>
  <c r="AV53" i="1" s="1"/>
  <c r="AR54" i="1" l="1"/>
  <c r="AE49" i="1"/>
  <c r="V49" i="1"/>
  <c r="W49" i="1" s="1"/>
  <c r="P49" i="1"/>
  <c r="AE48" i="1"/>
  <c r="V48" i="1"/>
  <c r="U48" i="1"/>
  <c r="P48" i="1"/>
  <c r="S48" i="1" s="1"/>
  <c r="AE47" i="1"/>
  <c r="V47" i="1"/>
  <c r="W47" i="1" s="1"/>
  <c r="P47" i="1"/>
  <c r="S47" i="1" s="1"/>
  <c r="AE45" i="1"/>
  <c r="AB45" i="1"/>
  <c r="W45" i="1"/>
  <c r="Y45" i="1" s="1"/>
  <c r="S45" i="1"/>
  <c r="W48" i="1" l="1"/>
  <c r="AB48" i="1" s="1"/>
  <c r="AA47" i="1"/>
  <c r="AA49" i="1"/>
  <c r="AB47" i="1"/>
  <c r="AK47" i="1"/>
  <c r="Z47" i="1"/>
  <c r="Y47" i="1"/>
  <c r="AB49" i="1"/>
  <c r="AK49" i="1"/>
  <c r="Z49" i="1"/>
  <c r="Y49" i="1"/>
  <c r="S49" i="1"/>
  <c r="AA45" i="1"/>
  <c r="Z45" i="1"/>
  <c r="AG45" i="1" s="1"/>
  <c r="AK48" i="1" l="1"/>
  <c r="Y48" i="1"/>
  <c r="AA48" i="1"/>
  <c r="Z48" i="1"/>
  <c r="AD47" i="1"/>
  <c r="AF47" i="1" s="1"/>
  <c r="AP47" i="1"/>
  <c r="AG47" i="1"/>
  <c r="AO47" i="1"/>
  <c r="AD49" i="1"/>
  <c r="AF49" i="1" s="1"/>
  <c r="AO49" i="1"/>
  <c r="AG49" i="1"/>
  <c r="AP49" i="1"/>
  <c r="AO45" i="1"/>
  <c r="AP45" i="1"/>
  <c r="AD45" i="1"/>
  <c r="AF45" i="1" s="1"/>
  <c r="AI45" i="1" s="1"/>
  <c r="AD48" i="1" l="1"/>
  <c r="AF48" i="1" s="1"/>
  <c r="AH48" i="1" s="1"/>
  <c r="AP48" i="1"/>
  <c r="AG48" i="1"/>
  <c r="AO48" i="1"/>
  <c r="AI49" i="1"/>
  <c r="AS49" i="1"/>
  <c r="AH49" i="1"/>
  <c r="AQ49" i="1"/>
  <c r="AI47" i="1"/>
  <c r="AQ47" i="1"/>
  <c r="AS47" i="1"/>
  <c r="AH47" i="1"/>
  <c r="AS45" i="1"/>
  <c r="AH45" i="1"/>
  <c r="AM45" i="1" s="1"/>
  <c r="AN45" i="1" s="1"/>
  <c r="AQ45" i="1"/>
  <c r="AI48" i="1" l="1"/>
  <c r="AM48" i="1" s="1"/>
  <c r="AN48" i="1" s="1"/>
  <c r="AM49" i="1"/>
  <c r="AN49" i="1" s="1"/>
  <c r="AS48" i="1"/>
  <c r="AQ48" i="1"/>
  <c r="AT45" i="1"/>
  <c r="AU45" i="1" s="1"/>
  <c r="AV45" i="1" s="1"/>
  <c r="AT49" i="1"/>
  <c r="AU49" i="1" s="1"/>
  <c r="AV49" i="1" s="1"/>
  <c r="AT47" i="1"/>
  <c r="AU47" i="1" s="1"/>
  <c r="AV47" i="1" s="1"/>
  <c r="AM47" i="1"/>
  <c r="AN47" i="1" s="1"/>
  <c r="X44" i="1"/>
  <c r="AE44" i="1" s="1"/>
  <c r="X43" i="1"/>
  <c r="AE43" i="1" s="1"/>
  <c r="X42" i="1"/>
  <c r="AE42" i="1" s="1"/>
  <c r="X41" i="1"/>
  <c r="AE41" i="1" s="1"/>
  <c r="X40" i="1"/>
  <c r="AE40" i="1" s="1"/>
  <c r="X39" i="1"/>
  <c r="AE39" i="1" s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P35" i="1"/>
  <c r="S35" i="1" s="1"/>
  <c r="P44" i="1"/>
  <c r="P43" i="1"/>
  <c r="S43" i="1" s="1"/>
  <c r="P42" i="1"/>
  <c r="S42" i="1" s="1"/>
  <c r="P41" i="1"/>
  <c r="S41" i="1" s="1"/>
  <c r="P40" i="1"/>
  <c r="S40" i="1" s="1"/>
  <c r="P39" i="1"/>
  <c r="P38" i="1"/>
  <c r="S38" i="1" s="1"/>
  <c r="P37" i="1"/>
  <c r="S37" i="1" s="1"/>
  <c r="P36" i="1"/>
  <c r="S36" i="1" s="1"/>
  <c r="P34" i="1"/>
  <c r="S34" i="1" s="1"/>
  <c r="P33" i="1"/>
  <c r="S33" i="1" s="1"/>
  <c r="P32" i="1"/>
  <c r="S32" i="1" s="1"/>
  <c r="P31" i="1"/>
  <c r="S31" i="1" s="1"/>
  <c r="P30" i="1"/>
  <c r="S30" i="1" s="1"/>
  <c r="P29" i="1"/>
  <c r="S29" i="1" s="1"/>
  <c r="P28" i="1"/>
  <c r="S28" i="1" s="1"/>
  <c r="P27" i="1"/>
  <c r="S27" i="1" s="1"/>
  <c r="P26" i="1"/>
  <c r="S26" i="1" s="1"/>
  <c r="P25" i="1"/>
  <c r="S25" i="1" s="1"/>
  <c r="P24" i="1"/>
  <c r="S24" i="1" s="1"/>
  <c r="P23" i="1"/>
  <c r="S23" i="1" s="1"/>
  <c r="P22" i="1"/>
  <c r="S22" i="1" s="1"/>
  <c r="P21" i="1"/>
  <c r="S21" i="1" s="1"/>
  <c r="P20" i="1"/>
  <c r="S20" i="1" s="1"/>
  <c r="P19" i="1"/>
  <c r="S19" i="1" s="1"/>
  <c r="P18" i="1"/>
  <c r="S18" i="1" s="1"/>
  <c r="P17" i="1"/>
  <c r="S17" i="1" s="1"/>
  <c r="P16" i="1"/>
  <c r="S16" i="1" s="1"/>
  <c r="P15" i="1"/>
  <c r="S15" i="1" s="1"/>
  <c r="P14" i="1"/>
  <c r="S14" i="1" s="1"/>
  <c r="P13" i="1"/>
  <c r="S13" i="1" s="1"/>
  <c r="P12" i="1"/>
  <c r="S12" i="1" s="1"/>
  <c r="P11" i="1"/>
  <c r="S11" i="1" s="1"/>
  <c r="P10" i="1"/>
  <c r="S10" i="1" s="1"/>
  <c r="P9" i="1"/>
  <c r="S9" i="1" s="1"/>
  <c r="P8" i="1"/>
  <c r="S8" i="1" s="1"/>
  <c r="P7" i="1"/>
  <c r="S7" i="1" s="1"/>
  <c r="P6" i="1"/>
  <c r="S6" i="1" s="1"/>
  <c r="P5" i="1"/>
  <c r="S5" i="1" s="1"/>
  <c r="P4" i="1"/>
  <c r="S4" i="1" s="1"/>
  <c r="AT48" i="1" l="1"/>
  <c r="AU48" i="1" s="1"/>
  <c r="AV48" i="1" s="1"/>
  <c r="U54" i="1"/>
  <c r="V54" i="1"/>
  <c r="X54" i="1"/>
  <c r="W42" i="1"/>
  <c r="W39" i="1"/>
  <c r="W40" i="1"/>
  <c r="Z40" i="1" s="1"/>
  <c r="W43" i="1"/>
  <c r="W41" i="1"/>
  <c r="W44" i="1"/>
  <c r="S39" i="1"/>
  <c r="S44" i="1"/>
  <c r="AA40" i="1" l="1"/>
  <c r="Y40" i="1"/>
  <c r="AP40" i="1" s="1"/>
  <c r="Z44" i="1"/>
  <c r="AB44" i="1"/>
  <c r="AK43" i="1"/>
  <c r="AB43" i="1"/>
  <c r="Y41" i="1"/>
  <c r="AB41" i="1"/>
  <c r="AK40" i="1"/>
  <c r="AB40" i="1"/>
  <c r="Y39" i="1"/>
  <c r="AB39" i="1"/>
  <c r="Z42" i="1"/>
  <c r="AB42" i="1"/>
  <c r="AA42" i="1"/>
  <c r="AK39" i="1"/>
  <c r="Z39" i="1"/>
  <c r="Y42" i="1"/>
  <c r="AK42" i="1"/>
  <c r="AA39" i="1"/>
  <c r="AA43" i="1"/>
  <c r="Z43" i="1"/>
  <c r="AA41" i="1"/>
  <c r="Z41" i="1"/>
  <c r="AK44" i="1"/>
  <c r="AA44" i="1"/>
  <c r="Y43" i="1"/>
  <c r="Y44" i="1"/>
  <c r="AK41" i="1"/>
  <c r="AD40" i="1" l="1"/>
  <c r="AF40" i="1" s="1"/>
  <c r="AG40" i="1"/>
  <c r="AO40" i="1"/>
  <c r="AG42" i="1"/>
  <c r="AG44" i="1"/>
  <c r="AG39" i="1"/>
  <c r="AP39" i="1"/>
  <c r="AD42" i="1"/>
  <c r="AF42" i="1" s="1"/>
  <c r="AS42" i="1" s="1"/>
  <c r="AD43" i="1"/>
  <c r="AF43" i="1" s="1"/>
  <c r="AS43" i="1" s="1"/>
  <c r="AP41" i="1"/>
  <c r="AD44" i="1"/>
  <c r="AF44" i="1" s="1"/>
  <c r="AI44" i="1" s="1"/>
  <c r="AD41" i="1"/>
  <c r="AF41" i="1" s="1"/>
  <c r="AS41" i="1" s="1"/>
  <c r="AP42" i="1"/>
  <c r="AD39" i="1"/>
  <c r="AF39" i="1" s="1"/>
  <c r="AO42" i="1"/>
  <c r="AO39" i="1"/>
  <c r="AG41" i="1"/>
  <c r="AO41" i="1"/>
  <c r="AP43" i="1"/>
  <c r="AP44" i="1"/>
  <c r="AO44" i="1"/>
  <c r="AG43" i="1"/>
  <c r="AO43" i="1"/>
  <c r="AI40" i="1"/>
  <c r="AS40" i="1"/>
  <c r="AH40" i="1"/>
  <c r="AQ40" i="1"/>
  <c r="AI39" i="1" l="1"/>
  <c r="AS39" i="1"/>
  <c r="AH39" i="1"/>
  <c r="AQ39" i="1"/>
  <c r="AI42" i="1"/>
  <c r="AH41" i="1"/>
  <c r="AQ42" i="1"/>
  <c r="AT42" i="1" s="1"/>
  <c r="AU42" i="1" s="1"/>
  <c r="AV42" i="1" s="1"/>
  <c r="AH42" i="1"/>
  <c r="AQ41" i="1"/>
  <c r="AT41" i="1" s="1"/>
  <c r="AU41" i="1" s="1"/>
  <c r="AV41" i="1" s="1"/>
  <c r="AI41" i="1"/>
  <c r="AQ43" i="1"/>
  <c r="AT43" i="1" s="1"/>
  <c r="AU43" i="1" s="1"/>
  <c r="AV43" i="1" s="1"/>
  <c r="AH44" i="1"/>
  <c r="AM44" i="1" s="1"/>
  <c r="AN44" i="1" s="1"/>
  <c r="AH43" i="1"/>
  <c r="AI43" i="1"/>
  <c r="AQ44" i="1"/>
  <c r="AS44" i="1"/>
  <c r="AM40" i="1"/>
  <c r="AN40" i="1" s="1"/>
  <c r="AT40" i="1"/>
  <c r="AU40" i="1" s="1"/>
  <c r="AV40" i="1" s="1"/>
  <c r="AM42" i="1" l="1"/>
  <c r="AN42" i="1" s="1"/>
  <c r="AT39" i="1"/>
  <c r="AU39" i="1" s="1"/>
  <c r="AV39" i="1" s="1"/>
  <c r="AM43" i="1"/>
  <c r="AN43" i="1" s="1"/>
  <c r="AM39" i="1"/>
  <c r="AN39" i="1" s="1"/>
  <c r="AM41" i="1"/>
  <c r="AN41" i="1" s="1"/>
  <c r="AT44" i="1"/>
  <c r="AU44" i="1" s="1"/>
  <c r="AV44" i="1" s="1"/>
  <c r="W35" i="1"/>
  <c r="W30" i="1"/>
  <c r="W27" i="1"/>
  <c r="W19" i="1"/>
  <c r="W14" i="1"/>
  <c r="W12" i="1"/>
  <c r="AB12" i="1" s="1"/>
  <c r="W11" i="1"/>
  <c r="W34" i="1"/>
  <c r="W24" i="1"/>
  <c r="W16" i="1"/>
  <c r="W8" i="1"/>
  <c r="W5" i="1"/>
  <c r="AE35" i="1"/>
  <c r="AE38" i="1"/>
  <c r="AE36" i="1"/>
  <c r="AE34" i="1"/>
  <c r="AE33" i="1"/>
  <c r="W31" i="1"/>
  <c r="W26" i="1"/>
  <c r="AB26" i="1" s="1"/>
  <c r="W23" i="1"/>
  <c r="W22" i="1"/>
  <c r="W18" i="1"/>
  <c r="W15" i="1"/>
  <c r="W10" i="1"/>
  <c r="W7" i="1"/>
  <c r="W6" i="1"/>
  <c r="W32" i="1"/>
  <c r="AB32" i="1" s="1"/>
  <c r="AE37" i="1"/>
  <c r="Z19" i="1" l="1"/>
  <c r="AB19" i="1"/>
  <c r="AK27" i="1"/>
  <c r="AB27" i="1"/>
  <c r="AK5" i="1"/>
  <c r="AB5" i="1"/>
  <c r="Z8" i="1"/>
  <c r="AB8" i="1"/>
  <c r="AK31" i="1"/>
  <c r="AB31" i="1"/>
  <c r="Z16" i="1"/>
  <c r="AB16" i="1"/>
  <c r="AK7" i="1"/>
  <c r="AB7" i="1"/>
  <c r="AK35" i="1"/>
  <c r="AB35" i="1"/>
  <c r="Y18" i="1"/>
  <c r="AB18" i="1"/>
  <c r="AK22" i="1"/>
  <c r="AB22" i="1"/>
  <c r="AK14" i="1"/>
  <c r="AB14" i="1"/>
  <c r="Y23" i="1"/>
  <c r="AB23" i="1"/>
  <c r="Z30" i="1"/>
  <c r="AB30" i="1"/>
  <c r="Z6" i="1"/>
  <c r="AB6" i="1"/>
  <c r="Z24" i="1"/>
  <c r="AB24" i="1"/>
  <c r="Z10" i="1"/>
  <c r="AB10" i="1"/>
  <c r="AK34" i="1"/>
  <c r="AB34" i="1"/>
  <c r="Z15" i="1"/>
  <c r="AB15" i="1"/>
  <c r="Y11" i="1"/>
  <c r="AB11" i="1"/>
  <c r="Z32" i="1"/>
  <c r="AK32" i="1"/>
  <c r="Y26" i="1"/>
  <c r="AK26" i="1"/>
  <c r="W36" i="1"/>
  <c r="AB36" i="1" s="1"/>
  <c r="W28" i="1"/>
  <c r="Z12" i="1"/>
  <c r="AK12" i="1"/>
  <c r="AK16" i="1"/>
  <c r="W20" i="1"/>
  <c r="Z14" i="1"/>
  <c r="W13" i="1"/>
  <c r="W21" i="1"/>
  <c r="W29" i="1"/>
  <c r="W37" i="1"/>
  <c r="W38" i="1"/>
  <c r="W33" i="1"/>
  <c r="AB33" i="1" s="1"/>
  <c r="W9" i="1"/>
  <c r="W17" i="1"/>
  <c r="W25" i="1"/>
  <c r="W4" i="1"/>
  <c r="AK11" i="1"/>
  <c r="AA34" i="1"/>
  <c r="Z18" i="1"/>
  <c r="Z34" i="1"/>
  <c r="Z26" i="1"/>
  <c r="Y34" i="1"/>
  <c r="AK10" i="1"/>
  <c r="Y12" i="1"/>
  <c r="Y16" i="1"/>
  <c r="Y24" i="1"/>
  <c r="Y32" i="1"/>
  <c r="Y5" i="1"/>
  <c r="AA32" i="1"/>
  <c r="Y6" i="1"/>
  <c r="AK6" i="1"/>
  <c r="Y10" i="1"/>
  <c r="Y14" i="1"/>
  <c r="Y22" i="1"/>
  <c r="Y30" i="1"/>
  <c r="AK8" i="1"/>
  <c r="AK30" i="1"/>
  <c r="AA35" i="1"/>
  <c r="Z22" i="1"/>
  <c r="Y8" i="1"/>
  <c r="Y15" i="1"/>
  <c r="Y19" i="1"/>
  <c r="Y27" i="1"/>
  <c r="Y31" i="1"/>
  <c r="Y35" i="1"/>
  <c r="Z5" i="1"/>
  <c r="Z7" i="1"/>
  <c r="Z11" i="1"/>
  <c r="Z23" i="1"/>
  <c r="Z27" i="1"/>
  <c r="Z31" i="1"/>
  <c r="Z35" i="1"/>
  <c r="Y7" i="1"/>
  <c r="AE32" i="1"/>
  <c r="AE31" i="1"/>
  <c r="AA31" i="1"/>
  <c r="AE30" i="1"/>
  <c r="AA30" i="1"/>
  <c r="AE29" i="1"/>
  <c r="AE28" i="1"/>
  <c r="AE27" i="1"/>
  <c r="AA27" i="1"/>
  <c r="AE26" i="1"/>
  <c r="AA26" i="1"/>
  <c r="AE25" i="1"/>
  <c r="AE24" i="1"/>
  <c r="AA24" i="1"/>
  <c r="AE23" i="1"/>
  <c r="AA23" i="1"/>
  <c r="AE22" i="1"/>
  <c r="AA22" i="1"/>
  <c r="AE21" i="1"/>
  <c r="AE20" i="1"/>
  <c r="AE19" i="1"/>
  <c r="AA19" i="1"/>
  <c r="AE18" i="1"/>
  <c r="AA18" i="1"/>
  <c r="AE17" i="1"/>
  <c r="AE16" i="1"/>
  <c r="AA16" i="1"/>
  <c r="AE15" i="1"/>
  <c r="AA15" i="1"/>
  <c r="AE14" i="1"/>
  <c r="AA14" i="1"/>
  <c r="AE13" i="1"/>
  <c r="AE12" i="1"/>
  <c r="AA12" i="1"/>
  <c r="AE11" i="1"/>
  <c r="AA11" i="1"/>
  <c r="AE10" i="1"/>
  <c r="AA10" i="1"/>
  <c r="AE9" i="1"/>
  <c r="AE8" i="1"/>
  <c r="AA8" i="1"/>
  <c r="AE7" i="1"/>
  <c r="AA7" i="1"/>
  <c r="AE6" i="1"/>
  <c r="AA6" i="1"/>
  <c r="AE5" i="1"/>
  <c r="AA5" i="1"/>
  <c r="W54" i="1" l="1"/>
  <c r="AD32" i="1"/>
  <c r="AK4" i="1"/>
  <c r="AD14" i="1"/>
  <c r="AD15" i="1"/>
  <c r="AD12" i="1"/>
  <c r="AD26" i="1"/>
  <c r="Z29" i="1"/>
  <c r="AB29" i="1"/>
  <c r="Y21" i="1"/>
  <c r="AB21" i="1"/>
  <c r="AD22" i="1"/>
  <c r="Z37" i="1"/>
  <c r="AB37" i="1"/>
  <c r="Z25" i="1"/>
  <c r="AB25" i="1"/>
  <c r="Z13" i="1"/>
  <c r="AB13" i="1"/>
  <c r="AD34" i="1"/>
  <c r="AF34" i="1" s="1"/>
  <c r="AD27" i="1"/>
  <c r="AD6" i="1"/>
  <c r="Z17" i="1"/>
  <c r="AB17" i="1"/>
  <c r="AD18" i="1"/>
  <c r="AD16" i="1"/>
  <c r="AD7" i="1"/>
  <c r="AK9" i="1"/>
  <c r="AB9" i="1"/>
  <c r="Z20" i="1"/>
  <c r="AB20" i="1"/>
  <c r="AD10" i="1"/>
  <c r="AD19" i="1"/>
  <c r="AD8" i="1"/>
  <c r="AK28" i="1"/>
  <c r="AB28" i="1"/>
  <c r="AD31" i="1"/>
  <c r="AD5" i="1"/>
  <c r="AD35" i="1"/>
  <c r="AD30" i="1"/>
  <c r="AK38" i="1"/>
  <c r="AB38" i="1"/>
  <c r="AD11" i="1"/>
  <c r="AD24" i="1"/>
  <c r="AD23" i="1"/>
  <c r="AB4" i="1"/>
  <c r="Z36" i="1"/>
  <c r="AK36" i="1"/>
  <c r="Y33" i="1"/>
  <c r="AK33" i="1"/>
  <c r="Y38" i="1"/>
  <c r="Z38" i="1"/>
  <c r="AA36" i="1"/>
  <c r="Y36" i="1"/>
  <c r="AA38" i="1"/>
  <c r="AK21" i="1"/>
  <c r="AA21" i="1"/>
  <c r="Z21" i="1"/>
  <c r="Z28" i="1"/>
  <c r="Z9" i="1"/>
  <c r="AA28" i="1"/>
  <c r="AA4" i="1"/>
  <c r="Y28" i="1"/>
  <c r="AA13" i="1"/>
  <c r="AA9" i="1"/>
  <c r="AA37" i="1"/>
  <c r="AA20" i="1"/>
  <c r="AK25" i="1"/>
  <c r="AK37" i="1"/>
  <c r="Z33" i="1"/>
  <c r="AA17" i="1"/>
  <c r="AA25" i="1"/>
  <c r="AA29" i="1"/>
  <c r="Y20" i="1"/>
  <c r="Y37" i="1"/>
  <c r="AK29" i="1"/>
  <c r="Y9" i="1"/>
  <c r="Y13" i="1"/>
  <c r="Y25" i="1"/>
  <c r="AA33" i="1"/>
  <c r="Y29" i="1"/>
  <c r="AK20" i="1"/>
  <c r="Y4" i="1"/>
  <c r="Y17" i="1"/>
  <c r="Z4" i="1"/>
  <c r="AP35" i="1"/>
  <c r="AF35" i="1"/>
  <c r="AS35" i="1" s="1"/>
  <c r="AO35" i="1"/>
  <c r="AG35" i="1"/>
  <c r="AG34" i="1"/>
  <c r="AP34" i="1"/>
  <c r="AO34" i="1"/>
  <c r="AG10" i="1"/>
  <c r="AE4" i="1"/>
  <c r="AE54" i="1" s="1"/>
  <c r="AA54" i="1" l="1"/>
  <c r="AB54" i="1"/>
  <c r="Z54" i="1"/>
  <c r="Y54" i="1"/>
  <c r="AD33" i="1"/>
  <c r="AF33" i="1" s="1"/>
  <c r="AQ33" i="1" s="1"/>
  <c r="AD38" i="1"/>
  <c r="AF38" i="1" s="1"/>
  <c r="AD29" i="1"/>
  <c r="AD36" i="1"/>
  <c r="AF36" i="1" s="1"/>
  <c r="AS36" i="1" s="1"/>
  <c r="AD17" i="1"/>
  <c r="AD20" i="1"/>
  <c r="AD9" i="1"/>
  <c r="AF9" i="1" s="1"/>
  <c r="AG37" i="1"/>
  <c r="AD37" i="1"/>
  <c r="AF37" i="1" s="1"/>
  <c r="AI37" i="1" s="1"/>
  <c r="AD28" i="1"/>
  <c r="AD21" i="1"/>
  <c r="AD13" i="1"/>
  <c r="AD25" i="1"/>
  <c r="AD4" i="1"/>
  <c r="AO33" i="1"/>
  <c r="AP36" i="1"/>
  <c r="AP38" i="1"/>
  <c r="AG36" i="1"/>
  <c r="AO38" i="1"/>
  <c r="AO36" i="1"/>
  <c r="AG38" i="1"/>
  <c r="AP33" i="1"/>
  <c r="AG33" i="1"/>
  <c r="AP37" i="1"/>
  <c r="AO37" i="1"/>
  <c r="AI35" i="1"/>
  <c r="AH35" i="1"/>
  <c r="AQ35" i="1"/>
  <c r="AT35" i="1" s="1"/>
  <c r="AU35" i="1" s="1"/>
  <c r="AV35" i="1" s="1"/>
  <c r="AI34" i="1"/>
  <c r="AS34" i="1"/>
  <c r="AH34" i="1"/>
  <c r="AQ34" i="1"/>
  <c r="AF7" i="1"/>
  <c r="AF10" i="1"/>
  <c r="AQ10" i="1" s="1"/>
  <c r="AO10" i="1"/>
  <c r="AP10" i="1"/>
  <c r="AG8" i="1"/>
  <c r="AP8" i="1"/>
  <c r="AF8" i="1"/>
  <c r="AO8" i="1"/>
  <c r="AK19" i="1"/>
  <c r="AK18" i="1"/>
  <c r="AK24" i="1"/>
  <c r="AK23" i="1"/>
  <c r="AP7" i="1"/>
  <c r="AO7" i="1"/>
  <c r="AG7" i="1"/>
  <c r="AK17" i="1"/>
  <c r="AP5" i="1"/>
  <c r="AO5" i="1"/>
  <c r="AF5" i="1"/>
  <c r="AG5" i="1"/>
  <c r="AG32" i="1"/>
  <c r="AP32" i="1"/>
  <c r="AO32" i="1"/>
  <c r="AF32" i="1"/>
  <c r="AO9" i="1"/>
  <c r="AP9" i="1"/>
  <c r="AG9" i="1"/>
  <c r="AP6" i="1"/>
  <c r="AG6" i="1"/>
  <c r="AO6" i="1"/>
  <c r="AF6" i="1"/>
  <c r="AK13" i="1"/>
  <c r="AK15" i="1"/>
  <c r="AK54" i="1" l="1"/>
  <c r="AD54" i="1"/>
  <c r="AH36" i="1"/>
  <c r="AI36" i="1"/>
  <c r="AQ36" i="1"/>
  <c r="AT36" i="1" s="1"/>
  <c r="AU36" i="1" s="1"/>
  <c r="AV36" i="1" s="1"/>
  <c r="AQ37" i="1"/>
  <c r="AH37" i="1"/>
  <c r="AM37" i="1" s="1"/>
  <c r="AN37" i="1" s="1"/>
  <c r="AS37" i="1"/>
  <c r="AI33" i="1"/>
  <c r="AH33" i="1"/>
  <c r="AS33" i="1"/>
  <c r="AT33" i="1" s="1"/>
  <c r="AU33" i="1" s="1"/>
  <c r="AV33" i="1" s="1"/>
  <c r="AM35" i="1"/>
  <c r="AN35" i="1" s="1"/>
  <c r="AI38" i="1"/>
  <c r="AH38" i="1"/>
  <c r="AQ38" i="1"/>
  <c r="AS38" i="1"/>
  <c r="AM34" i="1"/>
  <c r="AN34" i="1" s="1"/>
  <c r="AT34" i="1"/>
  <c r="AU34" i="1" s="1"/>
  <c r="AV34" i="1" s="1"/>
  <c r="AI32" i="1"/>
  <c r="AI10" i="1"/>
  <c r="AI6" i="1"/>
  <c r="AI7" i="1"/>
  <c r="AI9" i="1"/>
  <c r="AI8" i="1"/>
  <c r="AI5" i="1"/>
  <c r="AH10" i="1"/>
  <c r="AS10" i="1"/>
  <c r="AT10" i="1" s="1"/>
  <c r="AO26" i="1"/>
  <c r="AF26" i="1"/>
  <c r="AP26" i="1"/>
  <c r="AG26" i="1"/>
  <c r="AO19" i="1"/>
  <c r="AF19" i="1"/>
  <c r="AP19" i="1"/>
  <c r="AG19" i="1"/>
  <c r="AQ7" i="1"/>
  <c r="AS7" i="1"/>
  <c r="AH7" i="1"/>
  <c r="AQ6" i="1"/>
  <c r="AH6" i="1"/>
  <c r="AS6" i="1"/>
  <c r="AG12" i="1"/>
  <c r="AO12" i="1"/>
  <c r="AP12" i="1"/>
  <c r="AO24" i="1"/>
  <c r="AF24" i="1"/>
  <c r="AG24" i="1"/>
  <c r="AP24" i="1"/>
  <c r="AO15" i="1"/>
  <c r="AG15" i="1"/>
  <c r="AF15" i="1"/>
  <c r="AP15" i="1"/>
  <c r="AO22" i="1"/>
  <c r="AF22" i="1"/>
  <c r="AP22" i="1"/>
  <c r="AG22" i="1"/>
  <c r="AQ5" i="1"/>
  <c r="AS5" i="1"/>
  <c r="AH5" i="1"/>
  <c r="AP11" i="1"/>
  <c r="AO11" i="1"/>
  <c r="AF11" i="1"/>
  <c r="AG11" i="1"/>
  <c r="AO30" i="1"/>
  <c r="AF30" i="1"/>
  <c r="AP30" i="1"/>
  <c r="AG30" i="1"/>
  <c r="AO18" i="1"/>
  <c r="AF18" i="1"/>
  <c r="AP18" i="1"/>
  <c r="AG18" i="1"/>
  <c r="AO28" i="1"/>
  <c r="AF28" i="1"/>
  <c r="AG28" i="1"/>
  <c r="AP28" i="1"/>
  <c r="AO23" i="1"/>
  <c r="AF23" i="1"/>
  <c r="AP23" i="1"/>
  <c r="AG23" i="1"/>
  <c r="AQ9" i="1"/>
  <c r="AH9" i="1"/>
  <c r="AS9" i="1"/>
  <c r="AO14" i="1"/>
  <c r="AF14" i="1"/>
  <c r="AG14" i="1"/>
  <c r="AP14" i="1"/>
  <c r="AO21" i="1"/>
  <c r="AF21" i="1"/>
  <c r="AG21" i="1"/>
  <c r="AP21" i="1"/>
  <c r="AO27" i="1"/>
  <c r="AF27" i="1"/>
  <c r="AP27" i="1"/>
  <c r="AG27" i="1"/>
  <c r="AQ8" i="1"/>
  <c r="AH8" i="1"/>
  <c r="AS8" i="1"/>
  <c r="AO17" i="1"/>
  <c r="AF17" i="1"/>
  <c r="AP17" i="1"/>
  <c r="AG17" i="1"/>
  <c r="AO31" i="1"/>
  <c r="AF31" i="1"/>
  <c r="AP31" i="1"/>
  <c r="AG31" i="1"/>
  <c r="AO20" i="1"/>
  <c r="AF20" i="1"/>
  <c r="AP20" i="1"/>
  <c r="AG20" i="1"/>
  <c r="AF13" i="1"/>
  <c r="AP13" i="1"/>
  <c r="AO13" i="1"/>
  <c r="AG13" i="1"/>
  <c r="AO25" i="1"/>
  <c r="AF25" i="1"/>
  <c r="AG25" i="1"/>
  <c r="AP25" i="1"/>
  <c r="AH32" i="1"/>
  <c r="AS32" i="1"/>
  <c r="AQ32" i="1"/>
  <c r="AO29" i="1"/>
  <c r="AF29" i="1"/>
  <c r="AG29" i="1"/>
  <c r="AP29" i="1"/>
  <c r="AO16" i="1"/>
  <c r="AF16" i="1"/>
  <c r="AG16" i="1"/>
  <c r="AP16" i="1"/>
  <c r="AP4" i="1"/>
  <c r="AO4" i="1"/>
  <c r="AG4" i="1"/>
  <c r="AG54" i="1" l="1"/>
  <c r="AO54" i="1"/>
  <c r="AP54" i="1"/>
  <c r="AM36" i="1"/>
  <c r="AN36" i="1" s="1"/>
  <c r="AT37" i="1"/>
  <c r="AU37" i="1" s="1"/>
  <c r="AT38" i="1"/>
  <c r="AU38" i="1" s="1"/>
  <c r="AM33" i="1"/>
  <c r="AN33" i="1" s="1"/>
  <c r="AF4" i="1"/>
  <c r="AF54" i="1" s="1"/>
  <c r="AM38" i="1"/>
  <c r="AM5" i="1"/>
  <c r="AN5" i="1" s="1"/>
  <c r="AM7" i="1"/>
  <c r="AN7" i="1" s="1"/>
  <c r="AT32" i="1"/>
  <c r="AU32" i="1" s="1"/>
  <c r="AV32" i="1" s="1"/>
  <c r="AT9" i="1"/>
  <c r="AU9" i="1" s="1"/>
  <c r="AV9" i="1" s="1"/>
  <c r="AT8" i="1"/>
  <c r="AU8" i="1" s="1"/>
  <c r="AV8" i="1" s="1"/>
  <c r="AT6" i="1"/>
  <c r="AU6" i="1" s="1"/>
  <c r="AV6" i="1" s="1"/>
  <c r="AT7" i="1"/>
  <c r="AU7" i="1" s="1"/>
  <c r="AV7" i="1" s="1"/>
  <c r="AT5" i="1"/>
  <c r="AU5" i="1" s="1"/>
  <c r="AV5" i="1" s="1"/>
  <c r="AI25" i="1"/>
  <c r="AI17" i="1"/>
  <c r="AI15" i="1"/>
  <c r="AI29" i="1"/>
  <c r="AM9" i="1"/>
  <c r="AN9" i="1" s="1"/>
  <c r="AI30" i="1"/>
  <c r="AM8" i="1"/>
  <c r="AN8" i="1" s="1"/>
  <c r="AI21" i="1"/>
  <c r="AI19" i="1"/>
  <c r="AI31" i="1"/>
  <c r="AM6" i="1"/>
  <c r="AN6" i="1" s="1"/>
  <c r="AI18" i="1"/>
  <c r="AI14" i="1"/>
  <c r="AU10" i="1"/>
  <c r="AV10" i="1" s="1"/>
  <c r="AI20" i="1"/>
  <c r="AM10" i="1"/>
  <c r="AN10" i="1" s="1"/>
  <c r="AI28" i="1"/>
  <c r="AI16" i="1"/>
  <c r="AM32" i="1"/>
  <c r="AN32" i="1" s="1"/>
  <c r="AI11" i="1"/>
  <c r="AI22" i="1"/>
  <c r="AI24" i="1"/>
  <c r="AI23" i="1"/>
  <c r="AI26" i="1"/>
  <c r="AI27" i="1"/>
  <c r="AF12" i="1"/>
  <c r="AI13" i="1"/>
  <c r="AQ13" i="1"/>
  <c r="AQ11" i="1"/>
  <c r="AH11" i="1"/>
  <c r="AS11" i="1"/>
  <c r="AQ20" i="1"/>
  <c r="AH20" i="1"/>
  <c r="AS20" i="1"/>
  <c r="AQ27" i="1"/>
  <c r="AS27" i="1"/>
  <c r="AH27" i="1"/>
  <c r="AQ14" i="1"/>
  <c r="AH14" i="1"/>
  <c r="AS14" i="1"/>
  <c r="AQ24" i="1"/>
  <c r="AH24" i="1"/>
  <c r="AS24" i="1"/>
  <c r="AQ23" i="1"/>
  <c r="AS23" i="1"/>
  <c r="AH23" i="1"/>
  <c r="AQ28" i="1"/>
  <c r="AH28" i="1"/>
  <c r="AS28" i="1"/>
  <c r="AQ26" i="1"/>
  <c r="AH26" i="1"/>
  <c r="AS26" i="1"/>
  <c r="AS13" i="1"/>
  <c r="AH13" i="1"/>
  <c r="AQ31" i="1"/>
  <c r="AS31" i="1"/>
  <c r="AH31" i="1"/>
  <c r="AQ30" i="1"/>
  <c r="AS30" i="1"/>
  <c r="AH30" i="1"/>
  <c r="AQ15" i="1"/>
  <c r="AH15" i="1"/>
  <c r="AS15" i="1"/>
  <c r="AQ17" i="1"/>
  <c r="AS17" i="1"/>
  <c r="AH17" i="1"/>
  <c r="AQ29" i="1"/>
  <c r="AH29" i="1"/>
  <c r="AS29" i="1"/>
  <c r="AQ19" i="1"/>
  <c r="AS19" i="1"/>
  <c r="AH19" i="1"/>
  <c r="AQ16" i="1"/>
  <c r="AS16" i="1"/>
  <c r="AH16" i="1"/>
  <c r="AQ18" i="1"/>
  <c r="AS18" i="1"/>
  <c r="AH18" i="1"/>
  <c r="AQ22" i="1"/>
  <c r="AH22" i="1"/>
  <c r="AS22" i="1"/>
  <c r="AQ25" i="1"/>
  <c r="AH25" i="1"/>
  <c r="AS25" i="1"/>
  <c r="AQ21" i="1"/>
  <c r="AH21" i="1"/>
  <c r="AS21" i="1"/>
  <c r="AV37" i="1" l="1"/>
  <c r="AN38" i="1"/>
  <c r="AV38" i="1"/>
  <c r="AM16" i="1"/>
  <c r="AN16" i="1" s="1"/>
  <c r="AM17" i="1"/>
  <c r="AN17" i="1" s="1"/>
  <c r="AT28" i="1"/>
  <c r="AU28" i="1" s="1"/>
  <c r="AV28" i="1" s="1"/>
  <c r="AT22" i="1"/>
  <c r="AU22" i="1" s="1"/>
  <c r="AV22" i="1" s="1"/>
  <c r="AT17" i="1"/>
  <c r="AU17" i="1" s="1"/>
  <c r="AV17" i="1" s="1"/>
  <c r="AM24" i="1"/>
  <c r="AN24" i="1" s="1"/>
  <c r="AM26" i="1"/>
  <c r="AN26" i="1" s="1"/>
  <c r="AM20" i="1"/>
  <c r="AN20" i="1" s="1"/>
  <c r="AM13" i="1"/>
  <c r="AN13" i="1" s="1"/>
  <c r="AM11" i="1"/>
  <c r="AN11" i="1" s="1"/>
  <c r="AM30" i="1"/>
  <c r="AN30" i="1" s="1"/>
  <c r="AT25" i="1"/>
  <c r="AU25" i="1" s="1"/>
  <c r="AV25" i="1" s="1"/>
  <c r="AM31" i="1"/>
  <c r="AN31" i="1" s="1"/>
  <c r="AM21" i="1"/>
  <c r="AN21" i="1" s="1"/>
  <c r="AT19" i="1"/>
  <c r="AU19" i="1" s="1"/>
  <c r="AV19" i="1" s="1"/>
  <c r="AM23" i="1"/>
  <c r="AN23" i="1" s="1"/>
  <c r="AM29" i="1"/>
  <c r="AN29" i="1" s="1"/>
  <c r="AM25" i="1"/>
  <c r="AN25" i="1" s="1"/>
  <c r="AT23" i="1"/>
  <c r="AU23" i="1" s="1"/>
  <c r="AV23" i="1" s="1"/>
  <c r="AT16" i="1"/>
  <c r="AU16" i="1" s="1"/>
  <c r="AV16" i="1" s="1"/>
  <c r="AT24" i="1"/>
  <c r="AU24" i="1" s="1"/>
  <c r="AV24" i="1" s="1"/>
  <c r="AT21" i="1"/>
  <c r="AU21" i="1" s="1"/>
  <c r="AV21" i="1" s="1"/>
  <c r="AT31" i="1"/>
  <c r="AU31" i="1" s="1"/>
  <c r="AV31" i="1" s="1"/>
  <c r="AT20" i="1"/>
  <c r="AU20" i="1" s="1"/>
  <c r="AV20" i="1" s="1"/>
  <c r="AT13" i="1"/>
  <c r="AU13" i="1" s="1"/>
  <c r="AV13" i="1" s="1"/>
  <c r="AM15" i="1"/>
  <c r="AN15" i="1" s="1"/>
  <c r="AT30" i="1"/>
  <c r="AU30" i="1" s="1"/>
  <c r="AV30" i="1" s="1"/>
  <c r="AT27" i="1"/>
  <c r="AU27" i="1" s="1"/>
  <c r="AV27" i="1" s="1"/>
  <c r="AT26" i="1"/>
  <c r="AU26" i="1" s="1"/>
  <c r="AV26" i="1" s="1"/>
  <c r="AT29" i="1"/>
  <c r="AU29" i="1" s="1"/>
  <c r="AV29" i="1" s="1"/>
  <c r="AT15" i="1"/>
  <c r="AU15" i="1" s="1"/>
  <c r="AV15" i="1" s="1"/>
  <c r="AT14" i="1"/>
  <c r="AU14" i="1" s="1"/>
  <c r="AV14" i="1" s="1"/>
  <c r="AT18" i="1"/>
  <c r="AU18" i="1" s="1"/>
  <c r="AV18" i="1" s="1"/>
  <c r="AM27" i="1"/>
  <c r="AN27" i="1" s="1"/>
  <c r="AT11" i="1"/>
  <c r="AU11" i="1" s="1"/>
  <c r="AV11" i="1" s="1"/>
  <c r="AI12" i="1"/>
  <c r="AM19" i="1"/>
  <c r="AN19" i="1" s="1"/>
  <c r="AM28" i="1"/>
  <c r="AN28" i="1" s="1"/>
  <c r="AM22" i="1"/>
  <c r="AN22" i="1" s="1"/>
  <c r="AM18" i="1"/>
  <c r="AN18" i="1" s="1"/>
  <c r="AM14" i="1"/>
  <c r="AN14" i="1" s="1"/>
  <c r="AI4" i="1"/>
  <c r="AS12" i="1"/>
  <c r="AH12" i="1"/>
  <c r="AQ12" i="1"/>
  <c r="AQ4" i="1"/>
  <c r="AS4" i="1"/>
  <c r="AH4" i="1"/>
  <c r="AI54" i="1" l="1"/>
  <c r="AH54" i="1"/>
  <c r="AQ54" i="1"/>
  <c r="AS54" i="1"/>
  <c r="AM12" i="1"/>
  <c r="AN12" i="1" s="1"/>
  <c r="AT12" i="1"/>
  <c r="AU12" i="1" s="1"/>
  <c r="AV12" i="1" s="1"/>
  <c r="AM4" i="1"/>
  <c r="AM54" i="1" s="1"/>
  <c r="AT4" i="1"/>
  <c r="AT54" i="1" l="1"/>
  <c r="AN4" i="1"/>
  <c r="AN54" i="1" s="1"/>
  <c r="AU4" i="1"/>
  <c r="AU54" i="1" s="1"/>
  <c r="AV4" i="1" l="1"/>
  <c r="AV54" i="1" s="1"/>
</calcChain>
</file>

<file path=xl/sharedStrings.xml><?xml version="1.0" encoding="utf-8"?>
<sst xmlns="http://schemas.openxmlformats.org/spreadsheetml/2006/main" count="349" uniqueCount="255">
  <si>
    <t xml:space="preserve">Contractor Name- Gemshine Multiservices  </t>
  </si>
  <si>
    <t>Employe Rate</t>
  </si>
  <si>
    <t>Attendence</t>
  </si>
  <si>
    <t>Employee Gross Salary Earning</t>
  </si>
  <si>
    <t>Salary Deductuion</t>
  </si>
  <si>
    <t>Invoice Working</t>
  </si>
  <si>
    <t>Sr.No</t>
  </si>
  <si>
    <t xml:space="preserve">Employee ID </t>
  </si>
  <si>
    <t xml:space="preserve">Name Of Employee </t>
  </si>
  <si>
    <t>FATHER NAME</t>
  </si>
  <si>
    <t>UAN NO</t>
  </si>
  <si>
    <t>ESIC NO</t>
  </si>
  <si>
    <t>PAN NO</t>
  </si>
  <si>
    <t>Gender</t>
  </si>
  <si>
    <t>DOJ</t>
  </si>
  <si>
    <t>DOB</t>
  </si>
  <si>
    <t>MOBILE NO</t>
  </si>
  <si>
    <t>Category</t>
  </si>
  <si>
    <t xml:space="preserve">BASIC </t>
  </si>
  <si>
    <t>DA</t>
  </si>
  <si>
    <t>HRA</t>
  </si>
  <si>
    <t>OTHER</t>
  </si>
  <si>
    <t>WAGES</t>
  </si>
  <si>
    <t>OT RATE</t>
  </si>
  <si>
    <t>Days</t>
  </si>
  <si>
    <t>PH</t>
  </si>
  <si>
    <t>Total Days</t>
  </si>
  <si>
    <t>OT HRS</t>
  </si>
  <si>
    <t>OT Amt</t>
  </si>
  <si>
    <t>Gross Amt</t>
  </si>
  <si>
    <t>PF 12 %</t>
  </si>
  <si>
    <t>ESIC  0.75%</t>
  </si>
  <si>
    <t>P.T</t>
  </si>
  <si>
    <t>MLWF</t>
  </si>
  <si>
    <t>Advance</t>
  </si>
  <si>
    <t>TOTAL Diduction</t>
  </si>
  <si>
    <t>NET Wages</t>
  </si>
  <si>
    <t>ER PF@13%</t>
  </si>
  <si>
    <t>BONUS @ 8.33</t>
  </si>
  <si>
    <t>ER ESI@3.25%</t>
  </si>
  <si>
    <t>Service Charge 9 %</t>
  </si>
  <si>
    <t>Sub Total</t>
  </si>
  <si>
    <t>GST 18 %</t>
  </si>
  <si>
    <t>CTC PER DAY</t>
  </si>
  <si>
    <t>001</t>
  </si>
  <si>
    <t xml:space="preserve">Rupali Mohan Padwal </t>
  </si>
  <si>
    <t xml:space="preserve">Mohan Padwal </t>
  </si>
  <si>
    <t>GKCPP2904J</t>
  </si>
  <si>
    <t>F</t>
  </si>
  <si>
    <t xml:space="preserve">UNSKILLED </t>
  </si>
  <si>
    <t>002</t>
  </si>
  <si>
    <t xml:space="preserve">Nitin Gangaram Jadhav </t>
  </si>
  <si>
    <t xml:space="preserve">Gangaram Jadhav </t>
  </si>
  <si>
    <t>CWNPJ8875K</t>
  </si>
  <si>
    <t>M</t>
  </si>
  <si>
    <t xml:space="preserve">SEMI-SKILLED Machine Operator </t>
  </si>
  <si>
    <t>003</t>
  </si>
  <si>
    <t xml:space="preserve">Satyawan Bapu Jadahv </t>
  </si>
  <si>
    <t xml:space="preserve">Bapu Jadhav </t>
  </si>
  <si>
    <t>BYBPJ2459L</t>
  </si>
  <si>
    <t>004</t>
  </si>
  <si>
    <t xml:space="preserve">Santosh Pandurang Shinde </t>
  </si>
  <si>
    <t xml:space="preserve">Pandurang Shinde </t>
  </si>
  <si>
    <t>DUYPS2274F</t>
  </si>
  <si>
    <t>005</t>
  </si>
  <si>
    <t xml:space="preserve">Yougesh Shubhash Jadhav </t>
  </si>
  <si>
    <t xml:space="preserve">Shubhash Jadhav </t>
  </si>
  <si>
    <t>CJIPJ7801B</t>
  </si>
  <si>
    <t>007</t>
  </si>
  <si>
    <t xml:space="preserve">Sagar Rajaram  Shinde </t>
  </si>
  <si>
    <t xml:space="preserve">Rajaram Shinde </t>
  </si>
  <si>
    <t>TNSPS6072N</t>
  </si>
  <si>
    <t>008</t>
  </si>
  <si>
    <t xml:space="preserve">Janardan Sopan Gaikwad </t>
  </si>
  <si>
    <t xml:space="preserve">Sopan Gaikwad </t>
  </si>
  <si>
    <t>BDIPG2353N</t>
  </si>
  <si>
    <t>009</t>
  </si>
  <si>
    <t xml:space="preserve">Madhav Madhukar Puyed </t>
  </si>
  <si>
    <t>Madhukar Gangadhar Puyed</t>
  </si>
  <si>
    <t>FLSPP8755B</t>
  </si>
  <si>
    <t xml:space="preserve">SEMI-SKILLED </t>
  </si>
  <si>
    <t>010</t>
  </si>
  <si>
    <t xml:space="preserve">Pankaj Chandrakant Gurav </t>
  </si>
  <si>
    <t xml:space="preserve">Chandrakant Gurav </t>
  </si>
  <si>
    <t>BYKPG2895J</t>
  </si>
  <si>
    <t xml:space="preserve">HIGH-SKILLED </t>
  </si>
  <si>
    <t>011</t>
  </si>
  <si>
    <t>Rohit Sardar Chougale</t>
  </si>
  <si>
    <t>Sarkar Chaugale</t>
  </si>
  <si>
    <t>BUMPC1589D</t>
  </si>
  <si>
    <t>013</t>
  </si>
  <si>
    <t xml:space="preserve">Dipak Ashok Waghole </t>
  </si>
  <si>
    <t xml:space="preserve">Ashok Raghunath Wagole </t>
  </si>
  <si>
    <t>ACLPW9902C</t>
  </si>
  <si>
    <t>014</t>
  </si>
  <si>
    <t xml:space="preserve">Aniket Kumar </t>
  </si>
  <si>
    <t xml:space="preserve">Nirmal Kumar Nirala </t>
  </si>
  <si>
    <t>LBOPK9098L</t>
  </si>
  <si>
    <t>015</t>
  </si>
  <si>
    <t xml:space="preserve">Jitendra Sanju Thakur </t>
  </si>
  <si>
    <t xml:space="preserve">Sanju Narayan Thakur </t>
  </si>
  <si>
    <t>AVWPT0879K</t>
  </si>
  <si>
    <t>016</t>
  </si>
  <si>
    <t xml:space="preserve">Mayur Dnyashwer Patole </t>
  </si>
  <si>
    <t xml:space="preserve">Dnyeshwer Patole </t>
  </si>
  <si>
    <t>FYCPP0949C</t>
  </si>
  <si>
    <t>017</t>
  </si>
  <si>
    <t>Shriyog Maruti Bhagwat</t>
  </si>
  <si>
    <t xml:space="preserve">Maruti Bhagwat </t>
  </si>
  <si>
    <t>GIKPB8701F</t>
  </si>
  <si>
    <t>018</t>
  </si>
  <si>
    <t>Pravin savkar Chaudhari</t>
  </si>
  <si>
    <t>Savkar Chaudhari</t>
  </si>
  <si>
    <t>AZZPC1407D</t>
  </si>
  <si>
    <t>019</t>
  </si>
  <si>
    <t xml:space="preserve">Akshay Shubhash Jadhav </t>
  </si>
  <si>
    <t>BZVPJ8018A</t>
  </si>
  <si>
    <t xml:space="preserve">SUPERVISOR SKILLED </t>
  </si>
  <si>
    <t>020</t>
  </si>
  <si>
    <t>Rhaul Balu Koli</t>
  </si>
  <si>
    <t>Balu Koli</t>
  </si>
  <si>
    <t>CWFPK9015A</t>
  </si>
  <si>
    <t xml:space="preserve">SEMI-SKILLED Washroom Cleaner </t>
  </si>
  <si>
    <t>021</t>
  </si>
  <si>
    <t xml:space="preserve">Pravin Rajaram Thite </t>
  </si>
  <si>
    <t xml:space="preserve">Rajaram Thite </t>
  </si>
  <si>
    <t>AVKPT2304D</t>
  </si>
  <si>
    <t>022</t>
  </si>
  <si>
    <t>Mangesh Mohan Bahirat</t>
  </si>
  <si>
    <t xml:space="preserve">Mohan Maruti Bahirat </t>
  </si>
  <si>
    <t>CGLPB8439H</t>
  </si>
  <si>
    <t>023</t>
  </si>
  <si>
    <t xml:space="preserve">Sagar Vitthal Dhumal </t>
  </si>
  <si>
    <t xml:space="preserve">Vithal Baban Dhumal </t>
  </si>
  <si>
    <t>CELPD9144R</t>
  </si>
  <si>
    <t>024</t>
  </si>
  <si>
    <t xml:space="preserve">Sachin Suresh Takalkar </t>
  </si>
  <si>
    <t xml:space="preserve">Suresh Santu Takalkar </t>
  </si>
  <si>
    <t>ASHPT2279B</t>
  </si>
  <si>
    <t>025</t>
  </si>
  <si>
    <t xml:space="preserve">Tai Vilas Jadhav </t>
  </si>
  <si>
    <t xml:space="preserve">Vilas Maruti Jadhav </t>
  </si>
  <si>
    <t>BQBPJ9150Q</t>
  </si>
  <si>
    <t>026</t>
  </si>
  <si>
    <t xml:space="preserve">Ajay Balu Jadhav </t>
  </si>
  <si>
    <t xml:space="preserve">Balu Maruti Jadhav </t>
  </si>
  <si>
    <t>DKAPJ3086C</t>
  </si>
  <si>
    <t>027</t>
  </si>
  <si>
    <t xml:space="preserve">Vijay Kisan Gavade </t>
  </si>
  <si>
    <t xml:space="preserve">Kisan Baburav Gavade </t>
  </si>
  <si>
    <t>CVMPG5369M</t>
  </si>
  <si>
    <t>028</t>
  </si>
  <si>
    <t xml:space="preserve">Santosh Bhima Bhambure </t>
  </si>
  <si>
    <t xml:space="preserve">Bhima Bhambure </t>
  </si>
  <si>
    <t>DUKPB4378B</t>
  </si>
  <si>
    <t>029</t>
  </si>
  <si>
    <t xml:space="preserve">Mohan Sahebrav Bhalekar </t>
  </si>
  <si>
    <t xml:space="preserve">Sahebrav Bhalekar </t>
  </si>
  <si>
    <t>CCEPB5222P</t>
  </si>
  <si>
    <t>030</t>
  </si>
  <si>
    <t xml:space="preserve">Suresh Rambhau Netke </t>
  </si>
  <si>
    <t>AOBPN9372B</t>
  </si>
  <si>
    <t>033</t>
  </si>
  <si>
    <t xml:space="preserve">Sachin Manohar Kokate </t>
  </si>
  <si>
    <t xml:space="preserve">Weges Register month for JUNE- 2026 </t>
  </si>
  <si>
    <t>034</t>
  </si>
  <si>
    <t>036</t>
  </si>
  <si>
    <t>037</t>
  </si>
  <si>
    <t>038</t>
  </si>
  <si>
    <t>HIGH-SKILLED</t>
  </si>
  <si>
    <t>UNSKILLED</t>
  </si>
  <si>
    <t>Manohar Baburav Kokate</t>
  </si>
  <si>
    <t>IZVPK1003D</t>
  </si>
  <si>
    <t>Tulshiram Shitaram Walunj</t>
  </si>
  <si>
    <t>Sitaram Sahadu walunj</t>
  </si>
  <si>
    <t>ADZPW4697H</t>
  </si>
  <si>
    <t>Shivam Shivkumar Dwivedi</t>
  </si>
  <si>
    <t>Shivkumar Dwivedi</t>
  </si>
  <si>
    <t>HSGPD6571J</t>
  </si>
  <si>
    <t>Vikas Vilas Jadhav</t>
  </si>
  <si>
    <t>Vilas Maruti Jadhav</t>
  </si>
  <si>
    <t>CWJPJ8206J</t>
  </si>
  <si>
    <t>Prakash Bhagvan Waje</t>
  </si>
  <si>
    <t>Bhagvan Savleram Waje</t>
  </si>
  <si>
    <t>AFNPW1743J</t>
  </si>
  <si>
    <t>041</t>
  </si>
  <si>
    <t>042</t>
  </si>
  <si>
    <t>043</t>
  </si>
  <si>
    <t>044</t>
  </si>
  <si>
    <t>045</t>
  </si>
  <si>
    <t>046</t>
  </si>
  <si>
    <t>047</t>
  </si>
  <si>
    <t>050</t>
  </si>
  <si>
    <t xml:space="preserve">Sachin Suresh Netke </t>
  </si>
  <si>
    <t>Jayshri Vilas Dudhawade</t>
  </si>
  <si>
    <t>Vilas Dudhawade</t>
  </si>
  <si>
    <t>JSFPD6039E</t>
  </si>
  <si>
    <t>Vimal Kisan Paradhi</t>
  </si>
  <si>
    <t>Kisan Paradhi</t>
  </si>
  <si>
    <t>GDAPP8409R</t>
  </si>
  <si>
    <t>Sunita Santosh Padwal</t>
  </si>
  <si>
    <t>Santosh Padwal</t>
  </si>
  <si>
    <t>EQDPP9409M</t>
  </si>
  <si>
    <t>Ajay Namdev Abhyankar</t>
  </si>
  <si>
    <t>Namdev Abhyankar</t>
  </si>
  <si>
    <t>BXYPA5729C</t>
  </si>
  <si>
    <t>Sambhaji Dattatray Toke</t>
  </si>
  <si>
    <t>Dattatray Toke</t>
  </si>
  <si>
    <t>DAGPT3106P</t>
  </si>
  <si>
    <t>Machindra Baban Takalkar</t>
  </si>
  <si>
    <t>Baban Takalkar</t>
  </si>
  <si>
    <t>AHHPT5729P</t>
  </si>
  <si>
    <t>Shbana Salim Pathan</t>
  </si>
  <si>
    <t>Salim Pathan</t>
  </si>
  <si>
    <t>GTJPP3371P</t>
  </si>
  <si>
    <t xml:space="preserve">Sanjay Balu Pawale </t>
  </si>
  <si>
    <t xml:space="preserve">Balu Pawale </t>
  </si>
  <si>
    <t>BDUPP1715R</t>
  </si>
  <si>
    <t>102377551782</t>
  </si>
  <si>
    <t>Aarrier</t>
  </si>
  <si>
    <t>032</t>
  </si>
  <si>
    <t xml:space="preserve">Parshuram Rajaram Kale </t>
  </si>
  <si>
    <t xml:space="preserve">Rajaram Laxman Kale </t>
  </si>
  <si>
    <t>BOFPK0589E</t>
  </si>
  <si>
    <t xml:space="preserve">Hitesh Baban Dube </t>
  </si>
  <si>
    <t xml:space="preserve">Avinash Namdev Shinde </t>
  </si>
  <si>
    <t xml:space="preserve">Namdev Maruti Shinde </t>
  </si>
  <si>
    <t>RVEPS8506K</t>
  </si>
  <si>
    <t xml:space="preserve">Santosh Dnyaneshwer Savant </t>
  </si>
  <si>
    <t xml:space="preserve">Dnyaneshwer Rambhau Savant </t>
  </si>
  <si>
    <t>NYVPS10003R</t>
  </si>
  <si>
    <t>Sameer Santosh Dhawale</t>
  </si>
  <si>
    <t>Santosh Dhawale</t>
  </si>
  <si>
    <t>HDRPD1282G</t>
  </si>
  <si>
    <t xml:space="preserve">Uniform Charges </t>
  </si>
  <si>
    <t>052</t>
  </si>
  <si>
    <t>039</t>
  </si>
  <si>
    <t>Ramakant Surybhan Yadav</t>
  </si>
  <si>
    <t>Surybhan Yadav</t>
  </si>
  <si>
    <t>BGXPY6889D</t>
  </si>
  <si>
    <t>Semi-Skilled Welder (A Grade)</t>
  </si>
  <si>
    <t>040</t>
  </si>
  <si>
    <t>Rohit Anil Jadhav</t>
  </si>
  <si>
    <t>Anil Jadhav</t>
  </si>
  <si>
    <t>CIQPJ2645J</t>
  </si>
  <si>
    <t>Semi-Skilled Welder (B Grade)</t>
  </si>
  <si>
    <t>049</t>
  </si>
  <si>
    <t>Ankush Ramchandra Thokal</t>
  </si>
  <si>
    <t>Ramchandra Thokal</t>
  </si>
  <si>
    <t>BLBPT4019D</t>
  </si>
  <si>
    <t>051</t>
  </si>
  <si>
    <t xml:space="preserve">Shamu Prasad Saroj </t>
  </si>
  <si>
    <t xml:space="preserve">Tejbali Saroj </t>
  </si>
  <si>
    <t>PEZPS1748D</t>
  </si>
  <si>
    <t xml:space="preserve">Adhar 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</si>
</sst>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0.0"/>
  </numFmts>
  <fonts count="19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i/>
      <sz val="11"/>
      <color rgb="FF222222"/>
      <name val="Aptos Narrow"/>
      <family val="2"/>
    </font>
    <font>
      <b/>
      <sz val="11"/>
      <color rgb="FF222222"/>
      <name val="Aptos Narrow"/>
      <family val="2"/>
    </font>
    <font>
      <b/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name val="Arial"/>
      <family val="2"/>
    </font>
    <font>
      <sz val="10"/>
      <color theme="1"/>
      <name val="Calibri Light"/>
      <family val="1"/>
      <scheme val="major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Aptos Narrow"/>
      <family val="2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0" xfId="0" applyFont="1" applyFill="1"/>
    <xf numFmtId="0" fontId="0" fillId="2" borderId="0" xfId="0" applyFill="1"/>
    <xf numFmtId="0" fontId="1" fillId="2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vertical="center" wrapText="1"/>
    </xf>
    <xf numFmtId="0" fontId="0" fillId="2" borderId="2" xfId="0" applyFill="1" applyBorder="1" applyAlignment="1">
      <alignment horizontal="center"/>
    </xf>
    <xf numFmtId="1" fontId="10" fillId="2" borderId="2" xfId="0" applyNumberFormat="1" applyFont="1" applyFill="1" applyBorder="1" applyAlignment="1">
      <alignment horizontal="center" vertical="center"/>
    </xf>
    <xf numFmtId="2" fontId="10" fillId="2" borderId="2" xfId="0" applyNumberFormat="1" applyFont="1" applyFill="1" applyBorder="1" applyAlignment="1">
      <alignment horizontal="center" vertical="center"/>
    </xf>
    <xf numFmtId="1" fontId="11" fillId="2" borderId="2" xfId="0" applyNumberFormat="1" applyFont="1" applyFill="1" applyBorder="1" applyAlignment="1">
      <alignment horizontal="center" vertical="center"/>
    </xf>
    <xf numFmtId="1" fontId="12" fillId="2" borderId="2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1" fontId="10" fillId="3" borderId="2" xfId="0" applyNumberFormat="1" applyFont="1" applyFill="1" applyBorder="1" applyAlignment="1">
      <alignment horizontal="center" vertical="center"/>
    </xf>
    <xf numFmtId="2" fontId="0" fillId="2" borderId="0" xfId="0" applyNumberFormat="1" applyFill="1"/>
    <xf numFmtId="0" fontId="1" fillId="2" borderId="1" xfId="0" applyFont="1" applyFill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left" vertical="center"/>
    </xf>
    <xf numFmtId="0" fontId="15" fillId="0" borderId="4" xfId="0" applyFont="1" applyBorder="1" applyAlignment="1">
      <alignment horizontal="left" vertical="center"/>
    </xf>
    <xf numFmtId="1" fontId="8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 applyProtection="1">
      <alignment horizontal="center" vertical="center"/>
      <protection locked="0"/>
    </xf>
    <xf numFmtId="164" fontId="15" fillId="2" borderId="4" xfId="0" applyNumberFormat="1" applyFont="1" applyFill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0" fontId="9" fillId="0" borderId="2" xfId="0" applyFont="1" applyBorder="1" applyAlignment="1" applyProtection="1">
      <alignment horizontal="center" vertical="center"/>
      <protection locked="0"/>
    </xf>
    <xf numFmtId="0" fontId="14" fillId="0" borderId="5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2" fontId="0" fillId="2" borderId="2" xfId="0" applyNumberFormat="1" applyFill="1" applyBorder="1" applyAlignment="1">
      <alignment horizontal="center"/>
    </xf>
    <xf numFmtId="0" fontId="0" fillId="2" borderId="2" xfId="0" applyFill="1" applyBorder="1" applyAlignment="1">
      <alignment horizontal="left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165" fontId="10" fillId="2" borderId="2" xfId="0" applyNumberFormat="1" applyFont="1" applyFill="1" applyBorder="1" applyAlignment="1">
      <alignment horizontal="center" vertical="center"/>
    </xf>
    <xf numFmtId="0" fontId="16" fillId="0" borderId="5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1" fontId="10" fillId="0" borderId="2" xfId="0" applyNumberFormat="1" applyFont="1" applyBorder="1" applyAlignment="1">
      <alignment horizontal="center" vertical="center"/>
    </xf>
    <xf numFmtId="2" fontId="10" fillId="0" borderId="2" xfId="0" applyNumberFormat="1" applyFont="1" applyBorder="1" applyAlignment="1">
      <alignment horizontal="center" vertical="center"/>
    </xf>
    <xf numFmtId="165" fontId="10" fillId="0" borderId="2" xfId="0" applyNumberFormat="1" applyFont="1" applyBorder="1" applyAlignment="1">
      <alignment horizontal="center" vertical="center"/>
    </xf>
    <xf numFmtId="1" fontId="11" fillId="0" borderId="2" xfId="0" applyNumberFormat="1" applyFont="1" applyBorder="1" applyAlignment="1">
      <alignment horizontal="center" vertical="center"/>
    </xf>
    <xf numFmtId="1" fontId="17" fillId="0" borderId="2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0" fillId="2" borderId="0" xfId="0" applyFill="1" applyAlignment="1">
      <alignment horizontal="left"/>
    </xf>
    <xf numFmtId="0" fontId="15" fillId="0" borderId="2" xfId="0" quotePrefix="1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0" borderId="0" xfId="0" applyFont="1"/>
    <xf numFmtId="0" fontId="1" fillId="2" borderId="1" xfId="0" applyFont="1" applyFill="1" applyBorder="1" applyAlignment="1">
      <alignment horizontal="left"/>
    </xf>
    <xf numFmtId="164" fontId="5" fillId="2" borderId="2" xfId="0" applyNumberFormat="1" applyFont="1" applyFill="1" applyBorder="1" applyAlignment="1">
      <alignment horizontal="center" vertical="center" wrapText="1"/>
    </xf>
    <xf numFmtId="164" fontId="15" fillId="0" borderId="4" xfId="0" applyNumberFormat="1" applyFont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4" fontId="15" fillId="0" borderId="2" xfId="0" applyNumberFormat="1" applyFont="1" applyBorder="1" applyAlignment="1">
      <alignment horizontal="center" vertical="center"/>
    </xf>
    <xf numFmtId="164" fontId="0" fillId="2" borderId="0" xfId="0" applyNumberFormat="1" applyFill="1" applyAlignment="1">
      <alignment horizontal="center"/>
    </xf>
    <xf numFmtId="1" fontId="1" fillId="2" borderId="2" xfId="0" applyNumberFormat="1" applyFont="1" applyFill="1" applyBorder="1" applyAlignment="1">
      <alignment horizontal="center"/>
    </xf>
    <xf numFmtId="1" fontId="6" fillId="2" borderId="2" xfId="0" applyNumberFormat="1" applyFont="1" applyFill="1" applyBorder="1" applyAlignment="1">
      <alignment horizontal="center" vertical="center" wrapText="1"/>
    </xf>
    <xf numFmtId="1" fontId="0" fillId="2" borderId="2" xfId="0" applyNumberForma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" fontId="15" fillId="0" borderId="2" xfId="0" applyNumberFormat="1" applyFont="1" applyBorder="1" applyAlignment="1">
      <alignment horizontal="center" vertical="center"/>
    </xf>
    <xf numFmtId="1" fontId="0" fillId="2" borderId="0" xfId="0" applyNumberFormat="1" applyFill="1" applyAlignment="1">
      <alignment horizontal="center"/>
    </xf>
    <xf numFmtId="0" fontId="1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left" vertical="center" wrapText="1"/>
    </xf>
    <xf numFmtId="1" fontId="1" fillId="2" borderId="1" xfId="0" applyNumberFormat="1" applyFont="1" applyFill="1" applyBorder="1" applyAlignment="1">
      <alignment horizontal="left"/>
    </xf>
    <xf numFmtId="1" fontId="1" fillId="2" borderId="2" xfId="0" applyNumberFormat="1" applyFont="1" applyFill="1" applyBorder="1" applyAlignment="1">
      <alignment horizontal="left"/>
    </xf>
    <xf numFmtId="1" fontId="6" fillId="2" borderId="2" xfId="0" applyNumberFormat="1" applyFont="1" applyFill="1" applyBorder="1" applyAlignment="1">
      <alignment horizontal="left" vertical="center" wrapText="1"/>
    </xf>
    <xf numFmtId="1" fontId="15" fillId="0" borderId="4" xfId="0" applyNumberFormat="1" applyFont="1" applyBorder="1" applyAlignment="1">
      <alignment horizontal="left" vertical="center"/>
    </xf>
    <xf numFmtId="1" fontId="0" fillId="2" borderId="2" xfId="0" applyNumberFormat="1" applyFill="1" applyBorder="1" applyAlignment="1">
      <alignment horizontal="left"/>
    </xf>
    <xf numFmtId="1" fontId="0" fillId="2" borderId="0" xfId="0" applyNumberFormat="1" applyFill="1" applyAlignment="1">
      <alignment horizontal="left"/>
    </xf>
    <xf numFmtId="0" fontId="1" fillId="2" borderId="2" xfId="0" applyFont="1" applyFill="1" applyBorder="1" applyAlignment="1">
      <alignment horizontal="center"/>
    </xf>
    <xf numFmtId="0" fontId="0" fillId="2" borderId="7" xfId="0" applyFill="1" applyBorder="1"/>
    <xf numFmtId="0" fontId="0" fillId="2" borderId="8" xfId="0" applyFill="1" applyBorder="1"/>
    <xf numFmtId="0" fontId="1" fillId="2" borderId="2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58CC772E-221F-4CB1-8DE8-A152440F2C01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8950A299-5EAF-437F-B8BE-F263A81E4702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313C8299-A6E9-4533-89C7-7EA1745F5FA9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5" name="Text Box 1">
          <a:extLst>
            <a:ext uri="{FF2B5EF4-FFF2-40B4-BE49-F238E27FC236}">
              <a16:creationId xmlns:a16="http://schemas.microsoft.com/office/drawing/2014/main" id="{2CC72A77-D338-45C9-9940-82B5715A37E9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ABEB240D-9135-4EC9-B044-DB0389ED082B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7" name="Text Box 1">
          <a:extLst>
            <a:ext uri="{FF2B5EF4-FFF2-40B4-BE49-F238E27FC236}">
              <a16:creationId xmlns:a16="http://schemas.microsoft.com/office/drawing/2014/main" id="{E09C4DA7-AD3C-42FE-BE29-CFD299193BF9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3153DD45-6DD7-4792-8DE1-A27C0B6A71C6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9" name="Text Box 1">
          <a:extLst>
            <a:ext uri="{FF2B5EF4-FFF2-40B4-BE49-F238E27FC236}">
              <a16:creationId xmlns:a16="http://schemas.microsoft.com/office/drawing/2014/main" id="{0DF462B4-BBF5-4376-8CBF-8F3AF21AF630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0" name="Text Box 1">
          <a:extLst>
            <a:ext uri="{FF2B5EF4-FFF2-40B4-BE49-F238E27FC236}">
              <a16:creationId xmlns:a16="http://schemas.microsoft.com/office/drawing/2014/main" id="{80AE121A-4BD6-45C8-9CCE-4F0A421972F6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1" name="Text Box 1">
          <a:extLst>
            <a:ext uri="{FF2B5EF4-FFF2-40B4-BE49-F238E27FC236}">
              <a16:creationId xmlns:a16="http://schemas.microsoft.com/office/drawing/2014/main" id="{90B9CB39-75AA-4D05-8CB1-E5F930ED28BB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2" name="Text Box 1">
          <a:extLst>
            <a:ext uri="{FF2B5EF4-FFF2-40B4-BE49-F238E27FC236}">
              <a16:creationId xmlns:a16="http://schemas.microsoft.com/office/drawing/2014/main" id="{13D7A837-448F-4ED8-B133-43DF4CDE45F7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3" name="Text Box 1">
          <a:extLst>
            <a:ext uri="{FF2B5EF4-FFF2-40B4-BE49-F238E27FC236}">
              <a16:creationId xmlns:a16="http://schemas.microsoft.com/office/drawing/2014/main" id="{3D5770B2-CCFD-4F58-96DB-1DCE8E164082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4" name="Text Box 1">
          <a:extLst>
            <a:ext uri="{FF2B5EF4-FFF2-40B4-BE49-F238E27FC236}">
              <a16:creationId xmlns:a16="http://schemas.microsoft.com/office/drawing/2014/main" id="{B8716F84-80F6-47C9-A6B0-C6D0BB52508A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5" name="Text Box 1">
          <a:extLst>
            <a:ext uri="{FF2B5EF4-FFF2-40B4-BE49-F238E27FC236}">
              <a16:creationId xmlns:a16="http://schemas.microsoft.com/office/drawing/2014/main" id="{78945728-4306-431E-858A-91BA923CAD86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6" name="Text Box 1">
          <a:extLst>
            <a:ext uri="{FF2B5EF4-FFF2-40B4-BE49-F238E27FC236}">
              <a16:creationId xmlns:a16="http://schemas.microsoft.com/office/drawing/2014/main" id="{FE6F4AAA-C9EA-4A57-BAB9-A8EE80E5B60B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7" name="Text Box 1">
          <a:extLst>
            <a:ext uri="{FF2B5EF4-FFF2-40B4-BE49-F238E27FC236}">
              <a16:creationId xmlns:a16="http://schemas.microsoft.com/office/drawing/2014/main" id="{CB689B2A-05AA-48C8-A194-DFF7EDC8A869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8" name="Text Box 1">
          <a:extLst>
            <a:ext uri="{FF2B5EF4-FFF2-40B4-BE49-F238E27FC236}">
              <a16:creationId xmlns:a16="http://schemas.microsoft.com/office/drawing/2014/main" id="{663E9109-C91F-4FD4-907E-A2918AFBF49E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9" name="Text Box 1">
          <a:extLst>
            <a:ext uri="{FF2B5EF4-FFF2-40B4-BE49-F238E27FC236}">
              <a16:creationId xmlns:a16="http://schemas.microsoft.com/office/drawing/2014/main" id="{AB48AF7C-A06C-48F6-ACB3-D5174D1AD3F3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20" name="Text Box 1">
          <a:extLst>
            <a:ext uri="{FF2B5EF4-FFF2-40B4-BE49-F238E27FC236}">
              <a16:creationId xmlns:a16="http://schemas.microsoft.com/office/drawing/2014/main" id="{11BE0E6F-52CE-467C-ACD5-7CDCDCEB84AA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21" name="Text Box 1">
          <a:extLst>
            <a:ext uri="{FF2B5EF4-FFF2-40B4-BE49-F238E27FC236}">
              <a16:creationId xmlns:a16="http://schemas.microsoft.com/office/drawing/2014/main" id="{9BD6A981-E6D2-4EB1-A946-96D221D1D5DC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22" name="Text Box 1">
          <a:extLst>
            <a:ext uri="{FF2B5EF4-FFF2-40B4-BE49-F238E27FC236}">
              <a16:creationId xmlns:a16="http://schemas.microsoft.com/office/drawing/2014/main" id="{19098457-5932-47B2-B888-7AF805B6DA9D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23" name="Text Box 1">
          <a:extLst>
            <a:ext uri="{FF2B5EF4-FFF2-40B4-BE49-F238E27FC236}">
              <a16:creationId xmlns:a16="http://schemas.microsoft.com/office/drawing/2014/main" id="{A4661A33-A792-4AA3-848D-363C57DD5539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24" name="Text Box 1">
          <a:extLst>
            <a:ext uri="{FF2B5EF4-FFF2-40B4-BE49-F238E27FC236}">
              <a16:creationId xmlns:a16="http://schemas.microsoft.com/office/drawing/2014/main" id="{D2A820C4-B9AF-4790-A5DE-0BFAC7D71DE3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25" name="Text Box 1">
          <a:extLst>
            <a:ext uri="{FF2B5EF4-FFF2-40B4-BE49-F238E27FC236}">
              <a16:creationId xmlns:a16="http://schemas.microsoft.com/office/drawing/2014/main" id="{CD19F840-0C33-47DD-BC35-8E397FC13E93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26" name="Text Box 1">
          <a:extLst>
            <a:ext uri="{FF2B5EF4-FFF2-40B4-BE49-F238E27FC236}">
              <a16:creationId xmlns:a16="http://schemas.microsoft.com/office/drawing/2014/main" id="{5514792E-2A8F-4793-90CC-304D3E5AA2A6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27" name="Text Box 1">
          <a:extLst>
            <a:ext uri="{FF2B5EF4-FFF2-40B4-BE49-F238E27FC236}">
              <a16:creationId xmlns:a16="http://schemas.microsoft.com/office/drawing/2014/main" id="{DA115CAF-2664-48E1-8959-2CD093F271EB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28" name="Text Box 1">
          <a:extLst>
            <a:ext uri="{FF2B5EF4-FFF2-40B4-BE49-F238E27FC236}">
              <a16:creationId xmlns:a16="http://schemas.microsoft.com/office/drawing/2014/main" id="{A82ECB7D-FC33-43AB-927A-FF5A97A196B8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29" name="Text Box 1">
          <a:extLst>
            <a:ext uri="{FF2B5EF4-FFF2-40B4-BE49-F238E27FC236}">
              <a16:creationId xmlns:a16="http://schemas.microsoft.com/office/drawing/2014/main" id="{76142500-B6FE-4385-87D2-F6491A7486C8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30" name="Text Box 1">
          <a:extLst>
            <a:ext uri="{FF2B5EF4-FFF2-40B4-BE49-F238E27FC236}">
              <a16:creationId xmlns:a16="http://schemas.microsoft.com/office/drawing/2014/main" id="{9264B657-C992-4A1E-B4AC-89D738404926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31" name="Text Box 1">
          <a:extLst>
            <a:ext uri="{FF2B5EF4-FFF2-40B4-BE49-F238E27FC236}">
              <a16:creationId xmlns:a16="http://schemas.microsoft.com/office/drawing/2014/main" id="{EA6D6436-88C2-41AF-8391-CA00B69654CA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32" name="Text Box 1">
          <a:extLst>
            <a:ext uri="{FF2B5EF4-FFF2-40B4-BE49-F238E27FC236}">
              <a16:creationId xmlns:a16="http://schemas.microsoft.com/office/drawing/2014/main" id="{B6143619-D6E3-40DB-97E6-E8D9EF5C3F04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33" name="Text Box 1">
          <a:extLst>
            <a:ext uri="{FF2B5EF4-FFF2-40B4-BE49-F238E27FC236}">
              <a16:creationId xmlns:a16="http://schemas.microsoft.com/office/drawing/2014/main" id="{9A0782AF-4836-43C4-97EF-8F7376BA621D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34" name="Text Box 1">
          <a:extLst>
            <a:ext uri="{FF2B5EF4-FFF2-40B4-BE49-F238E27FC236}">
              <a16:creationId xmlns:a16="http://schemas.microsoft.com/office/drawing/2014/main" id="{A6CFCBB2-450D-4691-BBDD-F82A68DC651B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35" name="Text Box 1">
          <a:extLst>
            <a:ext uri="{FF2B5EF4-FFF2-40B4-BE49-F238E27FC236}">
              <a16:creationId xmlns:a16="http://schemas.microsoft.com/office/drawing/2014/main" id="{CB3FBC1F-C39C-417B-AFDD-83BA61A0FF3F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36" name="Text Box 1">
          <a:extLst>
            <a:ext uri="{FF2B5EF4-FFF2-40B4-BE49-F238E27FC236}">
              <a16:creationId xmlns:a16="http://schemas.microsoft.com/office/drawing/2014/main" id="{E9784330-83E8-4181-BE1F-7E6EF46D85F4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37" name="Text Box 1">
          <a:extLst>
            <a:ext uri="{FF2B5EF4-FFF2-40B4-BE49-F238E27FC236}">
              <a16:creationId xmlns:a16="http://schemas.microsoft.com/office/drawing/2014/main" id="{BC944FC6-27E4-456C-AEF0-D7A1E31540AD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38" name="Text Box 1">
          <a:extLst>
            <a:ext uri="{FF2B5EF4-FFF2-40B4-BE49-F238E27FC236}">
              <a16:creationId xmlns:a16="http://schemas.microsoft.com/office/drawing/2014/main" id="{6CC8915C-CE11-4065-BAB4-48F1F5E8B92C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39" name="Text Box 1">
          <a:extLst>
            <a:ext uri="{FF2B5EF4-FFF2-40B4-BE49-F238E27FC236}">
              <a16:creationId xmlns:a16="http://schemas.microsoft.com/office/drawing/2014/main" id="{B3F96047-B265-41F9-8D98-4D3535D2F625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40" name="Text Box 1">
          <a:extLst>
            <a:ext uri="{FF2B5EF4-FFF2-40B4-BE49-F238E27FC236}">
              <a16:creationId xmlns:a16="http://schemas.microsoft.com/office/drawing/2014/main" id="{D9BB53D7-80D0-479C-84AF-5CBADA64CA0F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41" name="Text Box 1">
          <a:extLst>
            <a:ext uri="{FF2B5EF4-FFF2-40B4-BE49-F238E27FC236}">
              <a16:creationId xmlns:a16="http://schemas.microsoft.com/office/drawing/2014/main" id="{E14FEFAA-EE76-4ACC-B4B7-D2F4BB2396E1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42" name="Text Box 1">
          <a:extLst>
            <a:ext uri="{FF2B5EF4-FFF2-40B4-BE49-F238E27FC236}">
              <a16:creationId xmlns:a16="http://schemas.microsoft.com/office/drawing/2014/main" id="{E2088274-D1FE-4055-92C8-65FB643FAB93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43" name="Text Box 1">
          <a:extLst>
            <a:ext uri="{FF2B5EF4-FFF2-40B4-BE49-F238E27FC236}">
              <a16:creationId xmlns:a16="http://schemas.microsoft.com/office/drawing/2014/main" id="{1871F243-C139-4165-B12A-B11230C418EE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44" name="Text Box 1">
          <a:extLst>
            <a:ext uri="{FF2B5EF4-FFF2-40B4-BE49-F238E27FC236}">
              <a16:creationId xmlns:a16="http://schemas.microsoft.com/office/drawing/2014/main" id="{B9A72DE8-EA7C-4334-8E7A-270BE7DDD378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45" name="Text Box 1">
          <a:extLst>
            <a:ext uri="{FF2B5EF4-FFF2-40B4-BE49-F238E27FC236}">
              <a16:creationId xmlns:a16="http://schemas.microsoft.com/office/drawing/2014/main" id="{440979FB-2AE8-4787-9DA7-C8D3E9AA07FB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46" name="Text Box 1">
          <a:extLst>
            <a:ext uri="{FF2B5EF4-FFF2-40B4-BE49-F238E27FC236}">
              <a16:creationId xmlns:a16="http://schemas.microsoft.com/office/drawing/2014/main" id="{798F45FD-5DFD-42A0-B137-02DF00B50846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47" name="Text Box 1">
          <a:extLst>
            <a:ext uri="{FF2B5EF4-FFF2-40B4-BE49-F238E27FC236}">
              <a16:creationId xmlns:a16="http://schemas.microsoft.com/office/drawing/2014/main" id="{3585E9CA-A43B-4054-AD5C-330B50D439E0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48" name="Text Box 1">
          <a:extLst>
            <a:ext uri="{FF2B5EF4-FFF2-40B4-BE49-F238E27FC236}">
              <a16:creationId xmlns:a16="http://schemas.microsoft.com/office/drawing/2014/main" id="{7FC703FB-7563-47A0-9855-02FF2B96A19C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49" name="Text Box 1">
          <a:extLst>
            <a:ext uri="{FF2B5EF4-FFF2-40B4-BE49-F238E27FC236}">
              <a16:creationId xmlns:a16="http://schemas.microsoft.com/office/drawing/2014/main" id="{7D075A68-E16B-4E36-9385-9C7077C6BACC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50" name="Text Box 1">
          <a:extLst>
            <a:ext uri="{FF2B5EF4-FFF2-40B4-BE49-F238E27FC236}">
              <a16:creationId xmlns:a16="http://schemas.microsoft.com/office/drawing/2014/main" id="{CAC78D05-F879-486F-8321-135C6D61DFE9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51" name="Text Box 1">
          <a:extLst>
            <a:ext uri="{FF2B5EF4-FFF2-40B4-BE49-F238E27FC236}">
              <a16:creationId xmlns:a16="http://schemas.microsoft.com/office/drawing/2014/main" id="{8598DB2B-D821-4791-886C-66F7D357D12A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52" name="Text Box 1">
          <a:extLst>
            <a:ext uri="{FF2B5EF4-FFF2-40B4-BE49-F238E27FC236}">
              <a16:creationId xmlns:a16="http://schemas.microsoft.com/office/drawing/2014/main" id="{98E7C893-BD99-4C3A-B762-025BB292874E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53" name="Text Box 1">
          <a:extLst>
            <a:ext uri="{FF2B5EF4-FFF2-40B4-BE49-F238E27FC236}">
              <a16:creationId xmlns:a16="http://schemas.microsoft.com/office/drawing/2014/main" id="{0B1C9242-3B87-4482-8CA3-ACA59E2D4C5E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54" name="Text Box 1">
          <a:extLst>
            <a:ext uri="{FF2B5EF4-FFF2-40B4-BE49-F238E27FC236}">
              <a16:creationId xmlns:a16="http://schemas.microsoft.com/office/drawing/2014/main" id="{D047D611-EB0E-49EB-87E6-92FF350BCD16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55" name="Text Box 1">
          <a:extLst>
            <a:ext uri="{FF2B5EF4-FFF2-40B4-BE49-F238E27FC236}">
              <a16:creationId xmlns:a16="http://schemas.microsoft.com/office/drawing/2014/main" id="{D86062C8-C475-42F2-B819-3A5AD8658FD6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56" name="Text Box 1">
          <a:extLst>
            <a:ext uri="{FF2B5EF4-FFF2-40B4-BE49-F238E27FC236}">
              <a16:creationId xmlns:a16="http://schemas.microsoft.com/office/drawing/2014/main" id="{F46B9DB1-9A4A-4481-BD5A-25C8188CE7AB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57" name="Text Box 1">
          <a:extLst>
            <a:ext uri="{FF2B5EF4-FFF2-40B4-BE49-F238E27FC236}">
              <a16:creationId xmlns:a16="http://schemas.microsoft.com/office/drawing/2014/main" id="{4A6AC86B-177E-467C-B1D3-96835E7ADF79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58" name="Text Box 1">
          <a:extLst>
            <a:ext uri="{FF2B5EF4-FFF2-40B4-BE49-F238E27FC236}">
              <a16:creationId xmlns:a16="http://schemas.microsoft.com/office/drawing/2014/main" id="{EB6BF200-C016-4958-919A-C80E55D0CC40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59" name="Text Box 1">
          <a:extLst>
            <a:ext uri="{FF2B5EF4-FFF2-40B4-BE49-F238E27FC236}">
              <a16:creationId xmlns:a16="http://schemas.microsoft.com/office/drawing/2014/main" id="{CBD35321-3181-4EA7-94F4-C59524E9C3C8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60" name="Text Box 1">
          <a:extLst>
            <a:ext uri="{FF2B5EF4-FFF2-40B4-BE49-F238E27FC236}">
              <a16:creationId xmlns:a16="http://schemas.microsoft.com/office/drawing/2014/main" id="{4DC36E30-1FD1-4DF4-8F75-84A733075A86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61" name="Text Box 1">
          <a:extLst>
            <a:ext uri="{FF2B5EF4-FFF2-40B4-BE49-F238E27FC236}">
              <a16:creationId xmlns:a16="http://schemas.microsoft.com/office/drawing/2014/main" id="{02219DD3-761F-4AB3-8914-04839863768F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62" name="Text Box 1">
          <a:extLst>
            <a:ext uri="{FF2B5EF4-FFF2-40B4-BE49-F238E27FC236}">
              <a16:creationId xmlns:a16="http://schemas.microsoft.com/office/drawing/2014/main" id="{6FC38B65-2F1C-464F-9B55-E8A7FAD88472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63" name="Text Box 1">
          <a:extLst>
            <a:ext uri="{FF2B5EF4-FFF2-40B4-BE49-F238E27FC236}">
              <a16:creationId xmlns:a16="http://schemas.microsoft.com/office/drawing/2014/main" id="{B78521DB-F95D-4900-AB4F-B1D7B1CA71A2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64" name="Text Box 1">
          <a:extLst>
            <a:ext uri="{FF2B5EF4-FFF2-40B4-BE49-F238E27FC236}">
              <a16:creationId xmlns:a16="http://schemas.microsoft.com/office/drawing/2014/main" id="{2EFF2CCB-2CD4-4191-BE5E-4ADB64BF1AFC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65" name="Text Box 1">
          <a:extLst>
            <a:ext uri="{FF2B5EF4-FFF2-40B4-BE49-F238E27FC236}">
              <a16:creationId xmlns:a16="http://schemas.microsoft.com/office/drawing/2014/main" id="{C94D5ECB-AB8F-481A-908B-B6163DC4E512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66" name="Text Box 1">
          <a:extLst>
            <a:ext uri="{FF2B5EF4-FFF2-40B4-BE49-F238E27FC236}">
              <a16:creationId xmlns:a16="http://schemas.microsoft.com/office/drawing/2014/main" id="{6382CCC7-5AE9-472C-9436-F3D3B236C932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67" name="Text Box 1">
          <a:extLst>
            <a:ext uri="{FF2B5EF4-FFF2-40B4-BE49-F238E27FC236}">
              <a16:creationId xmlns:a16="http://schemas.microsoft.com/office/drawing/2014/main" id="{985746E5-9780-4D23-97AC-B63A6993E181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68" name="Text Box 1">
          <a:extLst>
            <a:ext uri="{FF2B5EF4-FFF2-40B4-BE49-F238E27FC236}">
              <a16:creationId xmlns:a16="http://schemas.microsoft.com/office/drawing/2014/main" id="{D9634D95-FB78-48D8-A9C1-0BDB412F9EA8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69" name="Text Box 1">
          <a:extLst>
            <a:ext uri="{FF2B5EF4-FFF2-40B4-BE49-F238E27FC236}">
              <a16:creationId xmlns:a16="http://schemas.microsoft.com/office/drawing/2014/main" id="{866C9E9E-2B0B-46F3-AF0C-DA56023F6109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70" name="Text Box 1">
          <a:extLst>
            <a:ext uri="{FF2B5EF4-FFF2-40B4-BE49-F238E27FC236}">
              <a16:creationId xmlns:a16="http://schemas.microsoft.com/office/drawing/2014/main" id="{A6E64C78-919E-402F-BEAC-F3BE3A9C1EFF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71" name="Text Box 1">
          <a:extLst>
            <a:ext uri="{FF2B5EF4-FFF2-40B4-BE49-F238E27FC236}">
              <a16:creationId xmlns:a16="http://schemas.microsoft.com/office/drawing/2014/main" id="{4DDAAB6E-C8DB-4AD3-B56F-3ACE4A0A1A46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72" name="Text Box 1">
          <a:extLst>
            <a:ext uri="{FF2B5EF4-FFF2-40B4-BE49-F238E27FC236}">
              <a16:creationId xmlns:a16="http://schemas.microsoft.com/office/drawing/2014/main" id="{4722117B-BDC2-4598-BCCF-4D4B73912817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73" name="Text Box 1">
          <a:extLst>
            <a:ext uri="{FF2B5EF4-FFF2-40B4-BE49-F238E27FC236}">
              <a16:creationId xmlns:a16="http://schemas.microsoft.com/office/drawing/2014/main" id="{6C9B3A67-A23D-418C-9A5B-EBF35141EE34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74" name="Text Box 1">
          <a:extLst>
            <a:ext uri="{FF2B5EF4-FFF2-40B4-BE49-F238E27FC236}">
              <a16:creationId xmlns:a16="http://schemas.microsoft.com/office/drawing/2014/main" id="{0D8E39F8-9AFD-4BA0-B84B-A53BECBDE024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75" name="Text Box 1">
          <a:extLst>
            <a:ext uri="{FF2B5EF4-FFF2-40B4-BE49-F238E27FC236}">
              <a16:creationId xmlns:a16="http://schemas.microsoft.com/office/drawing/2014/main" id="{0BF4D7B8-EAD0-4D9B-973C-442F76ACE115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76" name="Text Box 1">
          <a:extLst>
            <a:ext uri="{FF2B5EF4-FFF2-40B4-BE49-F238E27FC236}">
              <a16:creationId xmlns:a16="http://schemas.microsoft.com/office/drawing/2014/main" id="{4F00636D-6765-4395-8F74-3D1568D2A613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77" name="Text Box 1">
          <a:extLst>
            <a:ext uri="{FF2B5EF4-FFF2-40B4-BE49-F238E27FC236}">
              <a16:creationId xmlns:a16="http://schemas.microsoft.com/office/drawing/2014/main" id="{E8AFF44E-F089-4B57-B606-1FF30131E69A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78" name="Text Box 1">
          <a:extLst>
            <a:ext uri="{FF2B5EF4-FFF2-40B4-BE49-F238E27FC236}">
              <a16:creationId xmlns:a16="http://schemas.microsoft.com/office/drawing/2014/main" id="{D815E77C-F5C2-464B-8C67-36F9C751C086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79" name="Text Box 1">
          <a:extLst>
            <a:ext uri="{FF2B5EF4-FFF2-40B4-BE49-F238E27FC236}">
              <a16:creationId xmlns:a16="http://schemas.microsoft.com/office/drawing/2014/main" id="{2F41AEEA-3485-4A19-A993-4A5A1319E751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80" name="Text Box 1">
          <a:extLst>
            <a:ext uri="{FF2B5EF4-FFF2-40B4-BE49-F238E27FC236}">
              <a16:creationId xmlns:a16="http://schemas.microsoft.com/office/drawing/2014/main" id="{E2FD27C2-6F2E-42BE-B361-ABBAC062A656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81" name="Text Box 1">
          <a:extLst>
            <a:ext uri="{FF2B5EF4-FFF2-40B4-BE49-F238E27FC236}">
              <a16:creationId xmlns:a16="http://schemas.microsoft.com/office/drawing/2014/main" id="{4233A9DD-F7FD-4676-9DC2-6B34BD3A6541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82" name="Text Box 1">
          <a:extLst>
            <a:ext uri="{FF2B5EF4-FFF2-40B4-BE49-F238E27FC236}">
              <a16:creationId xmlns:a16="http://schemas.microsoft.com/office/drawing/2014/main" id="{0A8D2DBC-62F1-495B-A5FD-86A11B09E4CE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83" name="Text Box 1">
          <a:extLst>
            <a:ext uri="{FF2B5EF4-FFF2-40B4-BE49-F238E27FC236}">
              <a16:creationId xmlns:a16="http://schemas.microsoft.com/office/drawing/2014/main" id="{D804C9E9-A8CF-439A-A9B0-960946501F61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84" name="Text Box 1">
          <a:extLst>
            <a:ext uri="{FF2B5EF4-FFF2-40B4-BE49-F238E27FC236}">
              <a16:creationId xmlns:a16="http://schemas.microsoft.com/office/drawing/2014/main" id="{0C0DA5C2-E726-4A59-AE67-83D809A4FE16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85" name="Text Box 1">
          <a:extLst>
            <a:ext uri="{FF2B5EF4-FFF2-40B4-BE49-F238E27FC236}">
              <a16:creationId xmlns:a16="http://schemas.microsoft.com/office/drawing/2014/main" id="{62AF3374-AC8A-4A60-BF05-84209987329A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86" name="Text Box 1">
          <a:extLst>
            <a:ext uri="{FF2B5EF4-FFF2-40B4-BE49-F238E27FC236}">
              <a16:creationId xmlns:a16="http://schemas.microsoft.com/office/drawing/2014/main" id="{1ADB9522-E7A8-42DA-86AA-BAB69073D5CB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87" name="Text Box 1">
          <a:extLst>
            <a:ext uri="{FF2B5EF4-FFF2-40B4-BE49-F238E27FC236}">
              <a16:creationId xmlns:a16="http://schemas.microsoft.com/office/drawing/2014/main" id="{7795477F-3230-4C44-ABA9-64C0EAFB417B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88" name="Text Box 1">
          <a:extLst>
            <a:ext uri="{FF2B5EF4-FFF2-40B4-BE49-F238E27FC236}">
              <a16:creationId xmlns:a16="http://schemas.microsoft.com/office/drawing/2014/main" id="{4A8CE34E-C944-4F3A-896E-EF657A357D8C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89" name="Text Box 1">
          <a:extLst>
            <a:ext uri="{FF2B5EF4-FFF2-40B4-BE49-F238E27FC236}">
              <a16:creationId xmlns:a16="http://schemas.microsoft.com/office/drawing/2014/main" id="{0C3A8894-005F-4252-9F71-F15A07B37611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90" name="Text Box 1">
          <a:extLst>
            <a:ext uri="{FF2B5EF4-FFF2-40B4-BE49-F238E27FC236}">
              <a16:creationId xmlns:a16="http://schemas.microsoft.com/office/drawing/2014/main" id="{0DA97DE0-9857-448E-ABF9-833029FDD522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91" name="Text Box 1">
          <a:extLst>
            <a:ext uri="{FF2B5EF4-FFF2-40B4-BE49-F238E27FC236}">
              <a16:creationId xmlns:a16="http://schemas.microsoft.com/office/drawing/2014/main" id="{227D0DD1-43F2-44B0-93B5-CEA4527DC449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92" name="Text Box 1">
          <a:extLst>
            <a:ext uri="{FF2B5EF4-FFF2-40B4-BE49-F238E27FC236}">
              <a16:creationId xmlns:a16="http://schemas.microsoft.com/office/drawing/2014/main" id="{D5926604-C68B-4F61-BB55-4AD40E911899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93" name="Text Box 1">
          <a:extLst>
            <a:ext uri="{FF2B5EF4-FFF2-40B4-BE49-F238E27FC236}">
              <a16:creationId xmlns:a16="http://schemas.microsoft.com/office/drawing/2014/main" id="{5A4A0493-D312-48AC-82C8-72DDA6A89A55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94" name="Text Box 1">
          <a:extLst>
            <a:ext uri="{FF2B5EF4-FFF2-40B4-BE49-F238E27FC236}">
              <a16:creationId xmlns:a16="http://schemas.microsoft.com/office/drawing/2014/main" id="{DCE5C289-3F3D-4336-A440-CB49AE475AAE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95" name="Text Box 1">
          <a:extLst>
            <a:ext uri="{FF2B5EF4-FFF2-40B4-BE49-F238E27FC236}">
              <a16:creationId xmlns:a16="http://schemas.microsoft.com/office/drawing/2014/main" id="{C29C18CC-0E16-4B0F-BEF9-ABA6DC4E3B24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96" name="Text Box 1">
          <a:extLst>
            <a:ext uri="{FF2B5EF4-FFF2-40B4-BE49-F238E27FC236}">
              <a16:creationId xmlns:a16="http://schemas.microsoft.com/office/drawing/2014/main" id="{D2E581B0-26A9-4A0E-AEF0-D3EDB24A17FC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97" name="Text Box 1">
          <a:extLst>
            <a:ext uri="{FF2B5EF4-FFF2-40B4-BE49-F238E27FC236}">
              <a16:creationId xmlns:a16="http://schemas.microsoft.com/office/drawing/2014/main" id="{54FF91AA-2AE2-4B7E-A2AE-87EBDDC16CB8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98" name="Text Box 1">
          <a:extLst>
            <a:ext uri="{FF2B5EF4-FFF2-40B4-BE49-F238E27FC236}">
              <a16:creationId xmlns:a16="http://schemas.microsoft.com/office/drawing/2014/main" id="{77138DCA-4B40-4186-B49A-F68C868EF043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99" name="Text Box 1">
          <a:extLst>
            <a:ext uri="{FF2B5EF4-FFF2-40B4-BE49-F238E27FC236}">
              <a16:creationId xmlns:a16="http://schemas.microsoft.com/office/drawing/2014/main" id="{9C4D591B-11FF-490F-AA8C-138276C76535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00" name="Text Box 1">
          <a:extLst>
            <a:ext uri="{FF2B5EF4-FFF2-40B4-BE49-F238E27FC236}">
              <a16:creationId xmlns:a16="http://schemas.microsoft.com/office/drawing/2014/main" id="{F4055060-B658-46E2-B56F-C761FB65B762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01" name="Text Box 1">
          <a:extLst>
            <a:ext uri="{FF2B5EF4-FFF2-40B4-BE49-F238E27FC236}">
              <a16:creationId xmlns:a16="http://schemas.microsoft.com/office/drawing/2014/main" id="{08F15909-32D3-4D3C-B687-653FB357FFD0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02" name="Text Box 1">
          <a:extLst>
            <a:ext uri="{FF2B5EF4-FFF2-40B4-BE49-F238E27FC236}">
              <a16:creationId xmlns:a16="http://schemas.microsoft.com/office/drawing/2014/main" id="{D11A3126-5967-41D0-A98C-C8B255A74950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03" name="Text Box 1">
          <a:extLst>
            <a:ext uri="{FF2B5EF4-FFF2-40B4-BE49-F238E27FC236}">
              <a16:creationId xmlns:a16="http://schemas.microsoft.com/office/drawing/2014/main" id="{FB49BC0A-351C-49BC-B912-5B4A3A263F53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04" name="Text Box 1">
          <a:extLst>
            <a:ext uri="{FF2B5EF4-FFF2-40B4-BE49-F238E27FC236}">
              <a16:creationId xmlns:a16="http://schemas.microsoft.com/office/drawing/2014/main" id="{FBCEF1CB-6A63-4C9D-BDAB-9EDA2BB8419D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05" name="Text Box 1">
          <a:extLst>
            <a:ext uri="{FF2B5EF4-FFF2-40B4-BE49-F238E27FC236}">
              <a16:creationId xmlns:a16="http://schemas.microsoft.com/office/drawing/2014/main" id="{9A0CA060-C334-4414-8D58-CF164EE190F5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06" name="Text Box 1">
          <a:extLst>
            <a:ext uri="{FF2B5EF4-FFF2-40B4-BE49-F238E27FC236}">
              <a16:creationId xmlns:a16="http://schemas.microsoft.com/office/drawing/2014/main" id="{54A2438C-97A5-438E-85B1-3EAA42057F49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07" name="Text Box 1">
          <a:extLst>
            <a:ext uri="{FF2B5EF4-FFF2-40B4-BE49-F238E27FC236}">
              <a16:creationId xmlns:a16="http://schemas.microsoft.com/office/drawing/2014/main" id="{B4C377E2-0C14-47C3-8B78-D7A39BADE24A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08" name="Text Box 1">
          <a:extLst>
            <a:ext uri="{FF2B5EF4-FFF2-40B4-BE49-F238E27FC236}">
              <a16:creationId xmlns:a16="http://schemas.microsoft.com/office/drawing/2014/main" id="{BEBE02CB-E992-4D96-A41E-808180A10B03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09" name="Text Box 1">
          <a:extLst>
            <a:ext uri="{FF2B5EF4-FFF2-40B4-BE49-F238E27FC236}">
              <a16:creationId xmlns:a16="http://schemas.microsoft.com/office/drawing/2014/main" id="{5DE6A0AF-1F4A-4B73-9D3D-8D90D3C44B4E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10" name="Text Box 1">
          <a:extLst>
            <a:ext uri="{FF2B5EF4-FFF2-40B4-BE49-F238E27FC236}">
              <a16:creationId xmlns:a16="http://schemas.microsoft.com/office/drawing/2014/main" id="{D5615B69-CCB5-47BB-A24C-8307A8AE5F1B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11" name="Text Box 1">
          <a:extLst>
            <a:ext uri="{FF2B5EF4-FFF2-40B4-BE49-F238E27FC236}">
              <a16:creationId xmlns:a16="http://schemas.microsoft.com/office/drawing/2014/main" id="{99BA49F3-27CA-430B-8B91-2AA0D5972A0C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12" name="Text Box 1">
          <a:extLst>
            <a:ext uri="{FF2B5EF4-FFF2-40B4-BE49-F238E27FC236}">
              <a16:creationId xmlns:a16="http://schemas.microsoft.com/office/drawing/2014/main" id="{E77C5DF4-E23D-4FD2-AF31-F1D86682A03D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13" name="Text Box 1">
          <a:extLst>
            <a:ext uri="{FF2B5EF4-FFF2-40B4-BE49-F238E27FC236}">
              <a16:creationId xmlns:a16="http://schemas.microsoft.com/office/drawing/2014/main" id="{1C6D0300-DA13-40C1-A340-F8C56FDAD4EC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14" name="Text Box 1">
          <a:extLst>
            <a:ext uri="{FF2B5EF4-FFF2-40B4-BE49-F238E27FC236}">
              <a16:creationId xmlns:a16="http://schemas.microsoft.com/office/drawing/2014/main" id="{09FB9132-ADA2-4C25-A00E-85CC7382EB64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15" name="Text Box 1">
          <a:extLst>
            <a:ext uri="{FF2B5EF4-FFF2-40B4-BE49-F238E27FC236}">
              <a16:creationId xmlns:a16="http://schemas.microsoft.com/office/drawing/2014/main" id="{E0CA22C7-D339-4302-AD71-F389095EE08B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16" name="Text Box 1">
          <a:extLst>
            <a:ext uri="{FF2B5EF4-FFF2-40B4-BE49-F238E27FC236}">
              <a16:creationId xmlns:a16="http://schemas.microsoft.com/office/drawing/2014/main" id="{9B4DF193-E62D-4F08-A47F-D5812D8D1850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17" name="Text Box 1">
          <a:extLst>
            <a:ext uri="{FF2B5EF4-FFF2-40B4-BE49-F238E27FC236}">
              <a16:creationId xmlns:a16="http://schemas.microsoft.com/office/drawing/2014/main" id="{E9E9BC30-FB08-413D-8DFA-9F1D086CD56A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18" name="Text Box 1">
          <a:extLst>
            <a:ext uri="{FF2B5EF4-FFF2-40B4-BE49-F238E27FC236}">
              <a16:creationId xmlns:a16="http://schemas.microsoft.com/office/drawing/2014/main" id="{6B62CAB0-A0CD-422A-BE56-DB1A60D353CA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19" name="Text Box 1">
          <a:extLst>
            <a:ext uri="{FF2B5EF4-FFF2-40B4-BE49-F238E27FC236}">
              <a16:creationId xmlns:a16="http://schemas.microsoft.com/office/drawing/2014/main" id="{175099B5-F37E-4217-B426-1E32B0DC4C13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20" name="Text Box 1">
          <a:extLst>
            <a:ext uri="{FF2B5EF4-FFF2-40B4-BE49-F238E27FC236}">
              <a16:creationId xmlns:a16="http://schemas.microsoft.com/office/drawing/2014/main" id="{9A7252AB-EAA6-4F73-9F07-4E73DF32481C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21" name="Text Box 1">
          <a:extLst>
            <a:ext uri="{FF2B5EF4-FFF2-40B4-BE49-F238E27FC236}">
              <a16:creationId xmlns:a16="http://schemas.microsoft.com/office/drawing/2014/main" id="{32AABE0D-421F-448C-BBFC-015900238ED3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22" name="Text Box 1">
          <a:extLst>
            <a:ext uri="{FF2B5EF4-FFF2-40B4-BE49-F238E27FC236}">
              <a16:creationId xmlns:a16="http://schemas.microsoft.com/office/drawing/2014/main" id="{8F65DD9B-C1FD-4467-A285-6CB1AD1C51AF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23" name="Text Box 1">
          <a:extLst>
            <a:ext uri="{FF2B5EF4-FFF2-40B4-BE49-F238E27FC236}">
              <a16:creationId xmlns:a16="http://schemas.microsoft.com/office/drawing/2014/main" id="{14D95502-BA3E-4BCF-8249-4114443815D7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24" name="Text Box 1">
          <a:extLst>
            <a:ext uri="{FF2B5EF4-FFF2-40B4-BE49-F238E27FC236}">
              <a16:creationId xmlns:a16="http://schemas.microsoft.com/office/drawing/2014/main" id="{765A287E-378E-4DDF-8142-71E7DCC8A996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25" name="Text Box 1">
          <a:extLst>
            <a:ext uri="{FF2B5EF4-FFF2-40B4-BE49-F238E27FC236}">
              <a16:creationId xmlns:a16="http://schemas.microsoft.com/office/drawing/2014/main" id="{89892B62-340F-4498-A8D8-8417EC4F3695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26" name="Text Box 1">
          <a:extLst>
            <a:ext uri="{FF2B5EF4-FFF2-40B4-BE49-F238E27FC236}">
              <a16:creationId xmlns:a16="http://schemas.microsoft.com/office/drawing/2014/main" id="{616980BC-EDEB-488D-B5B0-0C46EDA7B788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27" name="Text Box 1">
          <a:extLst>
            <a:ext uri="{FF2B5EF4-FFF2-40B4-BE49-F238E27FC236}">
              <a16:creationId xmlns:a16="http://schemas.microsoft.com/office/drawing/2014/main" id="{9D68E460-1757-4A78-9BD5-0642B88E7CBB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28" name="Text Box 1">
          <a:extLst>
            <a:ext uri="{FF2B5EF4-FFF2-40B4-BE49-F238E27FC236}">
              <a16:creationId xmlns:a16="http://schemas.microsoft.com/office/drawing/2014/main" id="{D2486744-0429-4B26-B922-9FC6833604C6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29" name="Text Box 1">
          <a:extLst>
            <a:ext uri="{FF2B5EF4-FFF2-40B4-BE49-F238E27FC236}">
              <a16:creationId xmlns:a16="http://schemas.microsoft.com/office/drawing/2014/main" id="{9F1A2F25-D5CA-48E7-9372-440C942C1D86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30" name="Text Box 1">
          <a:extLst>
            <a:ext uri="{FF2B5EF4-FFF2-40B4-BE49-F238E27FC236}">
              <a16:creationId xmlns:a16="http://schemas.microsoft.com/office/drawing/2014/main" id="{A2181217-F2D6-4CE8-BE19-02E5A0B35173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31" name="Text Box 1">
          <a:extLst>
            <a:ext uri="{FF2B5EF4-FFF2-40B4-BE49-F238E27FC236}">
              <a16:creationId xmlns:a16="http://schemas.microsoft.com/office/drawing/2014/main" id="{863BFA00-46D4-4704-A836-2F9C1544F2AA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32" name="Text Box 1">
          <a:extLst>
            <a:ext uri="{FF2B5EF4-FFF2-40B4-BE49-F238E27FC236}">
              <a16:creationId xmlns:a16="http://schemas.microsoft.com/office/drawing/2014/main" id="{005AE2E4-E4D2-4157-BA2F-E6745025C543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33" name="Text Box 1">
          <a:extLst>
            <a:ext uri="{FF2B5EF4-FFF2-40B4-BE49-F238E27FC236}">
              <a16:creationId xmlns:a16="http://schemas.microsoft.com/office/drawing/2014/main" id="{E49133C8-524C-4107-BE38-DE94A56016A4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34" name="Text Box 1">
          <a:extLst>
            <a:ext uri="{FF2B5EF4-FFF2-40B4-BE49-F238E27FC236}">
              <a16:creationId xmlns:a16="http://schemas.microsoft.com/office/drawing/2014/main" id="{19993F8C-E3A4-4EE3-BF70-28365EA3FE93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35" name="Text Box 1">
          <a:extLst>
            <a:ext uri="{FF2B5EF4-FFF2-40B4-BE49-F238E27FC236}">
              <a16:creationId xmlns:a16="http://schemas.microsoft.com/office/drawing/2014/main" id="{CD0CF9DD-8452-4779-BD46-30E159E9EC9B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36" name="Text Box 1">
          <a:extLst>
            <a:ext uri="{FF2B5EF4-FFF2-40B4-BE49-F238E27FC236}">
              <a16:creationId xmlns:a16="http://schemas.microsoft.com/office/drawing/2014/main" id="{8F53FFBD-E55F-451D-8F2B-03F69AAB53E9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37" name="Text Box 1">
          <a:extLst>
            <a:ext uri="{FF2B5EF4-FFF2-40B4-BE49-F238E27FC236}">
              <a16:creationId xmlns:a16="http://schemas.microsoft.com/office/drawing/2014/main" id="{5ADF9339-8C4C-488F-9E35-D35172929BA2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38" name="Text Box 1">
          <a:extLst>
            <a:ext uri="{FF2B5EF4-FFF2-40B4-BE49-F238E27FC236}">
              <a16:creationId xmlns:a16="http://schemas.microsoft.com/office/drawing/2014/main" id="{A828E51C-7F01-4267-88D9-ACD7DB26139F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39" name="Text Box 1">
          <a:extLst>
            <a:ext uri="{FF2B5EF4-FFF2-40B4-BE49-F238E27FC236}">
              <a16:creationId xmlns:a16="http://schemas.microsoft.com/office/drawing/2014/main" id="{4CE8ABE4-1FE8-40BE-BE01-6ED3F1131B23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40" name="Text Box 1">
          <a:extLst>
            <a:ext uri="{FF2B5EF4-FFF2-40B4-BE49-F238E27FC236}">
              <a16:creationId xmlns:a16="http://schemas.microsoft.com/office/drawing/2014/main" id="{B54F1AA9-89A7-48F8-AAE1-A41D64A6A029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41" name="Text Box 1">
          <a:extLst>
            <a:ext uri="{FF2B5EF4-FFF2-40B4-BE49-F238E27FC236}">
              <a16:creationId xmlns:a16="http://schemas.microsoft.com/office/drawing/2014/main" id="{8F6ABDE8-132B-493B-98FD-B9728BA74D94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42" name="Text Box 1">
          <a:extLst>
            <a:ext uri="{FF2B5EF4-FFF2-40B4-BE49-F238E27FC236}">
              <a16:creationId xmlns:a16="http://schemas.microsoft.com/office/drawing/2014/main" id="{3E6113F9-C215-4711-A231-E634F05A795C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43" name="Text Box 1">
          <a:extLst>
            <a:ext uri="{FF2B5EF4-FFF2-40B4-BE49-F238E27FC236}">
              <a16:creationId xmlns:a16="http://schemas.microsoft.com/office/drawing/2014/main" id="{D8863012-437A-44E5-89AC-84595F9E3663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44" name="Text Box 1">
          <a:extLst>
            <a:ext uri="{FF2B5EF4-FFF2-40B4-BE49-F238E27FC236}">
              <a16:creationId xmlns:a16="http://schemas.microsoft.com/office/drawing/2014/main" id="{CD3BBED0-B943-4E81-B6FA-91E1E01E1A2E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45" name="Text Box 1">
          <a:extLst>
            <a:ext uri="{FF2B5EF4-FFF2-40B4-BE49-F238E27FC236}">
              <a16:creationId xmlns:a16="http://schemas.microsoft.com/office/drawing/2014/main" id="{D59785FA-7E4F-423E-9DB7-BCBF8DEB6637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46" name="Text Box 1">
          <a:extLst>
            <a:ext uri="{FF2B5EF4-FFF2-40B4-BE49-F238E27FC236}">
              <a16:creationId xmlns:a16="http://schemas.microsoft.com/office/drawing/2014/main" id="{B44AD030-C2AF-477A-AFFB-C0CD460D7258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47" name="Text Box 1">
          <a:extLst>
            <a:ext uri="{FF2B5EF4-FFF2-40B4-BE49-F238E27FC236}">
              <a16:creationId xmlns:a16="http://schemas.microsoft.com/office/drawing/2014/main" id="{F07BDD3A-F730-4776-932C-FD03A7151025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48" name="Text Box 1">
          <a:extLst>
            <a:ext uri="{FF2B5EF4-FFF2-40B4-BE49-F238E27FC236}">
              <a16:creationId xmlns:a16="http://schemas.microsoft.com/office/drawing/2014/main" id="{4DBE7278-C172-4B78-AD5A-9AD6C3940333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49" name="Text Box 1">
          <a:extLst>
            <a:ext uri="{FF2B5EF4-FFF2-40B4-BE49-F238E27FC236}">
              <a16:creationId xmlns:a16="http://schemas.microsoft.com/office/drawing/2014/main" id="{36F8352D-BD5B-4EB9-8ABA-3DB679880850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50" name="Text Box 1">
          <a:extLst>
            <a:ext uri="{FF2B5EF4-FFF2-40B4-BE49-F238E27FC236}">
              <a16:creationId xmlns:a16="http://schemas.microsoft.com/office/drawing/2014/main" id="{4F36C03F-A5F5-4FD6-A4AE-7A64D9A8CB46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51" name="Text Box 1">
          <a:extLst>
            <a:ext uri="{FF2B5EF4-FFF2-40B4-BE49-F238E27FC236}">
              <a16:creationId xmlns:a16="http://schemas.microsoft.com/office/drawing/2014/main" id="{BF59B617-56FA-4B80-9504-4A3F52F7FDAA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52" name="Text Box 1">
          <a:extLst>
            <a:ext uri="{FF2B5EF4-FFF2-40B4-BE49-F238E27FC236}">
              <a16:creationId xmlns:a16="http://schemas.microsoft.com/office/drawing/2014/main" id="{040B4735-CE84-4813-AA7B-7902BBD73DA1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53" name="Text Box 1">
          <a:extLst>
            <a:ext uri="{FF2B5EF4-FFF2-40B4-BE49-F238E27FC236}">
              <a16:creationId xmlns:a16="http://schemas.microsoft.com/office/drawing/2014/main" id="{CE7390D8-7EFC-45CD-A83F-D2E898386844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54" name="Text Box 1">
          <a:extLst>
            <a:ext uri="{FF2B5EF4-FFF2-40B4-BE49-F238E27FC236}">
              <a16:creationId xmlns:a16="http://schemas.microsoft.com/office/drawing/2014/main" id="{C96ED498-0E92-46DC-816D-8A1F0BBAF17C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55" name="Text Box 1">
          <a:extLst>
            <a:ext uri="{FF2B5EF4-FFF2-40B4-BE49-F238E27FC236}">
              <a16:creationId xmlns:a16="http://schemas.microsoft.com/office/drawing/2014/main" id="{E392FE00-2687-4415-A21E-F21A234B6520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56" name="Text Box 1">
          <a:extLst>
            <a:ext uri="{FF2B5EF4-FFF2-40B4-BE49-F238E27FC236}">
              <a16:creationId xmlns:a16="http://schemas.microsoft.com/office/drawing/2014/main" id="{1DEF52A0-105E-448A-A855-8BD67878656B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57" name="Text Box 1">
          <a:extLst>
            <a:ext uri="{FF2B5EF4-FFF2-40B4-BE49-F238E27FC236}">
              <a16:creationId xmlns:a16="http://schemas.microsoft.com/office/drawing/2014/main" id="{27B39AFB-1ED1-4D7B-8719-70B6372ECDF3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58" name="Text Box 1">
          <a:extLst>
            <a:ext uri="{FF2B5EF4-FFF2-40B4-BE49-F238E27FC236}">
              <a16:creationId xmlns:a16="http://schemas.microsoft.com/office/drawing/2014/main" id="{ADC6C6F4-E0CD-4F61-9C1A-E38707987A80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59" name="Text Box 1">
          <a:extLst>
            <a:ext uri="{FF2B5EF4-FFF2-40B4-BE49-F238E27FC236}">
              <a16:creationId xmlns:a16="http://schemas.microsoft.com/office/drawing/2014/main" id="{F0640F93-6875-4A84-9618-0315FA4C6A84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60" name="Text Box 1">
          <a:extLst>
            <a:ext uri="{FF2B5EF4-FFF2-40B4-BE49-F238E27FC236}">
              <a16:creationId xmlns:a16="http://schemas.microsoft.com/office/drawing/2014/main" id="{F4A5057C-489F-41EA-B394-2CB6AC4A6A69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61" name="Text Box 1">
          <a:extLst>
            <a:ext uri="{FF2B5EF4-FFF2-40B4-BE49-F238E27FC236}">
              <a16:creationId xmlns:a16="http://schemas.microsoft.com/office/drawing/2014/main" id="{2FE52C2A-9ABE-4922-973F-75B949C088DB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62" name="Text Box 1">
          <a:extLst>
            <a:ext uri="{FF2B5EF4-FFF2-40B4-BE49-F238E27FC236}">
              <a16:creationId xmlns:a16="http://schemas.microsoft.com/office/drawing/2014/main" id="{C8CBCB1E-EA7D-4FA8-A72E-4FE355559427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63" name="Text Box 1">
          <a:extLst>
            <a:ext uri="{FF2B5EF4-FFF2-40B4-BE49-F238E27FC236}">
              <a16:creationId xmlns:a16="http://schemas.microsoft.com/office/drawing/2014/main" id="{A6187319-1E59-4495-AE83-98C32D83DD0C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64" name="Text Box 1">
          <a:extLst>
            <a:ext uri="{FF2B5EF4-FFF2-40B4-BE49-F238E27FC236}">
              <a16:creationId xmlns:a16="http://schemas.microsoft.com/office/drawing/2014/main" id="{04BB0DF2-3BC6-4B2A-AD01-18A9477CA788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65" name="Text Box 1">
          <a:extLst>
            <a:ext uri="{FF2B5EF4-FFF2-40B4-BE49-F238E27FC236}">
              <a16:creationId xmlns:a16="http://schemas.microsoft.com/office/drawing/2014/main" id="{348A81B2-50A4-4B4C-AD5B-062C2CAAD2FC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166" name="Text Box 1">
          <a:extLst>
            <a:ext uri="{FF2B5EF4-FFF2-40B4-BE49-F238E27FC236}">
              <a16:creationId xmlns:a16="http://schemas.microsoft.com/office/drawing/2014/main" id="{8E1DCCC3-E595-4C24-8F99-9D098BCADB88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167" name="Text Box 1">
          <a:extLst>
            <a:ext uri="{FF2B5EF4-FFF2-40B4-BE49-F238E27FC236}">
              <a16:creationId xmlns:a16="http://schemas.microsoft.com/office/drawing/2014/main" id="{F942F5E8-40F9-406B-96B5-DD3BC3693E73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168" name="Text Box 1">
          <a:extLst>
            <a:ext uri="{FF2B5EF4-FFF2-40B4-BE49-F238E27FC236}">
              <a16:creationId xmlns:a16="http://schemas.microsoft.com/office/drawing/2014/main" id="{4A8F763C-E8AB-47BE-8583-B6AEC118D0F3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169" name="Text Box 1">
          <a:extLst>
            <a:ext uri="{FF2B5EF4-FFF2-40B4-BE49-F238E27FC236}">
              <a16:creationId xmlns:a16="http://schemas.microsoft.com/office/drawing/2014/main" id="{FD5A9AEB-52C9-48CA-B34C-1C608D143A93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170" name="Text Box 1">
          <a:extLst>
            <a:ext uri="{FF2B5EF4-FFF2-40B4-BE49-F238E27FC236}">
              <a16:creationId xmlns:a16="http://schemas.microsoft.com/office/drawing/2014/main" id="{F0EFA52C-D38F-4EE0-8D7D-4F84093E1B21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171" name="Text Box 1">
          <a:extLst>
            <a:ext uri="{FF2B5EF4-FFF2-40B4-BE49-F238E27FC236}">
              <a16:creationId xmlns:a16="http://schemas.microsoft.com/office/drawing/2014/main" id="{EEE839A6-1C4E-429F-8A53-220DC75D858E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172" name="Text Box 1">
          <a:extLst>
            <a:ext uri="{FF2B5EF4-FFF2-40B4-BE49-F238E27FC236}">
              <a16:creationId xmlns:a16="http://schemas.microsoft.com/office/drawing/2014/main" id="{D2FC49E1-865C-4B31-82B3-81305A8F2305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173" name="Text Box 1">
          <a:extLst>
            <a:ext uri="{FF2B5EF4-FFF2-40B4-BE49-F238E27FC236}">
              <a16:creationId xmlns:a16="http://schemas.microsoft.com/office/drawing/2014/main" id="{E2C3C1FA-3169-49F1-B556-7551020DFD18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174" name="Text Box 1">
          <a:extLst>
            <a:ext uri="{FF2B5EF4-FFF2-40B4-BE49-F238E27FC236}">
              <a16:creationId xmlns:a16="http://schemas.microsoft.com/office/drawing/2014/main" id="{124EE227-ED53-4418-8F9A-BBF08DB51B15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175" name="Text Box 1">
          <a:extLst>
            <a:ext uri="{FF2B5EF4-FFF2-40B4-BE49-F238E27FC236}">
              <a16:creationId xmlns:a16="http://schemas.microsoft.com/office/drawing/2014/main" id="{942386C6-E263-44FE-A8C1-9DFBDB61175E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176" name="Text Box 1">
          <a:extLst>
            <a:ext uri="{FF2B5EF4-FFF2-40B4-BE49-F238E27FC236}">
              <a16:creationId xmlns:a16="http://schemas.microsoft.com/office/drawing/2014/main" id="{70D95499-6FDD-4275-B329-107A48B5A07A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177" name="Text Box 1">
          <a:extLst>
            <a:ext uri="{FF2B5EF4-FFF2-40B4-BE49-F238E27FC236}">
              <a16:creationId xmlns:a16="http://schemas.microsoft.com/office/drawing/2014/main" id="{DC06818E-F94A-4540-830F-622C8A381714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178" name="Text Box 1">
          <a:extLst>
            <a:ext uri="{FF2B5EF4-FFF2-40B4-BE49-F238E27FC236}">
              <a16:creationId xmlns:a16="http://schemas.microsoft.com/office/drawing/2014/main" id="{12107DBF-8B5B-4ABE-9A3C-D4BD05EBE985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179" name="Text Box 1">
          <a:extLst>
            <a:ext uri="{FF2B5EF4-FFF2-40B4-BE49-F238E27FC236}">
              <a16:creationId xmlns:a16="http://schemas.microsoft.com/office/drawing/2014/main" id="{8B7AABDF-8968-47AA-BA7E-24AA1C380FEE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180" name="Text Box 1">
          <a:extLst>
            <a:ext uri="{FF2B5EF4-FFF2-40B4-BE49-F238E27FC236}">
              <a16:creationId xmlns:a16="http://schemas.microsoft.com/office/drawing/2014/main" id="{43A6735F-F2BE-4EE2-B9E3-86D5AE600561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181" name="Text Box 1">
          <a:extLst>
            <a:ext uri="{FF2B5EF4-FFF2-40B4-BE49-F238E27FC236}">
              <a16:creationId xmlns:a16="http://schemas.microsoft.com/office/drawing/2014/main" id="{CC7BD65E-F27C-447C-995D-74ECE8D6443B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182" name="Text Box 1">
          <a:extLst>
            <a:ext uri="{FF2B5EF4-FFF2-40B4-BE49-F238E27FC236}">
              <a16:creationId xmlns:a16="http://schemas.microsoft.com/office/drawing/2014/main" id="{13BBBCB7-C15F-45DC-BCA8-EC908F8DEE9A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183" name="Text Box 1">
          <a:extLst>
            <a:ext uri="{FF2B5EF4-FFF2-40B4-BE49-F238E27FC236}">
              <a16:creationId xmlns:a16="http://schemas.microsoft.com/office/drawing/2014/main" id="{25795F52-16B7-4AD0-989E-0174BD7A44C2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184" name="Text Box 1">
          <a:extLst>
            <a:ext uri="{FF2B5EF4-FFF2-40B4-BE49-F238E27FC236}">
              <a16:creationId xmlns:a16="http://schemas.microsoft.com/office/drawing/2014/main" id="{06662979-84F4-4D7C-9C8A-74349AA9C5EF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185" name="Text Box 1">
          <a:extLst>
            <a:ext uri="{FF2B5EF4-FFF2-40B4-BE49-F238E27FC236}">
              <a16:creationId xmlns:a16="http://schemas.microsoft.com/office/drawing/2014/main" id="{D9DC604B-93A5-45DD-9258-C390E596E860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186" name="Text Box 1">
          <a:extLst>
            <a:ext uri="{FF2B5EF4-FFF2-40B4-BE49-F238E27FC236}">
              <a16:creationId xmlns:a16="http://schemas.microsoft.com/office/drawing/2014/main" id="{BB6DA677-0876-45BC-A9AB-36E6DA683655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187" name="Text Box 1">
          <a:extLst>
            <a:ext uri="{FF2B5EF4-FFF2-40B4-BE49-F238E27FC236}">
              <a16:creationId xmlns:a16="http://schemas.microsoft.com/office/drawing/2014/main" id="{19706C7C-B26E-4CE2-94C6-5EF18A9B5FCD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188" name="Text Box 1">
          <a:extLst>
            <a:ext uri="{FF2B5EF4-FFF2-40B4-BE49-F238E27FC236}">
              <a16:creationId xmlns:a16="http://schemas.microsoft.com/office/drawing/2014/main" id="{D84E1327-D94E-4DA3-A2DA-5CFA1729C0A8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189" name="Text Box 1">
          <a:extLst>
            <a:ext uri="{FF2B5EF4-FFF2-40B4-BE49-F238E27FC236}">
              <a16:creationId xmlns:a16="http://schemas.microsoft.com/office/drawing/2014/main" id="{4AF3285F-B87D-40ED-B8F3-919D0329A9C5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190" name="Text Box 1">
          <a:extLst>
            <a:ext uri="{FF2B5EF4-FFF2-40B4-BE49-F238E27FC236}">
              <a16:creationId xmlns:a16="http://schemas.microsoft.com/office/drawing/2014/main" id="{85CCF031-1B17-48E2-8CE0-F2314E3E7FD6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191" name="Text Box 1">
          <a:extLst>
            <a:ext uri="{FF2B5EF4-FFF2-40B4-BE49-F238E27FC236}">
              <a16:creationId xmlns:a16="http://schemas.microsoft.com/office/drawing/2014/main" id="{F832B7B3-04A6-4715-AB6E-2539CF695547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192" name="Text Box 1">
          <a:extLst>
            <a:ext uri="{FF2B5EF4-FFF2-40B4-BE49-F238E27FC236}">
              <a16:creationId xmlns:a16="http://schemas.microsoft.com/office/drawing/2014/main" id="{EE569E99-248B-4996-B25D-522DEF9DA0CA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193" name="Text Box 1">
          <a:extLst>
            <a:ext uri="{FF2B5EF4-FFF2-40B4-BE49-F238E27FC236}">
              <a16:creationId xmlns:a16="http://schemas.microsoft.com/office/drawing/2014/main" id="{BC22AEA7-984C-4DBB-B1DB-1248978AA843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194" name="Text Box 1">
          <a:extLst>
            <a:ext uri="{FF2B5EF4-FFF2-40B4-BE49-F238E27FC236}">
              <a16:creationId xmlns:a16="http://schemas.microsoft.com/office/drawing/2014/main" id="{DDCF4796-4F28-4EBC-9027-26D3C9037673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195" name="Text Box 1">
          <a:extLst>
            <a:ext uri="{FF2B5EF4-FFF2-40B4-BE49-F238E27FC236}">
              <a16:creationId xmlns:a16="http://schemas.microsoft.com/office/drawing/2014/main" id="{7B2983CE-99C6-48E4-9905-3C242AE9BF8F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196" name="Text Box 1">
          <a:extLst>
            <a:ext uri="{FF2B5EF4-FFF2-40B4-BE49-F238E27FC236}">
              <a16:creationId xmlns:a16="http://schemas.microsoft.com/office/drawing/2014/main" id="{7BCA3C41-0874-45FE-978B-3397BEE4685E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197" name="Text Box 1">
          <a:extLst>
            <a:ext uri="{FF2B5EF4-FFF2-40B4-BE49-F238E27FC236}">
              <a16:creationId xmlns:a16="http://schemas.microsoft.com/office/drawing/2014/main" id="{5F18AB0D-6540-44B3-9A95-B24565660D48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98" name="Text Box 1">
          <a:extLst>
            <a:ext uri="{FF2B5EF4-FFF2-40B4-BE49-F238E27FC236}">
              <a16:creationId xmlns:a16="http://schemas.microsoft.com/office/drawing/2014/main" id="{DE8879DE-D516-44E2-9817-CD16CC788813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199" name="Text Box 1">
          <a:extLst>
            <a:ext uri="{FF2B5EF4-FFF2-40B4-BE49-F238E27FC236}">
              <a16:creationId xmlns:a16="http://schemas.microsoft.com/office/drawing/2014/main" id="{EB34CD81-64B0-4E8F-96F2-8F0E4481FCB1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200" name="Text Box 1">
          <a:extLst>
            <a:ext uri="{FF2B5EF4-FFF2-40B4-BE49-F238E27FC236}">
              <a16:creationId xmlns:a16="http://schemas.microsoft.com/office/drawing/2014/main" id="{7F0EF0CB-6F87-494F-BC8D-158209625CC8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201" name="Text Box 1">
          <a:extLst>
            <a:ext uri="{FF2B5EF4-FFF2-40B4-BE49-F238E27FC236}">
              <a16:creationId xmlns:a16="http://schemas.microsoft.com/office/drawing/2014/main" id="{1DD4791F-1897-4E32-A745-12198051AD1F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202" name="Text Box 1">
          <a:extLst>
            <a:ext uri="{FF2B5EF4-FFF2-40B4-BE49-F238E27FC236}">
              <a16:creationId xmlns:a16="http://schemas.microsoft.com/office/drawing/2014/main" id="{8B6A0A4A-F136-4CEC-8015-05D95037A0DD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203" name="Text Box 1">
          <a:extLst>
            <a:ext uri="{FF2B5EF4-FFF2-40B4-BE49-F238E27FC236}">
              <a16:creationId xmlns:a16="http://schemas.microsoft.com/office/drawing/2014/main" id="{A4675511-8868-4054-8B4E-C315F3AF10C7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204" name="Text Box 1">
          <a:extLst>
            <a:ext uri="{FF2B5EF4-FFF2-40B4-BE49-F238E27FC236}">
              <a16:creationId xmlns:a16="http://schemas.microsoft.com/office/drawing/2014/main" id="{43E50AF5-E30F-47C8-80B9-3C5E98F92237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205" name="Text Box 1">
          <a:extLst>
            <a:ext uri="{FF2B5EF4-FFF2-40B4-BE49-F238E27FC236}">
              <a16:creationId xmlns:a16="http://schemas.microsoft.com/office/drawing/2014/main" id="{6BE28B09-89F4-4E07-BAFA-AA3445CF9467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206" name="Text Box 1">
          <a:extLst>
            <a:ext uri="{FF2B5EF4-FFF2-40B4-BE49-F238E27FC236}">
              <a16:creationId xmlns:a16="http://schemas.microsoft.com/office/drawing/2014/main" id="{571BED7F-F151-4E35-9320-7549C324697F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207" name="Text Box 1">
          <a:extLst>
            <a:ext uri="{FF2B5EF4-FFF2-40B4-BE49-F238E27FC236}">
              <a16:creationId xmlns:a16="http://schemas.microsoft.com/office/drawing/2014/main" id="{E0501E32-795E-4DA0-A0FE-5B3A06C16889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208" name="Text Box 1">
          <a:extLst>
            <a:ext uri="{FF2B5EF4-FFF2-40B4-BE49-F238E27FC236}">
              <a16:creationId xmlns:a16="http://schemas.microsoft.com/office/drawing/2014/main" id="{B34CDF82-978A-439E-92A6-F5090FCB1127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209" name="Text Box 1">
          <a:extLst>
            <a:ext uri="{FF2B5EF4-FFF2-40B4-BE49-F238E27FC236}">
              <a16:creationId xmlns:a16="http://schemas.microsoft.com/office/drawing/2014/main" id="{E53A7784-39E7-4888-B323-C8587D02F57E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210" name="Text Box 1">
          <a:extLst>
            <a:ext uri="{FF2B5EF4-FFF2-40B4-BE49-F238E27FC236}">
              <a16:creationId xmlns:a16="http://schemas.microsoft.com/office/drawing/2014/main" id="{9EEE97A9-640E-49A4-8CDE-AD2C6FE333F0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211" name="Text Box 1">
          <a:extLst>
            <a:ext uri="{FF2B5EF4-FFF2-40B4-BE49-F238E27FC236}">
              <a16:creationId xmlns:a16="http://schemas.microsoft.com/office/drawing/2014/main" id="{C1C5ABB7-D0DC-47B2-8808-ED5039C1EC52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212" name="Text Box 1">
          <a:extLst>
            <a:ext uri="{FF2B5EF4-FFF2-40B4-BE49-F238E27FC236}">
              <a16:creationId xmlns:a16="http://schemas.microsoft.com/office/drawing/2014/main" id="{D4F71FA9-9FFF-492C-B091-D189D88E4480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213" name="Text Box 1">
          <a:extLst>
            <a:ext uri="{FF2B5EF4-FFF2-40B4-BE49-F238E27FC236}">
              <a16:creationId xmlns:a16="http://schemas.microsoft.com/office/drawing/2014/main" id="{6256D80D-7A5C-4032-AD61-94D0B7FC71F7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214" name="Text Box 1">
          <a:extLst>
            <a:ext uri="{FF2B5EF4-FFF2-40B4-BE49-F238E27FC236}">
              <a16:creationId xmlns:a16="http://schemas.microsoft.com/office/drawing/2014/main" id="{117D44FF-F2D9-4134-99CC-07F5C831A790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215" name="Text Box 1">
          <a:extLst>
            <a:ext uri="{FF2B5EF4-FFF2-40B4-BE49-F238E27FC236}">
              <a16:creationId xmlns:a16="http://schemas.microsoft.com/office/drawing/2014/main" id="{246A3975-E954-4085-9CAC-EB454A454C5E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216" name="Text Box 1">
          <a:extLst>
            <a:ext uri="{FF2B5EF4-FFF2-40B4-BE49-F238E27FC236}">
              <a16:creationId xmlns:a16="http://schemas.microsoft.com/office/drawing/2014/main" id="{9D5E4CAB-6A4B-44B8-A8FC-117E4D759507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217" name="Text Box 1">
          <a:extLst>
            <a:ext uri="{FF2B5EF4-FFF2-40B4-BE49-F238E27FC236}">
              <a16:creationId xmlns:a16="http://schemas.microsoft.com/office/drawing/2014/main" id="{7B6C485E-2C93-4721-AAFB-C7D8DA9739B3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218" name="Text Box 1">
          <a:extLst>
            <a:ext uri="{FF2B5EF4-FFF2-40B4-BE49-F238E27FC236}">
              <a16:creationId xmlns:a16="http://schemas.microsoft.com/office/drawing/2014/main" id="{EA8E3004-06B8-42FE-AEBE-93ECDF5AFDA3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219" name="Text Box 1">
          <a:extLst>
            <a:ext uri="{FF2B5EF4-FFF2-40B4-BE49-F238E27FC236}">
              <a16:creationId xmlns:a16="http://schemas.microsoft.com/office/drawing/2014/main" id="{E735F87F-50C4-43E9-8FE2-74E483FE2311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220" name="Text Box 1">
          <a:extLst>
            <a:ext uri="{FF2B5EF4-FFF2-40B4-BE49-F238E27FC236}">
              <a16:creationId xmlns:a16="http://schemas.microsoft.com/office/drawing/2014/main" id="{46CB76B8-EF26-496F-8165-B66ADE6A2170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221" name="Text Box 1">
          <a:extLst>
            <a:ext uri="{FF2B5EF4-FFF2-40B4-BE49-F238E27FC236}">
              <a16:creationId xmlns:a16="http://schemas.microsoft.com/office/drawing/2014/main" id="{A222623E-DFB7-48F0-AFAA-FF007FE6C8F4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222" name="Text Box 1">
          <a:extLst>
            <a:ext uri="{FF2B5EF4-FFF2-40B4-BE49-F238E27FC236}">
              <a16:creationId xmlns:a16="http://schemas.microsoft.com/office/drawing/2014/main" id="{692DB2A2-5CF1-4DAB-B69C-3193F7B505DD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223" name="Text Box 1">
          <a:extLst>
            <a:ext uri="{FF2B5EF4-FFF2-40B4-BE49-F238E27FC236}">
              <a16:creationId xmlns:a16="http://schemas.microsoft.com/office/drawing/2014/main" id="{066650F4-AF31-43CC-878F-E6319FCFC688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224" name="Text Box 1">
          <a:extLst>
            <a:ext uri="{FF2B5EF4-FFF2-40B4-BE49-F238E27FC236}">
              <a16:creationId xmlns:a16="http://schemas.microsoft.com/office/drawing/2014/main" id="{D5DF7025-7729-425F-9562-9CC867CB04FE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225" name="Text Box 1">
          <a:extLst>
            <a:ext uri="{FF2B5EF4-FFF2-40B4-BE49-F238E27FC236}">
              <a16:creationId xmlns:a16="http://schemas.microsoft.com/office/drawing/2014/main" id="{34D30A12-195A-41BC-9C06-4331BB02F1C1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226" name="Text Box 1">
          <a:extLst>
            <a:ext uri="{FF2B5EF4-FFF2-40B4-BE49-F238E27FC236}">
              <a16:creationId xmlns:a16="http://schemas.microsoft.com/office/drawing/2014/main" id="{3B932571-9736-402A-960B-0ABD0567E7A6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227" name="Text Box 1">
          <a:extLst>
            <a:ext uri="{FF2B5EF4-FFF2-40B4-BE49-F238E27FC236}">
              <a16:creationId xmlns:a16="http://schemas.microsoft.com/office/drawing/2014/main" id="{5E4F9E5F-C871-4143-80AB-F52423961646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228" name="Text Box 1">
          <a:extLst>
            <a:ext uri="{FF2B5EF4-FFF2-40B4-BE49-F238E27FC236}">
              <a16:creationId xmlns:a16="http://schemas.microsoft.com/office/drawing/2014/main" id="{ABC7A73E-3B05-4239-A265-5BBD9DE59CE9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229" name="Text Box 1">
          <a:extLst>
            <a:ext uri="{FF2B5EF4-FFF2-40B4-BE49-F238E27FC236}">
              <a16:creationId xmlns:a16="http://schemas.microsoft.com/office/drawing/2014/main" id="{9886F256-8492-4F3B-8A1F-0FBBD29327BA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230" name="Text Box 1">
          <a:extLst>
            <a:ext uri="{FF2B5EF4-FFF2-40B4-BE49-F238E27FC236}">
              <a16:creationId xmlns:a16="http://schemas.microsoft.com/office/drawing/2014/main" id="{255EBEEA-8B69-4D7A-8F5B-D7351FA6CB66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231" name="Text Box 1">
          <a:extLst>
            <a:ext uri="{FF2B5EF4-FFF2-40B4-BE49-F238E27FC236}">
              <a16:creationId xmlns:a16="http://schemas.microsoft.com/office/drawing/2014/main" id="{CB9B19EB-B1D9-4402-B41D-274C8D558DF5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232" name="Text Box 1">
          <a:extLst>
            <a:ext uri="{FF2B5EF4-FFF2-40B4-BE49-F238E27FC236}">
              <a16:creationId xmlns:a16="http://schemas.microsoft.com/office/drawing/2014/main" id="{FD851D46-DADD-4366-91AC-BC01E2B6033E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233" name="Text Box 1">
          <a:extLst>
            <a:ext uri="{FF2B5EF4-FFF2-40B4-BE49-F238E27FC236}">
              <a16:creationId xmlns:a16="http://schemas.microsoft.com/office/drawing/2014/main" id="{3E000CB6-2899-4736-94A0-2CF7EC24F29B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234" name="Text Box 1">
          <a:extLst>
            <a:ext uri="{FF2B5EF4-FFF2-40B4-BE49-F238E27FC236}">
              <a16:creationId xmlns:a16="http://schemas.microsoft.com/office/drawing/2014/main" id="{E53E326B-089F-4D09-8092-726D34E60705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235" name="Text Box 1">
          <a:extLst>
            <a:ext uri="{FF2B5EF4-FFF2-40B4-BE49-F238E27FC236}">
              <a16:creationId xmlns:a16="http://schemas.microsoft.com/office/drawing/2014/main" id="{B2740E99-4894-4E65-90A4-24510981FCA6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236" name="Text Box 1">
          <a:extLst>
            <a:ext uri="{FF2B5EF4-FFF2-40B4-BE49-F238E27FC236}">
              <a16:creationId xmlns:a16="http://schemas.microsoft.com/office/drawing/2014/main" id="{0CE2053C-B077-428B-8A29-4E47B8C40BF1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237" name="Text Box 1">
          <a:extLst>
            <a:ext uri="{FF2B5EF4-FFF2-40B4-BE49-F238E27FC236}">
              <a16:creationId xmlns:a16="http://schemas.microsoft.com/office/drawing/2014/main" id="{6EF2513D-4D74-4362-95EB-E68A0CF2B54D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238" name="Text Box 1">
          <a:extLst>
            <a:ext uri="{FF2B5EF4-FFF2-40B4-BE49-F238E27FC236}">
              <a16:creationId xmlns:a16="http://schemas.microsoft.com/office/drawing/2014/main" id="{7B55A9CB-540E-41B8-8191-03C25304E6ED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239" name="Text Box 1">
          <a:extLst>
            <a:ext uri="{FF2B5EF4-FFF2-40B4-BE49-F238E27FC236}">
              <a16:creationId xmlns:a16="http://schemas.microsoft.com/office/drawing/2014/main" id="{2E9FE846-CEE8-4E1E-BBF7-6D59FCCEC2BA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240" name="Text Box 1">
          <a:extLst>
            <a:ext uri="{FF2B5EF4-FFF2-40B4-BE49-F238E27FC236}">
              <a16:creationId xmlns:a16="http://schemas.microsoft.com/office/drawing/2014/main" id="{B7C584E1-DCCD-4425-AE79-5FB3A024EAB9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241" name="Text Box 1">
          <a:extLst>
            <a:ext uri="{FF2B5EF4-FFF2-40B4-BE49-F238E27FC236}">
              <a16:creationId xmlns:a16="http://schemas.microsoft.com/office/drawing/2014/main" id="{BC000349-5A54-41C8-B85D-F50DC5E3AD6E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242" name="Text Box 1">
          <a:extLst>
            <a:ext uri="{FF2B5EF4-FFF2-40B4-BE49-F238E27FC236}">
              <a16:creationId xmlns:a16="http://schemas.microsoft.com/office/drawing/2014/main" id="{29CE1CE3-8994-4914-975A-32407D3FB0E6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243" name="Text Box 1">
          <a:extLst>
            <a:ext uri="{FF2B5EF4-FFF2-40B4-BE49-F238E27FC236}">
              <a16:creationId xmlns:a16="http://schemas.microsoft.com/office/drawing/2014/main" id="{6E918044-4137-47B7-9C00-ADB0D359C5C5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244" name="Text Box 1">
          <a:extLst>
            <a:ext uri="{FF2B5EF4-FFF2-40B4-BE49-F238E27FC236}">
              <a16:creationId xmlns:a16="http://schemas.microsoft.com/office/drawing/2014/main" id="{079B799D-DCD4-47DD-9C01-066A0B931919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245" name="Text Box 1">
          <a:extLst>
            <a:ext uri="{FF2B5EF4-FFF2-40B4-BE49-F238E27FC236}">
              <a16:creationId xmlns:a16="http://schemas.microsoft.com/office/drawing/2014/main" id="{EEEDE419-F792-44A5-9251-64631F316CBD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246" name="Text Box 1">
          <a:extLst>
            <a:ext uri="{FF2B5EF4-FFF2-40B4-BE49-F238E27FC236}">
              <a16:creationId xmlns:a16="http://schemas.microsoft.com/office/drawing/2014/main" id="{725F6B5E-E0A4-4BD6-BF12-AB94D4176B93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247" name="Text Box 1">
          <a:extLst>
            <a:ext uri="{FF2B5EF4-FFF2-40B4-BE49-F238E27FC236}">
              <a16:creationId xmlns:a16="http://schemas.microsoft.com/office/drawing/2014/main" id="{38F53E8B-B72E-4B82-87E9-4BFC9CC68F61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248" name="Text Box 1">
          <a:extLst>
            <a:ext uri="{FF2B5EF4-FFF2-40B4-BE49-F238E27FC236}">
              <a16:creationId xmlns:a16="http://schemas.microsoft.com/office/drawing/2014/main" id="{4591FAC2-E07D-42E7-BA17-D165181FDAEB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249" name="Text Box 1">
          <a:extLst>
            <a:ext uri="{FF2B5EF4-FFF2-40B4-BE49-F238E27FC236}">
              <a16:creationId xmlns:a16="http://schemas.microsoft.com/office/drawing/2014/main" id="{D05AB68C-6885-4F36-A0D9-456D601FB860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250" name="Text Box 1">
          <a:extLst>
            <a:ext uri="{FF2B5EF4-FFF2-40B4-BE49-F238E27FC236}">
              <a16:creationId xmlns:a16="http://schemas.microsoft.com/office/drawing/2014/main" id="{3E83AB27-FAF2-4351-B31C-4FE001DC14E7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251" name="Text Box 1">
          <a:extLst>
            <a:ext uri="{FF2B5EF4-FFF2-40B4-BE49-F238E27FC236}">
              <a16:creationId xmlns:a16="http://schemas.microsoft.com/office/drawing/2014/main" id="{D478A684-F830-4D81-B399-C0E1EDD8220D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252" name="Text Box 1">
          <a:extLst>
            <a:ext uri="{FF2B5EF4-FFF2-40B4-BE49-F238E27FC236}">
              <a16:creationId xmlns:a16="http://schemas.microsoft.com/office/drawing/2014/main" id="{FE8DAF70-1DB0-4981-9F4B-93536357A5D3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253" name="Text Box 1">
          <a:extLst>
            <a:ext uri="{FF2B5EF4-FFF2-40B4-BE49-F238E27FC236}">
              <a16:creationId xmlns:a16="http://schemas.microsoft.com/office/drawing/2014/main" id="{DA0F5613-AD8B-4432-BC1C-0F522C802D88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254" name="Text Box 1">
          <a:extLst>
            <a:ext uri="{FF2B5EF4-FFF2-40B4-BE49-F238E27FC236}">
              <a16:creationId xmlns:a16="http://schemas.microsoft.com/office/drawing/2014/main" id="{F68D89A4-3ECB-4BB7-9CE0-E4EA99092DB9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255" name="Text Box 1">
          <a:extLst>
            <a:ext uri="{FF2B5EF4-FFF2-40B4-BE49-F238E27FC236}">
              <a16:creationId xmlns:a16="http://schemas.microsoft.com/office/drawing/2014/main" id="{EFB2C1A2-92B0-48AD-891E-34116D127567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256" name="Text Box 1">
          <a:extLst>
            <a:ext uri="{FF2B5EF4-FFF2-40B4-BE49-F238E27FC236}">
              <a16:creationId xmlns:a16="http://schemas.microsoft.com/office/drawing/2014/main" id="{6A509659-7C53-4A85-9992-8EAFF74792B6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257" name="Text Box 1">
          <a:extLst>
            <a:ext uri="{FF2B5EF4-FFF2-40B4-BE49-F238E27FC236}">
              <a16:creationId xmlns:a16="http://schemas.microsoft.com/office/drawing/2014/main" id="{FD445B0B-BD9B-4200-BAAE-4851FACC348A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258" name="Text Box 1">
          <a:extLst>
            <a:ext uri="{FF2B5EF4-FFF2-40B4-BE49-F238E27FC236}">
              <a16:creationId xmlns:a16="http://schemas.microsoft.com/office/drawing/2014/main" id="{AE61CBB0-783E-4F03-81A7-4D4D19475DFC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259" name="Text Box 1">
          <a:extLst>
            <a:ext uri="{FF2B5EF4-FFF2-40B4-BE49-F238E27FC236}">
              <a16:creationId xmlns:a16="http://schemas.microsoft.com/office/drawing/2014/main" id="{2947C507-0128-402F-B87A-14D42388695B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260" name="Text Box 1">
          <a:extLst>
            <a:ext uri="{FF2B5EF4-FFF2-40B4-BE49-F238E27FC236}">
              <a16:creationId xmlns:a16="http://schemas.microsoft.com/office/drawing/2014/main" id="{CE7A5684-ADC2-4CCC-A2FB-C544AD61A730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261" name="Text Box 1">
          <a:extLst>
            <a:ext uri="{FF2B5EF4-FFF2-40B4-BE49-F238E27FC236}">
              <a16:creationId xmlns:a16="http://schemas.microsoft.com/office/drawing/2014/main" id="{F1511590-BC52-45D8-A634-396D236C1B16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262" name="Text Box 1">
          <a:extLst>
            <a:ext uri="{FF2B5EF4-FFF2-40B4-BE49-F238E27FC236}">
              <a16:creationId xmlns:a16="http://schemas.microsoft.com/office/drawing/2014/main" id="{4AB8B44A-B2AF-42CE-AC85-3E2909F98677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38</xdr:row>
      <xdr:rowOff>0</xdr:rowOff>
    </xdr:from>
    <xdr:ext cx="247650" cy="85725"/>
    <xdr:sp macro="" textlink="">
      <xdr:nvSpPr>
        <xdr:cNvPr id="263" name="Text Box 1">
          <a:extLst>
            <a:ext uri="{FF2B5EF4-FFF2-40B4-BE49-F238E27FC236}">
              <a16:creationId xmlns:a16="http://schemas.microsoft.com/office/drawing/2014/main" id="{2749FE04-D66F-4D4B-A8B6-BA07E8F26BDF}"/>
            </a:ext>
          </a:extLst>
        </xdr:cNvPr>
        <xdr:cNvSpPr txBox="1">
          <a:spLocks noChangeArrowheads="1"/>
        </xdr:cNvSpPr>
      </xdr:nvSpPr>
      <xdr:spPr bwMode="auto">
        <a:xfrm>
          <a:off x="249237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264" name="Text Box 1">
          <a:extLst>
            <a:ext uri="{FF2B5EF4-FFF2-40B4-BE49-F238E27FC236}">
              <a16:creationId xmlns:a16="http://schemas.microsoft.com/office/drawing/2014/main" id="{276EAD24-8D7D-4A4B-9037-C304846A471D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265" name="Text Box 1">
          <a:extLst>
            <a:ext uri="{FF2B5EF4-FFF2-40B4-BE49-F238E27FC236}">
              <a16:creationId xmlns:a16="http://schemas.microsoft.com/office/drawing/2014/main" id="{F3B6F44B-A025-4FE5-BBF3-71FC7F16A404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266" name="Text Box 1">
          <a:extLst>
            <a:ext uri="{FF2B5EF4-FFF2-40B4-BE49-F238E27FC236}">
              <a16:creationId xmlns:a16="http://schemas.microsoft.com/office/drawing/2014/main" id="{3E82CA32-83BE-482F-A4F4-AACA7998C854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267" name="Text Box 1">
          <a:extLst>
            <a:ext uri="{FF2B5EF4-FFF2-40B4-BE49-F238E27FC236}">
              <a16:creationId xmlns:a16="http://schemas.microsoft.com/office/drawing/2014/main" id="{DCB16276-D7D1-42D7-955A-957C559CF6E7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268" name="Text Box 1">
          <a:extLst>
            <a:ext uri="{FF2B5EF4-FFF2-40B4-BE49-F238E27FC236}">
              <a16:creationId xmlns:a16="http://schemas.microsoft.com/office/drawing/2014/main" id="{DB84CA2F-0EA2-4A55-AA29-B538CE14FAE4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269" name="Text Box 1">
          <a:extLst>
            <a:ext uri="{FF2B5EF4-FFF2-40B4-BE49-F238E27FC236}">
              <a16:creationId xmlns:a16="http://schemas.microsoft.com/office/drawing/2014/main" id="{806E63CC-0E4E-458D-9575-8E66E92B5411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270" name="Text Box 1">
          <a:extLst>
            <a:ext uri="{FF2B5EF4-FFF2-40B4-BE49-F238E27FC236}">
              <a16:creationId xmlns:a16="http://schemas.microsoft.com/office/drawing/2014/main" id="{7DF50C01-FABC-4186-AD43-FFA9D493F716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271" name="Text Box 1">
          <a:extLst>
            <a:ext uri="{FF2B5EF4-FFF2-40B4-BE49-F238E27FC236}">
              <a16:creationId xmlns:a16="http://schemas.microsoft.com/office/drawing/2014/main" id="{C743E3C6-3476-4A37-89D7-B47690BCE1DF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272" name="Text Box 1">
          <a:extLst>
            <a:ext uri="{FF2B5EF4-FFF2-40B4-BE49-F238E27FC236}">
              <a16:creationId xmlns:a16="http://schemas.microsoft.com/office/drawing/2014/main" id="{CEB586F9-B766-4FF5-B038-3D8D14197FB3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273" name="Text Box 1">
          <a:extLst>
            <a:ext uri="{FF2B5EF4-FFF2-40B4-BE49-F238E27FC236}">
              <a16:creationId xmlns:a16="http://schemas.microsoft.com/office/drawing/2014/main" id="{50471B4C-0CAA-4B6B-81F1-063A8E8EC6BA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274" name="Text Box 1">
          <a:extLst>
            <a:ext uri="{FF2B5EF4-FFF2-40B4-BE49-F238E27FC236}">
              <a16:creationId xmlns:a16="http://schemas.microsoft.com/office/drawing/2014/main" id="{3F87652F-E71F-4799-8F95-1ED30CBE46B2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275" name="Text Box 1">
          <a:extLst>
            <a:ext uri="{FF2B5EF4-FFF2-40B4-BE49-F238E27FC236}">
              <a16:creationId xmlns:a16="http://schemas.microsoft.com/office/drawing/2014/main" id="{1639FA50-5C86-420C-9E8F-9B27CC0B2F6E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276" name="Text Box 1">
          <a:extLst>
            <a:ext uri="{FF2B5EF4-FFF2-40B4-BE49-F238E27FC236}">
              <a16:creationId xmlns:a16="http://schemas.microsoft.com/office/drawing/2014/main" id="{692C7808-0B14-4159-A905-253A5B0741A0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277" name="Text Box 1">
          <a:extLst>
            <a:ext uri="{FF2B5EF4-FFF2-40B4-BE49-F238E27FC236}">
              <a16:creationId xmlns:a16="http://schemas.microsoft.com/office/drawing/2014/main" id="{14C5E800-2265-4D9A-A049-5C000E87BC0D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278" name="Text Box 1">
          <a:extLst>
            <a:ext uri="{FF2B5EF4-FFF2-40B4-BE49-F238E27FC236}">
              <a16:creationId xmlns:a16="http://schemas.microsoft.com/office/drawing/2014/main" id="{7F791EE0-32C0-4E3E-A5C2-8155103D8922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279" name="Text Box 1">
          <a:extLst>
            <a:ext uri="{FF2B5EF4-FFF2-40B4-BE49-F238E27FC236}">
              <a16:creationId xmlns:a16="http://schemas.microsoft.com/office/drawing/2014/main" id="{4C3DB5AD-59A1-400B-B55D-DE197A65DB67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280" name="Text Box 1">
          <a:extLst>
            <a:ext uri="{FF2B5EF4-FFF2-40B4-BE49-F238E27FC236}">
              <a16:creationId xmlns:a16="http://schemas.microsoft.com/office/drawing/2014/main" id="{ACD95F00-A6D5-4D21-8AA4-44DCBE9D06D6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281" name="Text Box 1">
          <a:extLst>
            <a:ext uri="{FF2B5EF4-FFF2-40B4-BE49-F238E27FC236}">
              <a16:creationId xmlns:a16="http://schemas.microsoft.com/office/drawing/2014/main" id="{CF0244F4-218C-4BBB-B70F-C8BB0A522F31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282" name="Text Box 1">
          <a:extLst>
            <a:ext uri="{FF2B5EF4-FFF2-40B4-BE49-F238E27FC236}">
              <a16:creationId xmlns:a16="http://schemas.microsoft.com/office/drawing/2014/main" id="{D0B8B085-02C9-4899-9FAA-1F2F07729C6F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283" name="Text Box 1">
          <a:extLst>
            <a:ext uri="{FF2B5EF4-FFF2-40B4-BE49-F238E27FC236}">
              <a16:creationId xmlns:a16="http://schemas.microsoft.com/office/drawing/2014/main" id="{50C04897-92F7-4CE4-8228-B5B86F872FA7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284" name="Text Box 1">
          <a:extLst>
            <a:ext uri="{FF2B5EF4-FFF2-40B4-BE49-F238E27FC236}">
              <a16:creationId xmlns:a16="http://schemas.microsoft.com/office/drawing/2014/main" id="{151E6297-5FA7-4C4A-8166-ABD37DB69EDA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285" name="Text Box 1">
          <a:extLst>
            <a:ext uri="{FF2B5EF4-FFF2-40B4-BE49-F238E27FC236}">
              <a16:creationId xmlns:a16="http://schemas.microsoft.com/office/drawing/2014/main" id="{2D529415-0730-4572-8443-05BEB72CFB5A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286" name="Text Box 1">
          <a:extLst>
            <a:ext uri="{FF2B5EF4-FFF2-40B4-BE49-F238E27FC236}">
              <a16:creationId xmlns:a16="http://schemas.microsoft.com/office/drawing/2014/main" id="{371B081D-5A96-4B0D-B625-794B4984CFB3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287" name="Text Box 1">
          <a:extLst>
            <a:ext uri="{FF2B5EF4-FFF2-40B4-BE49-F238E27FC236}">
              <a16:creationId xmlns:a16="http://schemas.microsoft.com/office/drawing/2014/main" id="{AA1550D0-E693-48C7-B99A-2DAFFDED6CE0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288" name="Text Box 1">
          <a:extLst>
            <a:ext uri="{FF2B5EF4-FFF2-40B4-BE49-F238E27FC236}">
              <a16:creationId xmlns:a16="http://schemas.microsoft.com/office/drawing/2014/main" id="{1BA8673A-5E37-44AA-B374-6D8FAAD5B5CD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289" name="Text Box 1">
          <a:extLst>
            <a:ext uri="{FF2B5EF4-FFF2-40B4-BE49-F238E27FC236}">
              <a16:creationId xmlns:a16="http://schemas.microsoft.com/office/drawing/2014/main" id="{89343BB0-DD5D-4999-913D-6981B60A39E2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290" name="Text Box 1">
          <a:extLst>
            <a:ext uri="{FF2B5EF4-FFF2-40B4-BE49-F238E27FC236}">
              <a16:creationId xmlns:a16="http://schemas.microsoft.com/office/drawing/2014/main" id="{BA8DE700-6A71-4923-B3C5-1EB1EE7406BD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291" name="Text Box 1">
          <a:extLst>
            <a:ext uri="{FF2B5EF4-FFF2-40B4-BE49-F238E27FC236}">
              <a16:creationId xmlns:a16="http://schemas.microsoft.com/office/drawing/2014/main" id="{C264A941-4634-4BC5-8B95-1B00C7DCDB84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292" name="Text Box 1">
          <a:extLst>
            <a:ext uri="{FF2B5EF4-FFF2-40B4-BE49-F238E27FC236}">
              <a16:creationId xmlns:a16="http://schemas.microsoft.com/office/drawing/2014/main" id="{DF994304-B5AE-459F-A489-5A95E95318F3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0</xdr:rowOff>
    </xdr:from>
    <xdr:ext cx="247650" cy="85725"/>
    <xdr:sp macro="" textlink="">
      <xdr:nvSpPr>
        <xdr:cNvPr id="293" name="Text Box 1">
          <a:extLst>
            <a:ext uri="{FF2B5EF4-FFF2-40B4-BE49-F238E27FC236}">
              <a16:creationId xmlns:a16="http://schemas.microsoft.com/office/drawing/2014/main" id="{778D0CB5-E6F6-4886-9AD0-FB8439B24D94}"/>
            </a:ext>
          </a:extLst>
        </xdr:cNvPr>
        <xdr:cNvSpPr txBox="1">
          <a:spLocks noChangeArrowheads="1"/>
        </xdr:cNvSpPr>
      </xdr:nvSpPr>
      <xdr:spPr bwMode="auto">
        <a:xfrm>
          <a:off x="28695650" y="1174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38</xdr:row>
      <xdr:rowOff>135256</xdr:rowOff>
    </xdr:from>
    <xdr:ext cx="247650" cy="45719"/>
    <xdr:sp macro="" textlink="">
      <xdr:nvSpPr>
        <xdr:cNvPr id="294" name="Text Box 1">
          <a:extLst>
            <a:ext uri="{FF2B5EF4-FFF2-40B4-BE49-F238E27FC236}">
              <a16:creationId xmlns:a16="http://schemas.microsoft.com/office/drawing/2014/main" id="{C9328219-A25D-4865-8C91-C591D8B9D475}"/>
            </a:ext>
          </a:extLst>
        </xdr:cNvPr>
        <xdr:cNvSpPr txBox="1">
          <a:spLocks noChangeArrowheads="1"/>
        </xdr:cNvSpPr>
      </xdr:nvSpPr>
      <xdr:spPr bwMode="auto">
        <a:xfrm>
          <a:off x="28695650" y="1310006"/>
          <a:ext cx="247650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295" name="Text Box 1">
          <a:extLst>
            <a:ext uri="{FF2B5EF4-FFF2-40B4-BE49-F238E27FC236}">
              <a16:creationId xmlns:a16="http://schemas.microsoft.com/office/drawing/2014/main" id="{D5F82086-422F-4185-99AA-39B6798EA95B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296" name="Text Box 1">
          <a:extLst>
            <a:ext uri="{FF2B5EF4-FFF2-40B4-BE49-F238E27FC236}">
              <a16:creationId xmlns:a16="http://schemas.microsoft.com/office/drawing/2014/main" id="{2185EED7-EA3E-4170-8587-715A17B966DC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297" name="Text Box 1">
          <a:extLst>
            <a:ext uri="{FF2B5EF4-FFF2-40B4-BE49-F238E27FC236}">
              <a16:creationId xmlns:a16="http://schemas.microsoft.com/office/drawing/2014/main" id="{4C72F94E-DE3E-4983-96B3-F98B19793270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298" name="Text Box 1">
          <a:extLst>
            <a:ext uri="{FF2B5EF4-FFF2-40B4-BE49-F238E27FC236}">
              <a16:creationId xmlns:a16="http://schemas.microsoft.com/office/drawing/2014/main" id="{DFE288A6-2AAA-48CA-A22E-89D5F8083ADF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299" name="Text Box 1">
          <a:extLst>
            <a:ext uri="{FF2B5EF4-FFF2-40B4-BE49-F238E27FC236}">
              <a16:creationId xmlns:a16="http://schemas.microsoft.com/office/drawing/2014/main" id="{3AAB1CDA-502A-4567-BC37-70AEB647FF98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300" name="Text Box 1">
          <a:extLst>
            <a:ext uri="{FF2B5EF4-FFF2-40B4-BE49-F238E27FC236}">
              <a16:creationId xmlns:a16="http://schemas.microsoft.com/office/drawing/2014/main" id="{6D7501C0-88DB-4E85-97D6-BA54437435F8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301" name="Text Box 1">
          <a:extLst>
            <a:ext uri="{FF2B5EF4-FFF2-40B4-BE49-F238E27FC236}">
              <a16:creationId xmlns:a16="http://schemas.microsoft.com/office/drawing/2014/main" id="{00221130-AEB2-48EB-B05C-09221F77E3DC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302" name="Text Box 1">
          <a:extLst>
            <a:ext uri="{FF2B5EF4-FFF2-40B4-BE49-F238E27FC236}">
              <a16:creationId xmlns:a16="http://schemas.microsoft.com/office/drawing/2014/main" id="{D2AAE899-03E6-4CF5-AE2C-87EED06D051F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303" name="Text Box 1">
          <a:extLst>
            <a:ext uri="{FF2B5EF4-FFF2-40B4-BE49-F238E27FC236}">
              <a16:creationId xmlns:a16="http://schemas.microsoft.com/office/drawing/2014/main" id="{7A9537B2-5E3A-425C-9821-4CB2DD7875B9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304" name="Text Box 1">
          <a:extLst>
            <a:ext uri="{FF2B5EF4-FFF2-40B4-BE49-F238E27FC236}">
              <a16:creationId xmlns:a16="http://schemas.microsoft.com/office/drawing/2014/main" id="{978FC623-889E-4E8F-AC09-3AD8EB7EC714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305" name="Text Box 1">
          <a:extLst>
            <a:ext uri="{FF2B5EF4-FFF2-40B4-BE49-F238E27FC236}">
              <a16:creationId xmlns:a16="http://schemas.microsoft.com/office/drawing/2014/main" id="{C89776B7-25C6-4227-B8C2-9061B51FFB82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306" name="Text Box 1">
          <a:extLst>
            <a:ext uri="{FF2B5EF4-FFF2-40B4-BE49-F238E27FC236}">
              <a16:creationId xmlns:a16="http://schemas.microsoft.com/office/drawing/2014/main" id="{5CEBDEDE-1FAC-4E82-9E22-C81494436246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307" name="Text Box 1">
          <a:extLst>
            <a:ext uri="{FF2B5EF4-FFF2-40B4-BE49-F238E27FC236}">
              <a16:creationId xmlns:a16="http://schemas.microsoft.com/office/drawing/2014/main" id="{C35A5B6E-B41B-4C86-92E7-C15C779B4882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308" name="Text Box 1">
          <a:extLst>
            <a:ext uri="{FF2B5EF4-FFF2-40B4-BE49-F238E27FC236}">
              <a16:creationId xmlns:a16="http://schemas.microsoft.com/office/drawing/2014/main" id="{8519CF4A-0661-4AC3-8086-C55ABD972DDF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309" name="Text Box 1">
          <a:extLst>
            <a:ext uri="{FF2B5EF4-FFF2-40B4-BE49-F238E27FC236}">
              <a16:creationId xmlns:a16="http://schemas.microsoft.com/office/drawing/2014/main" id="{5555D29C-12B8-4828-B6E5-1BDCD6CBFB63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310" name="Text Box 1">
          <a:extLst>
            <a:ext uri="{FF2B5EF4-FFF2-40B4-BE49-F238E27FC236}">
              <a16:creationId xmlns:a16="http://schemas.microsoft.com/office/drawing/2014/main" id="{0727A44E-83C5-4289-9800-1E9FDC16F550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311" name="Text Box 1">
          <a:extLst>
            <a:ext uri="{FF2B5EF4-FFF2-40B4-BE49-F238E27FC236}">
              <a16:creationId xmlns:a16="http://schemas.microsoft.com/office/drawing/2014/main" id="{FB8CD660-ADD8-455F-86DA-A9564D06D514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312" name="Text Box 1">
          <a:extLst>
            <a:ext uri="{FF2B5EF4-FFF2-40B4-BE49-F238E27FC236}">
              <a16:creationId xmlns:a16="http://schemas.microsoft.com/office/drawing/2014/main" id="{6929858C-51BF-42D7-89F8-122EDB44C21D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313" name="Text Box 1">
          <a:extLst>
            <a:ext uri="{FF2B5EF4-FFF2-40B4-BE49-F238E27FC236}">
              <a16:creationId xmlns:a16="http://schemas.microsoft.com/office/drawing/2014/main" id="{81DDB361-EC60-4455-B1AE-DFF715826EEE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314" name="Text Box 1">
          <a:extLst>
            <a:ext uri="{FF2B5EF4-FFF2-40B4-BE49-F238E27FC236}">
              <a16:creationId xmlns:a16="http://schemas.microsoft.com/office/drawing/2014/main" id="{E0E328AF-5E79-4FF8-BFB2-AF2B6001A699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315" name="Text Box 1">
          <a:extLst>
            <a:ext uri="{FF2B5EF4-FFF2-40B4-BE49-F238E27FC236}">
              <a16:creationId xmlns:a16="http://schemas.microsoft.com/office/drawing/2014/main" id="{350147A6-22E6-42EB-9145-B8E6CF87CB28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316" name="Text Box 1">
          <a:extLst>
            <a:ext uri="{FF2B5EF4-FFF2-40B4-BE49-F238E27FC236}">
              <a16:creationId xmlns:a16="http://schemas.microsoft.com/office/drawing/2014/main" id="{A4713E2A-7439-4510-A452-C3842211397D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317" name="Text Box 1">
          <a:extLst>
            <a:ext uri="{FF2B5EF4-FFF2-40B4-BE49-F238E27FC236}">
              <a16:creationId xmlns:a16="http://schemas.microsoft.com/office/drawing/2014/main" id="{CFB2B9B8-E659-4280-BB5E-F8BED25C05D4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318" name="Text Box 1">
          <a:extLst>
            <a:ext uri="{FF2B5EF4-FFF2-40B4-BE49-F238E27FC236}">
              <a16:creationId xmlns:a16="http://schemas.microsoft.com/office/drawing/2014/main" id="{E2542C21-EF24-499A-8EC6-B30E0D239589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319" name="Text Box 1">
          <a:extLst>
            <a:ext uri="{FF2B5EF4-FFF2-40B4-BE49-F238E27FC236}">
              <a16:creationId xmlns:a16="http://schemas.microsoft.com/office/drawing/2014/main" id="{DDF60974-78FC-4BD9-9D76-E34A973305D8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320" name="Text Box 1">
          <a:extLst>
            <a:ext uri="{FF2B5EF4-FFF2-40B4-BE49-F238E27FC236}">
              <a16:creationId xmlns:a16="http://schemas.microsoft.com/office/drawing/2014/main" id="{7823CC35-8039-49D2-A55F-F0364040AE09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321" name="Text Box 1">
          <a:extLst>
            <a:ext uri="{FF2B5EF4-FFF2-40B4-BE49-F238E27FC236}">
              <a16:creationId xmlns:a16="http://schemas.microsoft.com/office/drawing/2014/main" id="{7796616D-8701-4E2E-9B3C-AF4075247752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322" name="Text Box 1">
          <a:extLst>
            <a:ext uri="{FF2B5EF4-FFF2-40B4-BE49-F238E27FC236}">
              <a16:creationId xmlns:a16="http://schemas.microsoft.com/office/drawing/2014/main" id="{7A886209-800E-45AB-A79D-3BADCD5E61AE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323" name="Text Box 1">
          <a:extLst>
            <a:ext uri="{FF2B5EF4-FFF2-40B4-BE49-F238E27FC236}">
              <a16:creationId xmlns:a16="http://schemas.microsoft.com/office/drawing/2014/main" id="{5D3DF269-D2F1-422A-8CA1-5E6132C8D692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324" name="Text Box 1">
          <a:extLst>
            <a:ext uri="{FF2B5EF4-FFF2-40B4-BE49-F238E27FC236}">
              <a16:creationId xmlns:a16="http://schemas.microsoft.com/office/drawing/2014/main" id="{71314958-EAFA-4B97-B419-F084851C55E0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325" name="Text Box 1">
          <a:extLst>
            <a:ext uri="{FF2B5EF4-FFF2-40B4-BE49-F238E27FC236}">
              <a16:creationId xmlns:a16="http://schemas.microsoft.com/office/drawing/2014/main" id="{EE138439-05F8-4F8C-8860-3FAC98432C86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326" name="Text Box 1">
          <a:extLst>
            <a:ext uri="{FF2B5EF4-FFF2-40B4-BE49-F238E27FC236}">
              <a16:creationId xmlns:a16="http://schemas.microsoft.com/office/drawing/2014/main" id="{030C329B-2770-4D85-95A1-032D9F8D97A3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327" name="Text Box 1">
          <a:extLst>
            <a:ext uri="{FF2B5EF4-FFF2-40B4-BE49-F238E27FC236}">
              <a16:creationId xmlns:a16="http://schemas.microsoft.com/office/drawing/2014/main" id="{5A84E0A7-9653-47DC-8869-FB7B9BC55790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328" name="Text Box 1">
          <a:extLst>
            <a:ext uri="{FF2B5EF4-FFF2-40B4-BE49-F238E27FC236}">
              <a16:creationId xmlns:a16="http://schemas.microsoft.com/office/drawing/2014/main" id="{ACC7210A-0311-425B-9D34-D70C2E60F64B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329" name="Text Box 1">
          <a:extLst>
            <a:ext uri="{FF2B5EF4-FFF2-40B4-BE49-F238E27FC236}">
              <a16:creationId xmlns:a16="http://schemas.microsoft.com/office/drawing/2014/main" id="{9407D641-4AF1-4AAB-8D9D-F1A98D3EA75C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330" name="Text Box 1">
          <a:extLst>
            <a:ext uri="{FF2B5EF4-FFF2-40B4-BE49-F238E27FC236}">
              <a16:creationId xmlns:a16="http://schemas.microsoft.com/office/drawing/2014/main" id="{80420B9A-BA28-4D0E-B739-06E4D3854882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331" name="Text Box 1">
          <a:extLst>
            <a:ext uri="{FF2B5EF4-FFF2-40B4-BE49-F238E27FC236}">
              <a16:creationId xmlns:a16="http://schemas.microsoft.com/office/drawing/2014/main" id="{1C9E52FE-27F5-4073-A17F-969FE61926AF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332" name="Text Box 1">
          <a:extLst>
            <a:ext uri="{FF2B5EF4-FFF2-40B4-BE49-F238E27FC236}">
              <a16:creationId xmlns:a16="http://schemas.microsoft.com/office/drawing/2014/main" id="{25B1DDFD-957D-48DE-9A8A-7EF5E3B5D153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333" name="Text Box 1">
          <a:extLst>
            <a:ext uri="{FF2B5EF4-FFF2-40B4-BE49-F238E27FC236}">
              <a16:creationId xmlns:a16="http://schemas.microsoft.com/office/drawing/2014/main" id="{BE6B1F5A-BD14-414A-A46D-F124294430EE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334" name="Text Box 1">
          <a:extLst>
            <a:ext uri="{FF2B5EF4-FFF2-40B4-BE49-F238E27FC236}">
              <a16:creationId xmlns:a16="http://schemas.microsoft.com/office/drawing/2014/main" id="{6EBFB561-5C34-4975-BCBA-05A0B6B064E6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335" name="Text Box 1">
          <a:extLst>
            <a:ext uri="{FF2B5EF4-FFF2-40B4-BE49-F238E27FC236}">
              <a16:creationId xmlns:a16="http://schemas.microsoft.com/office/drawing/2014/main" id="{AABE44C5-DDD7-4187-B735-C4303C97C90B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336" name="Text Box 1">
          <a:extLst>
            <a:ext uri="{FF2B5EF4-FFF2-40B4-BE49-F238E27FC236}">
              <a16:creationId xmlns:a16="http://schemas.microsoft.com/office/drawing/2014/main" id="{E0AFB5D9-B164-4344-8CB5-A99FF9614C47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337" name="Text Box 1">
          <a:extLst>
            <a:ext uri="{FF2B5EF4-FFF2-40B4-BE49-F238E27FC236}">
              <a16:creationId xmlns:a16="http://schemas.microsoft.com/office/drawing/2014/main" id="{C438FFA2-236F-426B-AC86-688F113666D1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338" name="Text Box 1">
          <a:extLst>
            <a:ext uri="{FF2B5EF4-FFF2-40B4-BE49-F238E27FC236}">
              <a16:creationId xmlns:a16="http://schemas.microsoft.com/office/drawing/2014/main" id="{35613527-4F88-4ECF-876C-F47E45B20CE5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339" name="Text Box 1">
          <a:extLst>
            <a:ext uri="{FF2B5EF4-FFF2-40B4-BE49-F238E27FC236}">
              <a16:creationId xmlns:a16="http://schemas.microsoft.com/office/drawing/2014/main" id="{4A76E34A-8C92-47F5-8636-B8B7BB5D51E9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340" name="Text Box 1">
          <a:extLst>
            <a:ext uri="{FF2B5EF4-FFF2-40B4-BE49-F238E27FC236}">
              <a16:creationId xmlns:a16="http://schemas.microsoft.com/office/drawing/2014/main" id="{EB62A076-44A3-40C3-B2D6-B609405C4BD6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341" name="Text Box 1">
          <a:extLst>
            <a:ext uri="{FF2B5EF4-FFF2-40B4-BE49-F238E27FC236}">
              <a16:creationId xmlns:a16="http://schemas.microsoft.com/office/drawing/2014/main" id="{2AA22DA1-D619-4D3B-ABC4-5E1E76EC6171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342" name="Text Box 1">
          <a:extLst>
            <a:ext uri="{FF2B5EF4-FFF2-40B4-BE49-F238E27FC236}">
              <a16:creationId xmlns:a16="http://schemas.microsoft.com/office/drawing/2014/main" id="{E3C7C522-53C7-4F31-99DC-AF6E98849BBF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343" name="Text Box 1">
          <a:extLst>
            <a:ext uri="{FF2B5EF4-FFF2-40B4-BE49-F238E27FC236}">
              <a16:creationId xmlns:a16="http://schemas.microsoft.com/office/drawing/2014/main" id="{423E5F5B-810B-412D-9213-D97F97950812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344" name="Text Box 1">
          <a:extLst>
            <a:ext uri="{FF2B5EF4-FFF2-40B4-BE49-F238E27FC236}">
              <a16:creationId xmlns:a16="http://schemas.microsoft.com/office/drawing/2014/main" id="{AF3A8239-04D3-43B0-9756-DC7BF3E363FA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345" name="Text Box 1">
          <a:extLst>
            <a:ext uri="{FF2B5EF4-FFF2-40B4-BE49-F238E27FC236}">
              <a16:creationId xmlns:a16="http://schemas.microsoft.com/office/drawing/2014/main" id="{2FFD59D0-29F8-4586-903F-B9F8397839BB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346" name="Text Box 1">
          <a:extLst>
            <a:ext uri="{FF2B5EF4-FFF2-40B4-BE49-F238E27FC236}">
              <a16:creationId xmlns:a16="http://schemas.microsoft.com/office/drawing/2014/main" id="{C9595429-A01E-4717-B2FB-C5E6D1183B3F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347" name="Text Box 1">
          <a:extLst>
            <a:ext uri="{FF2B5EF4-FFF2-40B4-BE49-F238E27FC236}">
              <a16:creationId xmlns:a16="http://schemas.microsoft.com/office/drawing/2014/main" id="{0A8C8158-9889-4812-9563-1940FDE80505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348" name="Text Box 1">
          <a:extLst>
            <a:ext uri="{FF2B5EF4-FFF2-40B4-BE49-F238E27FC236}">
              <a16:creationId xmlns:a16="http://schemas.microsoft.com/office/drawing/2014/main" id="{A40CBB8A-0B51-432E-B5C5-B318576F2788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349" name="Text Box 1">
          <a:extLst>
            <a:ext uri="{FF2B5EF4-FFF2-40B4-BE49-F238E27FC236}">
              <a16:creationId xmlns:a16="http://schemas.microsoft.com/office/drawing/2014/main" id="{CE9524A9-CF1E-4098-9B77-08BEF5842329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350" name="Text Box 1">
          <a:extLst>
            <a:ext uri="{FF2B5EF4-FFF2-40B4-BE49-F238E27FC236}">
              <a16:creationId xmlns:a16="http://schemas.microsoft.com/office/drawing/2014/main" id="{4FBF8D46-EE25-4DF4-8821-59330F63A823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351" name="Text Box 1">
          <a:extLst>
            <a:ext uri="{FF2B5EF4-FFF2-40B4-BE49-F238E27FC236}">
              <a16:creationId xmlns:a16="http://schemas.microsoft.com/office/drawing/2014/main" id="{67BE0754-234C-4B93-8CA0-F67A88900A92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352" name="Text Box 1">
          <a:extLst>
            <a:ext uri="{FF2B5EF4-FFF2-40B4-BE49-F238E27FC236}">
              <a16:creationId xmlns:a16="http://schemas.microsoft.com/office/drawing/2014/main" id="{08842E3D-CADA-4A9A-9B5F-E0385BB71D24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353" name="Text Box 1">
          <a:extLst>
            <a:ext uri="{FF2B5EF4-FFF2-40B4-BE49-F238E27FC236}">
              <a16:creationId xmlns:a16="http://schemas.microsoft.com/office/drawing/2014/main" id="{21A72DE1-8CB0-42E0-BE1B-9780B19B5398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354" name="Text Box 1">
          <a:extLst>
            <a:ext uri="{FF2B5EF4-FFF2-40B4-BE49-F238E27FC236}">
              <a16:creationId xmlns:a16="http://schemas.microsoft.com/office/drawing/2014/main" id="{4820B565-713A-47C3-8899-207C5F7FC707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355" name="Text Box 1">
          <a:extLst>
            <a:ext uri="{FF2B5EF4-FFF2-40B4-BE49-F238E27FC236}">
              <a16:creationId xmlns:a16="http://schemas.microsoft.com/office/drawing/2014/main" id="{C52912DA-232D-4697-B7F4-C5AB20982823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356" name="Text Box 1">
          <a:extLst>
            <a:ext uri="{FF2B5EF4-FFF2-40B4-BE49-F238E27FC236}">
              <a16:creationId xmlns:a16="http://schemas.microsoft.com/office/drawing/2014/main" id="{2AF898A0-EFA6-43A0-B3E9-5C7C93F2C336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357" name="Text Box 1">
          <a:extLst>
            <a:ext uri="{FF2B5EF4-FFF2-40B4-BE49-F238E27FC236}">
              <a16:creationId xmlns:a16="http://schemas.microsoft.com/office/drawing/2014/main" id="{35E32B0F-796A-452F-9B85-397E33E8BAC7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358" name="Text Box 1">
          <a:extLst>
            <a:ext uri="{FF2B5EF4-FFF2-40B4-BE49-F238E27FC236}">
              <a16:creationId xmlns:a16="http://schemas.microsoft.com/office/drawing/2014/main" id="{84511C48-4BDD-4260-9D2F-47F34DE8F074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359" name="Text Box 1">
          <a:extLst>
            <a:ext uri="{FF2B5EF4-FFF2-40B4-BE49-F238E27FC236}">
              <a16:creationId xmlns:a16="http://schemas.microsoft.com/office/drawing/2014/main" id="{A3E2DB16-9D87-4918-878B-63799B57072E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360" name="Text Box 1">
          <a:extLst>
            <a:ext uri="{FF2B5EF4-FFF2-40B4-BE49-F238E27FC236}">
              <a16:creationId xmlns:a16="http://schemas.microsoft.com/office/drawing/2014/main" id="{3F19E224-291C-4C3C-8575-9D3D0A15DB28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361" name="Text Box 1">
          <a:extLst>
            <a:ext uri="{FF2B5EF4-FFF2-40B4-BE49-F238E27FC236}">
              <a16:creationId xmlns:a16="http://schemas.microsoft.com/office/drawing/2014/main" id="{171798DE-9752-44BF-BC83-C51BECD30591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362" name="Text Box 1">
          <a:extLst>
            <a:ext uri="{FF2B5EF4-FFF2-40B4-BE49-F238E27FC236}">
              <a16:creationId xmlns:a16="http://schemas.microsoft.com/office/drawing/2014/main" id="{0FB01C65-49F8-416B-98C3-D35A9FD30061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363" name="Text Box 1">
          <a:extLst>
            <a:ext uri="{FF2B5EF4-FFF2-40B4-BE49-F238E27FC236}">
              <a16:creationId xmlns:a16="http://schemas.microsoft.com/office/drawing/2014/main" id="{ABAC631F-757D-4166-8620-063FD40B1E5E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364" name="Text Box 1">
          <a:extLst>
            <a:ext uri="{FF2B5EF4-FFF2-40B4-BE49-F238E27FC236}">
              <a16:creationId xmlns:a16="http://schemas.microsoft.com/office/drawing/2014/main" id="{3EEBC06A-3B71-4A6B-B3DF-2DDFB0879C36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365" name="Text Box 1">
          <a:extLst>
            <a:ext uri="{FF2B5EF4-FFF2-40B4-BE49-F238E27FC236}">
              <a16:creationId xmlns:a16="http://schemas.microsoft.com/office/drawing/2014/main" id="{52DA2D8C-3FDB-41B4-A532-7641F19C2F3C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366" name="Text Box 1">
          <a:extLst>
            <a:ext uri="{FF2B5EF4-FFF2-40B4-BE49-F238E27FC236}">
              <a16:creationId xmlns:a16="http://schemas.microsoft.com/office/drawing/2014/main" id="{44AFDF27-C5B5-4E99-AF9B-A004A51DDD0C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367" name="Text Box 1">
          <a:extLst>
            <a:ext uri="{FF2B5EF4-FFF2-40B4-BE49-F238E27FC236}">
              <a16:creationId xmlns:a16="http://schemas.microsoft.com/office/drawing/2014/main" id="{C3D852CE-437A-4FF8-B1FD-260B0B462D5F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368" name="Text Box 1">
          <a:extLst>
            <a:ext uri="{FF2B5EF4-FFF2-40B4-BE49-F238E27FC236}">
              <a16:creationId xmlns:a16="http://schemas.microsoft.com/office/drawing/2014/main" id="{F3F9A61C-2B5D-4EDB-AE61-DCB123D3850C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369" name="Text Box 1">
          <a:extLst>
            <a:ext uri="{FF2B5EF4-FFF2-40B4-BE49-F238E27FC236}">
              <a16:creationId xmlns:a16="http://schemas.microsoft.com/office/drawing/2014/main" id="{3AE51EBD-22A3-4B08-9426-62CCD32A588A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370" name="Text Box 1">
          <a:extLst>
            <a:ext uri="{FF2B5EF4-FFF2-40B4-BE49-F238E27FC236}">
              <a16:creationId xmlns:a16="http://schemas.microsoft.com/office/drawing/2014/main" id="{0C796E4B-D024-48EB-876E-08321F6CFEC7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371" name="Text Box 1">
          <a:extLst>
            <a:ext uri="{FF2B5EF4-FFF2-40B4-BE49-F238E27FC236}">
              <a16:creationId xmlns:a16="http://schemas.microsoft.com/office/drawing/2014/main" id="{A7A64706-ECC2-41B3-A672-33A667187539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372" name="Text Box 1">
          <a:extLst>
            <a:ext uri="{FF2B5EF4-FFF2-40B4-BE49-F238E27FC236}">
              <a16:creationId xmlns:a16="http://schemas.microsoft.com/office/drawing/2014/main" id="{DFED992D-5AA2-481A-B523-62C64B1EEBBB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373" name="Text Box 1">
          <a:extLst>
            <a:ext uri="{FF2B5EF4-FFF2-40B4-BE49-F238E27FC236}">
              <a16:creationId xmlns:a16="http://schemas.microsoft.com/office/drawing/2014/main" id="{9312B3AE-4750-4AED-B4C2-3FF2D2239CAD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374" name="Text Box 1">
          <a:extLst>
            <a:ext uri="{FF2B5EF4-FFF2-40B4-BE49-F238E27FC236}">
              <a16:creationId xmlns:a16="http://schemas.microsoft.com/office/drawing/2014/main" id="{73A1AB97-632C-4FDB-9A17-CA056DC3B3B9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375" name="Text Box 1">
          <a:extLst>
            <a:ext uri="{FF2B5EF4-FFF2-40B4-BE49-F238E27FC236}">
              <a16:creationId xmlns:a16="http://schemas.microsoft.com/office/drawing/2014/main" id="{C7D95E8C-DFC1-47C3-922D-83CA227A20A1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376" name="Text Box 1">
          <a:extLst>
            <a:ext uri="{FF2B5EF4-FFF2-40B4-BE49-F238E27FC236}">
              <a16:creationId xmlns:a16="http://schemas.microsoft.com/office/drawing/2014/main" id="{893BAEB5-AF1C-4BD0-9D9F-F89FF5EDA390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377" name="Text Box 1">
          <a:extLst>
            <a:ext uri="{FF2B5EF4-FFF2-40B4-BE49-F238E27FC236}">
              <a16:creationId xmlns:a16="http://schemas.microsoft.com/office/drawing/2014/main" id="{8F64227C-4ADC-4C58-8579-E5E9312DAAB9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378" name="Text Box 1">
          <a:extLst>
            <a:ext uri="{FF2B5EF4-FFF2-40B4-BE49-F238E27FC236}">
              <a16:creationId xmlns:a16="http://schemas.microsoft.com/office/drawing/2014/main" id="{9DEE5D6F-95AF-4606-836F-17E49ABE06EF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379" name="Text Box 1">
          <a:extLst>
            <a:ext uri="{FF2B5EF4-FFF2-40B4-BE49-F238E27FC236}">
              <a16:creationId xmlns:a16="http://schemas.microsoft.com/office/drawing/2014/main" id="{71021A76-806F-4F2C-845C-C3FAA2412F27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380" name="Text Box 1">
          <a:extLst>
            <a:ext uri="{FF2B5EF4-FFF2-40B4-BE49-F238E27FC236}">
              <a16:creationId xmlns:a16="http://schemas.microsoft.com/office/drawing/2014/main" id="{4220D04A-12B7-4EB1-9542-0244ABBEECE0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381" name="Text Box 1">
          <a:extLst>
            <a:ext uri="{FF2B5EF4-FFF2-40B4-BE49-F238E27FC236}">
              <a16:creationId xmlns:a16="http://schemas.microsoft.com/office/drawing/2014/main" id="{ED96BC43-50F0-4F9F-A1E9-9544FEB6E76B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382" name="Text Box 1">
          <a:extLst>
            <a:ext uri="{FF2B5EF4-FFF2-40B4-BE49-F238E27FC236}">
              <a16:creationId xmlns:a16="http://schemas.microsoft.com/office/drawing/2014/main" id="{46525791-B5E6-4CF9-826A-3641CEFF55C1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383" name="Text Box 1">
          <a:extLst>
            <a:ext uri="{FF2B5EF4-FFF2-40B4-BE49-F238E27FC236}">
              <a16:creationId xmlns:a16="http://schemas.microsoft.com/office/drawing/2014/main" id="{65C30E44-6D83-44AC-A5C1-97572F871226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384" name="Text Box 1">
          <a:extLst>
            <a:ext uri="{FF2B5EF4-FFF2-40B4-BE49-F238E27FC236}">
              <a16:creationId xmlns:a16="http://schemas.microsoft.com/office/drawing/2014/main" id="{9B3E7B28-D206-417F-9C24-74A7F8C45DC5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385" name="Text Box 1">
          <a:extLst>
            <a:ext uri="{FF2B5EF4-FFF2-40B4-BE49-F238E27FC236}">
              <a16:creationId xmlns:a16="http://schemas.microsoft.com/office/drawing/2014/main" id="{555F0F79-B54B-4913-8CBD-DCAEE30A702D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386" name="Text Box 1">
          <a:extLst>
            <a:ext uri="{FF2B5EF4-FFF2-40B4-BE49-F238E27FC236}">
              <a16:creationId xmlns:a16="http://schemas.microsoft.com/office/drawing/2014/main" id="{E64775F7-7077-4550-88FA-E452A8361144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387" name="Text Box 1">
          <a:extLst>
            <a:ext uri="{FF2B5EF4-FFF2-40B4-BE49-F238E27FC236}">
              <a16:creationId xmlns:a16="http://schemas.microsoft.com/office/drawing/2014/main" id="{55091DF5-1173-4C2A-B0D9-7F8E28E5BA2B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388" name="Text Box 1">
          <a:extLst>
            <a:ext uri="{FF2B5EF4-FFF2-40B4-BE49-F238E27FC236}">
              <a16:creationId xmlns:a16="http://schemas.microsoft.com/office/drawing/2014/main" id="{4EBB9D28-AFBC-4E1D-ADAC-21427F4D7E0C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389" name="Text Box 1">
          <a:extLst>
            <a:ext uri="{FF2B5EF4-FFF2-40B4-BE49-F238E27FC236}">
              <a16:creationId xmlns:a16="http://schemas.microsoft.com/office/drawing/2014/main" id="{AEF16E04-8352-47D6-A548-50DE50350EC9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390" name="Text Box 1">
          <a:extLst>
            <a:ext uri="{FF2B5EF4-FFF2-40B4-BE49-F238E27FC236}">
              <a16:creationId xmlns:a16="http://schemas.microsoft.com/office/drawing/2014/main" id="{1F9E62FC-5A88-4504-A002-A3D35B41A6B8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391" name="Text Box 1">
          <a:extLst>
            <a:ext uri="{FF2B5EF4-FFF2-40B4-BE49-F238E27FC236}">
              <a16:creationId xmlns:a16="http://schemas.microsoft.com/office/drawing/2014/main" id="{A3C76E10-8544-43BD-A82D-AA4DBFA79C0D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392" name="Text Box 1">
          <a:extLst>
            <a:ext uri="{FF2B5EF4-FFF2-40B4-BE49-F238E27FC236}">
              <a16:creationId xmlns:a16="http://schemas.microsoft.com/office/drawing/2014/main" id="{4E680505-2A76-45DB-8B3F-DEA8AE905822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393" name="Text Box 1">
          <a:extLst>
            <a:ext uri="{FF2B5EF4-FFF2-40B4-BE49-F238E27FC236}">
              <a16:creationId xmlns:a16="http://schemas.microsoft.com/office/drawing/2014/main" id="{DA79FC99-B5DB-44A4-8BC4-653C642B7328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394" name="Text Box 1">
          <a:extLst>
            <a:ext uri="{FF2B5EF4-FFF2-40B4-BE49-F238E27FC236}">
              <a16:creationId xmlns:a16="http://schemas.microsoft.com/office/drawing/2014/main" id="{0C042390-6292-4EAC-9552-E16E9A62298E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395" name="Text Box 1">
          <a:extLst>
            <a:ext uri="{FF2B5EF4-FFF2-40B4-BE49-F238E27FC236}">
              <a16:creationId xmlns:a16="http://schemas.microsoft.com/office/drawing/2014/main" id="{C34BE602-206F-4B4E-A97E-8CFA746B522A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396" name="Text Box 1">
          <a:extLst>
            <a:ext uri="{FF2B5EF4-FFF2-40B4-BE49-F238E27FC236}">
              <a16:creationId xmlns:a16="http://schemas.microsoft.com/office/drawing/2014/main" id="{2CFFA0A2-FB31-440A-AD08-63BB2F323C4D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397" name="Text Box 1">
          <a:extLst>
            <a:ext uri="{FF2B5EF4-FFF2-40B4-BE49-F238E27FC236}">
              <a16:creationId xmlns:a16="http://schemas.microsoft.com/office/drawing/2014/main" id="{432CBE5A-EC6A-40BE-9E7B-523EA9A0D312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398" name="Text Box 1">
          <a:extLst>
            <a:ext uri="{FF2B5EF4-FFF2-40B4-BE49-F238E27FC236}">
              <a16:creationId xmlns:a16="http://schemas.microsoft.com/office/drawing/2014/main" id="{901A3F40-C3CC-4CE7-865E-718F97344FD9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399" name="Text Box 1">
          <a:extLst>
            <a:ext uri="{FF2B5EF4-FFF2-40B4-BE49-F238E27FC236}">
              <a16:creationId xmlns:a16="http://schemas.microsoft.com/office/drawing/2014/main" id="{3642EB79-CCAF-4D3F-90C9-7A2FC51A1C29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400" name="Text Box 1">
          <a:extLst>
            <a:ext uri="{FF2B5EF4-FFF2-40B4-BE49-F238E27FC236}">
              <a16:creationId xmlns:a16="http://schemas.microsoft.com/office/drawing/2014/main" id="{077A718F-AAF3-41E7-8D13-B11FC7962BC3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401" name="Text Box 1">
          <a:extLst>
            <a:ext uri="{FF2B5EF4-FFF2-40B4-BE49-F238E27FC236}">
              <a16:creationId xmlns:a16="http://schemas.microsoft.com/office/drawing/2014/main" id="{6098DCFB-1753-460A-8B8A-7B5A6D59FD48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402" name="Text Box 1">
          <a:extLst>
            <a:ext uri="{FF2B5EF4-FFF2-40B4-BE49-F238E27FC236}">
              <a16:creationId xmlns:a16="http://schemas.microsoft.com/office/drawing/2014/main" id="{75B057D0-5E24-4F18-B34F-6B545BE0ABBF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403" name="Text Box 1">
          <a:extLst>
            <a:ext uri="{FF2B5EF4-FFF2-40B4-BE49-F238E27FC236}">
              <a16:creationId xmlns:a16="http://schemas.microsoft.com/office/drawing/2014/main" id="{E0E58727-FE2B-48AE-9F8A-59E854FACEA7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404" name="Text Box 1">
          <a:extLst>
            <a:ext uri="{FF2B5EF4-FFF2-40B4-BE49-F238E27FC236}">
              <a16:creationId xmlns:a16="http://schemas.microsoft.com/office/drawing/2014/main" id="{5B2B04D0-018B-4629-BACB-5C05C9F5ECB8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405" name="Text Box 1">
          <a:extLst>
            <a:ext uri="{FF2B5EF4-FFF2-40B4-BE49-F238E27FC236}">
              <a16:creationId xmlns:a16="http://schemas.microsoft.com/office/drawing/2014/main" id="{FA521ED3-F0F6-427B-BC20-353C5FA830CD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406" name="Text Box 1">
          <a:extLst>
            <a:ext uri="{FF2B5EF4-FFF2-40B4-BE49-F238E27FC236}">
              <a16:creationId xmlns:a16="http://schemas.microsoft.com/office/drawing/2014/main" id="{D4F0A438-69F9-4FB1-A568-A93B7325E4E8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407" name="Text Box 1">
          <a:extLst>
            <a:ext uri="{FF2B5EF4-FFF2-40B4-BE49-F238E27FC236}">
              <a16:creationId xmlns:a16="http://schemas.microsoft.com/office/drawing/2014/main" id="{0BD8D079-AC76-43B7-9BF1-0A7A33B2222A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408" name="Text Box 1">
          <a:extLst>
            <a:ext uri="{FF2B5EF4-FFF2-40B4-BE49-F238E27FC236}">
              <a16:creationId xmlns:a16="http://schemas.microsoft.com/office/drawing/2014/main" id="{20D3ED90-0F44-4F78-8EB5-2CE5C8E6FE3E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409" name="Text Box 1">
          <a:extLst>
            <a:ext uri="{FF2B5EF4-FFF2-40B4-BE49-F238E27FC236}">
              <a16:creationId xmlns:a16="http://schemas.microsoft.com/office/drawing/2014/main" id="{ED77DDFE-2A8C-4377-AA25-48EDB291EDB6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410" name="Text Box 1">
          <a:extLst>
            <a:ext uri="{FF2B5EF4-FFF2-40B4-BE49-F238E27FC236}">
              <a16:creationId xmlns:a16="http://schemas.microsoft.com/office/drawing/2014/main" id="{9DEABBFB-2C50-495E-AE22-470739D1DADF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411" name="Text Box 1">
          <a:extLst>
            <a:ext uri="{FF2B5EF4-FFF2-40B4-BE49-F238E27FC236}">
              <a16:creationId xmlns:a16="http://schemas.microsoft.com/office/drawing/2014/main" id="{B9D2B0EC-F6ED-49D2-9F95-C7398DA27C5C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412" name="Text Box 1">
          <a:extLst>
            <a:ext uri="{FF2B5EF4-FFF2-40B4-BE49-F238E27FC236}">
              <a16:creationId xmlns:a16="http://schemas.microsoft.com/office/drawing/2014/main" id="{E38A89B1-1AC2-4BE3-87EB-75E2891E20C1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413" name="Text Box 1">
          <a:extLst>
            <a:ext uri="{FF2B5EF4-FFF2-40B4-BE49-F238E27FC236}">
              <a16:creationId xmlns:a16="http://schemas.microsoft.com/office/drawing/2014/main" id="{E4E8E9D0-8048-4787-9459-78FFF8733165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414" name="Text Box 1">
          <a:extLst>
            <a:ext uri="{FF2B5EF4-FFF2-40B4-BE49-F238E27FC236}">
              <a16:creationId xmlns:a16="http://schemas.microsoft.com/office/drawing/2014/main" id="{6A2C66D7-039F-479B-AB19-7388003DE1F0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415" name="Text Box 1">
          <a:extLst>
            <a:ext uri="{FF2B5EF4-FFF2-40B4-BE49-F238E27FC236}">
              <a16:creationId xmlns:a16="http://schemas.microsoft.com/office/drawing/2014/main" id="{D5192006-93C6-481F-8999-041FDFFDEB5E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416" name="Text Box 1">
          <a:extLst>
            <a:ext uri="{FF2B5EF4-FFF2-40B4-BE49-F238E27FC236}">
              <a16:creationId xmlns:a16="http://schemas.microsoft.com/office/drawing/2014/main" id="{82FB154B-FA24-459F-AE88-593C360B0FDB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417" name="Text Box 1">
          <a:extLst>
            <a:ext uri="{FF2B5EF4-FFF2-40B4-BE49-F238E27FC236}">
              <a16:creationId xmlns:a16="http://schemas.microsoft.com/office/drawing/2014/main" id="{7CE130CF-CDFC-4308-983D-A72879F0FF90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418" name="Text Box 1">
          <a:extLst>
            <a:ext uri="{FF2B5EF4-FFF2-40B4-BE49-F238E27FC236}">
              <a16:creationId xmlns:a16="http://schemas.microsoft.com/office/drawing/2014/main" id="{72A5074D-33D7-4047-8AC0-D007F49B80A2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419" name="Text Box 1">
          <a:extLst>
            <a:ext uri="{FF2B5EF4-FFF2-40B4-BE49-F238E27FC236}">
              <a16:creationId xmlns:a16="http://schemas.microsoft.com/office/drawing/2014/main" id="{87E27B99-72ED-4C78-A5F6-02F44981D3E1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420" name="Text Box 1">
          <a:extLst>
            <a:ext uri="{FF2B5EF4-FFF2-40B4-BE49-F238E27FC236}">
              <a16:creationId xmlns:a16="http://schemas.microsoft.com/office/drawing/2014/main" id="{90A4DB38-123D-4339-8350-A2F5DD9F1E06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421" name="Text Box 1">
          <a:extLst>
            <a:ext uri="{FF2B5EF4-FFF2-40B4-BE49-F238E27FC236}">
              <a16:creationId xmlns:a16="http://schemas.microsoft.com/office/drawing/2014/main" id="{42AAE146-F660-4993-8F3B-A54240897ACB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422" name="Text Box 1">
          <a:extLst>
            <a:ext uri="{FF2B5EF4-FFF2-40B4-BE49-F238E27FC236}">
              <a16:creationId xmlns:a16="http://schemas.microsoft.com/office/drawing/2014/main" id="{AE52E97A-AC47-420A-8BD6-1DABC0ED4663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423" name="Text Box 1">
          <a:extLst>
            <a:ext uri="{FF2B5EF4-FFF2-40B4-BE49-F238E27FC236}">
              <a16:creationId xmlns:a16="http://schemas.microsoft.com/office/drawing/2014/main" id="{74DBD313-D3C7-433B-A935-6B5BC3051833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424" name="Text Box 1">
          <a:extLst>
            <a:ext uri="{FF2B5EF4-FFF2-40B4-BE49-F238E27FC236}">
              <a16:creationId xmlns:a16="http://schemas.microsoft.com/office/drawing/2014/main" id="{C14852A2-EB93-4BBF-BA75-C75D22778C46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425" name="Text Box 1">
          <a:extLst>
            <a:ext uri="{FF2B5EF4-FFF2-40B4-BE49-F238E27FC236}">
              <a16:creationId xmlns:a16="http://schemas.microsoft.com/office/drawing/2014/main" id="{275998BE-6038-4C4A-84C9-269F63757276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426" name="Text Box 1">
          <a:extLst>
            <a:ext uri="{FF2B5EF4-FFF2-40B4-BE49-F238E27FC236}">
              <a16:creationId xmlns:a16="http://schemas.microsoft.com/office/drawing/2014/main" id="{60B92484-C88E-49F6-B491-AC8C576446BD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427" name="Text Box 1">
          <a:extLst>
            <a:ext uri="{FF2B5EF4-FFF2-40B4-BE49-F238E27FC236}">
              <a16:creationId xmlns:a16="http://schemas.microsoft.com/office/drawing/2014/main" id="{E29B7BB5-3CA5-43D3-8AE3-33C82E194CB3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428" name="Text Box 1">
          <a:extLst>
            <a:ext uri="{FF2B5EF4-FFF2-40B4-BE49-F238E27FC236}">
              <a16:creationId xmlns:a16="http://schemas.microsoft.com/office/drawing/2014/main" id="{415EF89E-695A-4F19-9DBA-33916775DCAF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429" name="Text Box 1">
          <a:extLst>
            <a:ext uri="{FF2B5EF4-FFF2-40B4-BE49-F238E27FC236}">
              <a16:creationId xmlns:a16="http://schemas.microsoft.com/office/drawing/2014/main" id="{65E3F60E-249A-4B24-8F76-296B6625EA78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430" name="Text Box 1">
          <a:extLst>
            <a:ext uri="{FF2B5EF4-FFF2-40B4-BE49-F238E27FC236}">
              <a16:creationId xmlns:a16="http://schemas.microsoft.com/office/drawing/2014/main" id="{702DFA93-6181-44C6-A908-33CFBF5DE7D9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431" name="Text Box 1">
          <a:extLst>
            <a:ext uri="{FF2B5EF4-FFF2-40B4-BE49-F238E27FC236}">
              <a16:creationId xmlns:a16="http://schemas.microsoft.com/office/drawing/2014/main" id="{7E7BBF62-3D2E-4277-A0C5-1F05C4709FC4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432" name="Text Box 1">
          <a:extLst>
            <a:ext uri="{FF2B5EF4-FFF2-40B4-BE49-F238E27FC236}">
              <a16:creationId xmlns:a16="http://schemas.microsoft.com/office/drawing/2014/main" id="{C1022CB9-6525-474D-B97E-801D3AD930F7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433" name="Text Box 1">
          <a:extLst>
            <a:ext uri="{FF2B5EF4-FFF2-40B4-BE49-F238E27FC236}">
              <a16:creationId xmlns:a16="http://schemas.microsoft.com/office/drawing/2014/main" id="{A6C2B810-0B7E-4E83-A5F7-7C24F49D59EF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434" name="Text Box 1">
          <a:extLst>
            <a:ext uri="{FF2B5EF4-FFF2-40B4-BE49-F238E27FC236}">
              <a16:creationId xmlns:a16="http://schemas.microsoft.com/office/drawing/2014/main" id="{41472162-AF2C-4D31-B47D-7B8459F34EEC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435" name="Text Box 1">
          <a:extLst>
            <a:ext uri="{FF2B5EF4-FFF2-40B4-BE49-F238E27FC236}">
              <a16:creationId xmlns:a16="http://schemas.microsoft.com/office/drawing/2014/main" id="{ACFC0E38-579C-41E4-B2C9-B0E981AC7A42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436" name="Text Box 1">
          <a:extLst>
            <a:ext uri="{FF2B5EF4-FFF2-40B4-BE49-F238E27FC236}">
              <a16:creationId xmlns:a16="http://schemas.microsoft.com/office/drawing/2014/main" id="{4658B777-F101-4BBD-A21D-4D9D424C1D1E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437" name="Text Box 1">
          <a:extLst>
            <a:ext uri="{FF2B5EF4-FFF2-40B4-BE49-F238E27FC236}">
              <a16:creationId xmlns:a16="http://schemas.microsoft.com/office/drawing/2014/main" id="{2D705B88-414E-485F-83F8-8AA809360B83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438" name="Text Box 1">
          <a:extLst>
            <a:ext uri="{FF2B5EF4-FFF2-40B4-BE49-F238E27FC236}">
              <a16:creationId xmlns:a16="http://schemas.microsoft.com/office/drawing/2014/main" id="{8D6ED93E-E606-4552-9B18-C3E2E78FCD59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439" name="Text Box 1">
          <a:extLst>
            <a:ext uri="{FF2B5EF4-FFF2-40B4-BE49-F238E27FC236}">
              <a16:creationId xmlns:a16="http://schemas.microsoft.com/office/drawing/2014/main" id="{77C1872E-D8E6-4902-BBFC-597A5D596AE9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440" name="Text Box 1">
          <a:extLst>
            <a:ext uri="{FF2B5EF4-FFF2-40B4-BE49-F238E27FC236}">
              <a16:creationId xmlns:a16="http://schemas.microsoft.com/office/drawing/2014/main" id="{46B80AB6-FF52-4E19-B3B6-056B8DAC62EA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441" name="Text Box 1">
          <a:extLst>
            <a:ext uri="{FF2B5EF4-FFF2-40B4-BE49-F238E27FC236}">
              <a16:creationId xmlns:a16="http://schemas.microsoft.com/office/drawing/2014/main" id="{B40BE49B-87EA-4606-B780-1D8669137F2D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442" name="Text Box 1">
          <a:extLst>
            <a:ext uri="{FF2B5EF4-FFF2-40B4-BE49-F238E27FC236}">
              <a16:creationId xmlns:a16="http://schemas.microsoft.com/office/drawing/2014/main" id="{BC611C07-81CC-47D3-B8E2-597F7A6524BD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443" name="Text Box 1">
          <a:extLst>
            <a:ext uri="{FF2B5EF4-FFF2-40B4-BE49-F238E27FC236}">
              <a16:creationId xmlns:a16="http://schemas.microsoft.com/office/drawing/2014/main" id="{3032E2DC-9EF1-4CAE-B62B-52A0F809FA65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444" name="Text Box 1">
          <a:extLst>
            <a:ext uri="{FF2B5EF4-FFF2-40B4-BE49-F238E27FC236}">
              <a16:creationId xmlns:a16="http://schemas.microsoft.com/office/drawing/2014/main" id="{FC0BB042-C322-4146-A2BD-1210CD1AE215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445" name="Text Box 1">
          <a:extLst>
            <a:ext uri="{FF2B5EF4-FFF2-40B4-BE49-F238E27FC236}">
              <a16:creationId xmlns:a16="http://schemas.microsoft.com/office/drawing/2014/main" id="{2773E7FD-FA0F-4CCE-9431-940A35C00893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446" name="Text Box 1">
          <a:extLst>
            <a:ext uri="{FF2B5EF4-FFF2-40B4-BE49-F238E27FC236}">
              <a16:creationId xmlns:a16="http://schemas.microsoft.com/office/drawing/2014/main" id="{03032F04-BCF8-45BF-82ED-C0DD6ED139B0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447" name="Text Box 1">
          <a:extLst>
            <a:ext uri="{FF2B5EF4-FFF2-40B4-BE49-F238E27FC236}">
              <a16:creationId xmlns:a16="http://schemas.microsoft.com/office/drawing/2014/main" id="{443B8460-7524-40CD-9B14-4A17E4D99A9E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448" name="Text Box 1">
          <a:extLst>
            <a:ext uri="{FF2B5EF4-FFF2-40B4-BE49-F238E27FC236}">
              <a16:creationId xmlns:a16="http://schemas.microsoft.com/office/drawing/2014/main" id="{202524B3-EC20-48A0-991C-0383BB98A1FC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449" name="Text Box 1">
          <a:extLst>
            <a:ext uri="{FF2B5EF4-FFF2-40B4-BE49-F238E27FC236}">
              <a16:creationId xmlns:a16="http://schemas.microsoft.com/office/drawing/2014/main" id="{192EA842-B38F-4029-88AB-5778C49AD659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450" name="Text Box 1">
          <a:extLst>
            <a:ext uri="{FF2B5EF4-FFF2-40B4-BE49-F238E27FC236}">
              <a16:creationId xmlns:a16="http://schemas.microsoft.com/office/drawing/2014/main" id="{B3FB28A1-063D-46C5-B090-5E85B4A261E2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451" name="Text Box 1">
          <a:extLst>
            <a:ext uri="{FF2B5EF4-FFF2-40B4-BE49-F238E27FC236}">
              <a16:creationId xmlns:a16="http://schemas.microsoft.com/office/drawing/2014/main" id="{C132FEC6-8EC5-4A35-8E96-1C9E6C815D90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452" name="Text Box 1">
          <a:extLst>
            <a:ext uri="{FF2B5EF4-FFF2-40B4-BE49-F238E27FC236}">
              <a16:creationId xmlns:a16="http://schemas.microsoft.com/office/drawing/2014/main" id="{4B905055-8E91-47DD-B46F-F314ABB8CD73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453" name="Text Box 1">
          <a:extLst>
            <a:ext uri="{FF2B5EF4-FFF2-40B4-BE49-F238E27FC236}">
              <a16:creationId xmlns:a16="http://schemas.microsoft.com/office/drawing/2014/main" id="{0D4DB8BD-B06C-4F50-B0AD-2D370DF7B84F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454" name="Text Box 1">
          <a:extLst>
            <a:ext uri="{FF2B5EF4-FFF2-40B4-BE49-F238E27FC236}">
              <a16:creationId xmlns:a16="http://schemas.microsoft.com/office/drawing/2014/main" id="{8D4E1BBB-D022-49C7-B269-78D832278B67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455" name="Text Box 1">
          <a:extLst>
            <a:ext uri="{FF2B5EF4-FFF2-40B4-BE49-F238E27FC236}">
              <a16:creationId xmlns:a16="http://schemas.microsoft.com/office/drawing/2014/main" id="{3D1751B0-FFEB-4B9F-B6A8-81133EDCE5FA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456" name="Text Box 1">
          <a:extLst>
            <a:ext uri="{FF2B5EF4-FFF2-40B4-BE49-F238E27FC236}">
              <a16:creationId xmlns:a16="http://schemas.microsoft.com/office/drawing/2014/main" id="{C681994E-E410-4117-A8D0-B039C7E8B0B3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457" name="Text Box 1">
          <a:extLst>
            <a:ext uri="{FF2B5EF4-FFF2-40B4-BE49-F238E27FC236}">
              <a16:creationId xmlns:a16="http://schemas.microsoft.com/office/drawing/2014/main" id="{A9484A4A-D57E-4D72-B198-1FDDFEAFEB7A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458" name="Text Box 1">
          <a:extLst>
            <a:ext uri="{FF2B5EF4-FFF2-40B4-BE49-F238E27FC236}">
              <a16:creationId xmlns:a16="http://schemas.microsoft.com/office/drawing/2014/main" id="{36D03543-3CD2-4037-8707-BD73B5F6BE13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459" name="Text Box 1">
          <a:extLst>
            <a:ext uri="{FF2B5EF4-FFF2-40B4-BE49-F238E27FC236}">
              <a16:creationId xmlns:a16="http://schemas.microsoft.com/office/drawing/2014/main" id="{C8D433F3-F114-4FD5-B654-350C9BBBC5AB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460" name="Text Box 1">
          <a:extLst>
            <a:ext uri="{FF2B5EF4-FFF2-40B4-BE49-F238E27FC236}">
              <a16:creationId xmlns:a16="http://schemas.microsoft.com/office/drawing/2014/main" id="{C8CCB8E2-BF7A-4F81-B0BF-D51D6AC0A528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461" name="Text Box 1">
          <a:extLst>
            <a:ext uri="{FF2B5EF4-FFF2-40B4-BE49-F238E27FC236}">
              <a16:creationId xmlns:a16="http://schemas.microsoft.com/office/drawing/2014/main" id="{4170F033-AFDF-4A02-BDB6-9513AAA6276F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462" name="Text Box 1">
          <a:extLst>
            <a:ext uri="{FF2B5EF4-FFF2-40B4-BE49-F238E27FC236}">
              <a16:creationId xmlns:a16="http://schemas.microsoft.com/office/drawing/2014/main" id="{5C3CC3FF-08E2-4AF7-90BC-A156AB24B038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463" name="Text Box 1">
          <a:extLst>
            <a:ext uri="{FF2B5EF4-FFF2-40B4-BE49-F238E27FC236}">
              <a16:creationId xmlns:a16="http://schemas.microsoft.com/office/drawing/2014/main" id="{68CA674C-807B-4B56-9FA0-734021C2014D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464" name="Text Box 1">
          <a:extLst>
            <a:ext uri="{FF2B5EF4-FFF2-40B4-BE49-F238E27FC236}">
              <a16:creationId xmlns:a16="http://schemas.microsoft.com/office/drawing/2014/main" id="{4CB8C0C1-2856-4942-BB9D-649FA2855EE1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465" name="Text Box 1">
          <a:extLst>
            <a:ext uri="{FF2B5EF4-FFF2-40B4-BE49-F238E27FC236}">
              <a16:creationId xmlns:a16="http://schemas.microsoft.com/office/drawing/2014/main" id="{AF182E65-663C-4A3F-BF84-7CC6A100849A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466" name="Text Box 1">
          <a:extLst>
            <a:ext uri="{FF2B5EF4-FFF2-40B4-BE49-F238E27FC236}">
              <a16:creationId xmlns:a16="http://schemas.microsoft.com/office/drawing/2014/main" id="{C474F4FB-7D5C-4E61-A3F5-DB556A6C8C55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467" name="Text Box 1">
          <a:extLst>
            <a:ext uri="{FF2B5EF4-FFF2-40B4-BE49-F238E27FC236}">
              <a16:creationId xmlns:a16="http://schemas.microsoft.com/office/drawing/2014/main" id="{85372A41-E410-4D6A-868F-04F50A6F511E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468" name="Text Box 1">
          <a:extLst>
            <a:ext uri="{FF2B5EF4-FFF2-40B4-BE49-F238E27FC236}">
              <a16:creationId xmlns:a16="http://schemas.microsoft.com/office/drawing/2014/main" id="{6ABE3D8D-CC67-478A-92F3-51146E6FC1D4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469" name="Text Box 1">
          <a:extLst>
            <a:ext uri="{FF2B5EF4-FFF2-40B4-BE49-F238E27FC236}">
              <a16:creationId xmlns:a16="http://schemas.microsoft.com/office/drawing/2014/main" id="{87126E04-6C10-49B0-8A6B-64F862249D82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470" name="Text Box 1">
          <a:extLst>
            <a:ext uri="{FF2B5EF4-FFF2-40B4-BE49-F238E27FC236}">
              <a16:creationId xmlns:a16="http://schemas.microsoft.com/office/drawing/2014/main" id="{55A45B32-FB3E-401B-B56E-35074D3E834F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471" name="Text Box 1">
          <a:extLst>
            <a:ext uri="{FF2B5EF4-FFF2-40B4-BE49-F238E27FC236}">
              <a16:creationId xmlns:a16="http://schemas.microsoft.com/office/drawing/2014/main" id="{4033B7E1-CAE7-4269-AC8D-CAEE1AF75F95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472" name="Text Box 1">
          <a:extLst>
            <a:ext uri="{FF2B5EF4-FFF2-40B4-BE49-F238E27FC236}">
              <a16:creationId xmlns:a16="http://schemas.microsoft.com/office/drawing/2014/main" id="{ADC62C09-76AF-4944-B755-2EF4FE8CEB40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473" name="Text Box 1">
          <a:extLst>
            <a:ext uri="{FF2B5EF4-FFF2-40B4-BE49-F238E27FC236}">
              <a16:creationId xmlns:a16="http://schemas.microsoft.com/office/drawing/2014/main" id="{52818D88-C637-4467-900B-8F3E18FE3E4F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474" name="Text Box 1">
          <a:extLst>
            <a:ext uri="{FF2B5EF4-FFF2-40B4-BE49-F238E27FC236}">
              <a16:creationId xmlns:a16="http://schemas.microsoft.com/office/drawing/2014/main" id="{65E59FCF-5B3D-41A9-AD47-253A57CFDE21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475" name="Text Box 1">
          <a:extLst>
            <a:ext uri="{FF2B5EF4-FFF2-40B4-BE49-F238E27FC236}">
              <a16:creationId xmlns:a16="http://schemas.microsoft.com/office/drawing/2014/main" id="{62213727-7909-42ED-9D1B-AFBE1E9C5B52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476" name="Text Box 1">
          <a:extLst>
            <a:ext uri="{FF2B5EF4-FFF2-40B4-BE49-F238E27FC236}">
              <a16:creationId xmlns:a16="http://schemas.microsoft.com/office/drawing/2014/main" id="{BB4314A0-9734-4AE0-B8C3-1AE008C947DA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477" name="Text Box 1">
          <a:extLst>
            <a:ext uri="{FF2B5EF4-FFF2-40B4-BE49-F238E27FC236}">
              <a16:creationId xmlns:a16="http://schemas.microsoft.com/office/drawing/2014/main" id="{29B08815-BD91-44EF-BCB5-DAD9B820CF56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478" name="Text Box 1">
          <a:extLst>
            <a:ext uri="{FF2B5EF4-FFF2-40B4-BE49-F238E27FC236}">
              <a16:creationId xmlns:a16="http://schemas.microsoft.com/office/drawing/2014/main" id="{67422FBE-13CF-4CEC-A23B-2A73CC086323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479" name="Text Box 1">
          <a:extLst>
            <a:ext uri="{FF2B5EF4-FFF2-40B4-BE49-F238E27FC236}">
              <a16:creationId xmlns:a16="http://schemas.microsoft.com/office/drawing/2014/main" id="{C836AB06-39A7-473C-9590-819DEFF0F8AB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480" name="Text Box 1">
          <a:extLst>
            <a:ext uri="{FF2B5EF4-FFF2-40B4-BE49-F238E27FC236}">
              <a16:creationId xmlns:a16="http://schemas.microsoft.com/office/drawing/2014/main" id="{893CDF3F-923C-491F-B298-7009B45B029E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481" name="Text Box 1">
          <a:extLst>
            <a:ext uri="{FF2B5EF4-FFF2-40B4-BE49-F238E27FC236}">
              <a16:creationId xmlns:a16="http://schemas.microsoft.com/office/drawing/2014/main" id="{3BCD2A78-FFD5-444D-BAFF-95296C72E4F2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482" name="Text Box 1">
          <a:extLst>
            <a:ext uri="{FF2B5EF4-FFF2-40B4-BE49-F238E27FC236}">
              <a16:creationId xmlns:a16="http://schemas.microsoft.com/office/drawing/2014/main" id="{8E11EA08-BD5B-4B7D-BBF3-25B83575DA28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483" name="Text Box 1">
          <a:extLst>
            <a:ext uri="{FF2B5EF4-FFF2-40B4-BE49-F238E27FC236}">
              <a16:creationId xmlns:a16="http://schemas.microsoft.com/office/drawing/2014/main" id="{337C18DF-22C3-4461-83C1-149AE4BE9C22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484" name="Text Box 1">
          <a:extLst>
            <a:ext uri="{FF2B5EF4-FFF2-40B4-BE49-F238E27FC236}">
              <a16:creationId xmlns:a16="http://schemas.microsoft.com/office/drawing/2014/main" id="{E225681B-D25C-46CB-824A-4C62378246CC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485" name="Text Box 1">
          <a:extLst>
            <a:ext uri="{FF2B5EF4-FFF2-40B4-BE49-F238E27FC236}">
              <a16:creationId xmlns:a16="http://schemas.microsoft.com/office/drawing/2014/main" id="{4BF0E311-06DA-48F0-B8D2-2935519F9137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486" name="Text Box 1">
          <a:extLst>
            <a:ext uri="{FF2B5EF4-FFF2-40B4-BE49-F238E27FC236}">
              <a16:creationId xmlns:a16="http://schemas.microsoft.com/office/drawing/2014/main" id="{C66F0E0F-CCC4-4DC0-A248-C4F57F150476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487" name="Text Box 1">
          <a:extLst>
            <a:ext uri="{FF2B5EF4-FFF2-40B4-BE49-F238E27FC236}">
              <a16:creationId xmlns:a16="http://schemas.microsoft.com/office/drawing/2014/main" id="{422AD464-2E07-4F0B-ABB5-0B637CA4226E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488" name="Text Box 1">
          <a:extLst>
            <a:ext uri="{FF2B5EF4-FFF2-40B4-BE49-F238E27FC236}">
              <a16:creationId xmlns:a16="http://schemas.microsoft.com/office/drawing/2014/main" id="{8EE9F637-DA05-4355-A596-4D86E0068BAB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489" name="Text Box 1">
          <a:extLst>
            <a:ext uri="{FF2B5EF4-FFF2-40B4-BE49-F238E27FC236}">
              <a16:creationId xmlns:a16="http://schemas.microsoft.com/office/drawing/2014/main" id="{3A01C995-4AB5-4299-A6CA-6D3340CD2CDF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490" name="Text Box 1">
          <a:extLst>
            <a:ext uri="{FF2B5EF4-FFF2-40B4-BE49-F238E27FC236}">
              <a16:creationId xmlns:a16="http://schemas.microsoft.com/office/drawing/2014/main" id="{B798EBE4-0CC2-481F-A540-7D3ABCC397FE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491" name="Text Box 1">
          <a:extLst>
            <a:ext uri="{FF2B5EF4-FFF2-40B4-BE49-F238E27FC236}">
              <a16:creationId xmlns:a16="http://schemas.microsoft.com/office/drawing/2014/main" id="{C2F947C7-84BA-4728-8859-8CB4CC173CD7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492" name="Text Box 1">
          <a:extLst>
            <a:ext uri="{FF2B5EF4-FFF2-40B4-BE49-F238E27FC236}">
              <a16:creationId xmlns:a16="http://schemas.microsoft.com/office/drawing/2014/main" id="{1260BDE6-22B5-4605-9A1A-ED139E4DCED0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493" name="Text Box 1">
          <a:extLst>
            <a:ext uri="{FF2B5EF4-FFF2-40B4-BE49-F238E27FC236}">
              <a16:creationId xmlns:a16="http://schemas.microsoft.com/office/drawing/2014/main" id="{7DCDAA0E-D380-45AD-BD41-2968B18E94F3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494" name="Text Box 1">
          <a:extLst>
            <a:ext uri="{FF2B5EF4-FFF2-40B4-BE49-F238E27FC236}">
              <a16:creationId xmlns:a16="http://schemas.microsoft.com/office/drawing/2014/main" id="{B008EB00-6646-47D2-AD55-A6CEDE399F87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495" name="Text Box 1">
          <a:extLst>
            <a:ext uri="{FF2B5EF4-FFF2-40B4-BE49-F238E27FC236}">
              <a16:creationId xmlns:a16="http://schemas.microsoft.com/office/drawing/2014/main" id="{71368D84-9FE0-4CA3-9757-BCB58B4275C6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496" name="Text Box 1">
          <a:extLst>
            <a:ext uri="{FF2B5EF4-FFF2-40B4-BE49-F238E27FC236}">
              <a16:creationId xmlns:a16="http://schemas.microsoft.com/office/drawing/2014/main" id="{BBFD9FAE-F091-4614-A731-26EE86A76A82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497" name="Text Box 1">
          <a:extLst>
            <a:ext uri="{FF2B5EF4-FFF2-40B4-BE49-F238E27FC236}">
              <a16:creationId xmlns:a16="http://schemas.microsoft.com/office/drawing/2014/main" id="{03DAC182-0765-41D2-951B-6756B4DBDA01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498" name="Text Box 1">
          <a:extLst>
            <a:ext uri="{FF2B5EF4-FFF2-40B4-BE49-F238E27FC236}">
              <a16:creationId xmlns:a16="http://schemas.microsoft.com/office/drawing/2014/main" id="{93DE7700-BB96-419A-8F98-39320EF466D1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499" name="Text Box 1">
          <a:extLst>
            <a:ext uri="{FF2B5EF4-FFF2-40B4-BE49-F238E27FC236}">
              <a16:creationId xmlns:a16="http://schemas.microsoft.com/office/drawing/2014/main" id="{78BDC828-D485-4EF8-B337-AB127211FD97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500" name="Text Box 1">
          <a:extLst>
            <a:ext uri="{FF2B5EF4-FFF2-40B4-BE49-F238E27FC236}">
              <a16:creationId xmlns:a16="http://schemas.microsoft.com/office/drawing/2014/main" id="{AEA7795A-B3D2-42BB-902B-8AF0A47F776B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501" name="Text Box 1">
          <a:extLst>
            <a:ext uri="{FF2B5EF4-FFF2-40B4-BE49-F238E27FC236}">
              <a16:creationId xmlns:a16="http://schemas.microsoft.com/office/drawing/2014/main" id="{18EC3261-1F76-4CEC-A3F8-21BCED0D86E7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502" name="Text Box 1">
          <a:extLst>
            <a:ext uri="{FF2B5EF4-FFF2-40B4-BE49-F238E27FC236}">
              <a16:creationId xmlns:a16="http://schemas.microsoft.com/office/drawing/2014/main" id="{5BED7CA9-6111-4AC9-BCF9-10D7DAF94F8C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503" name="Text Box 1">
          <a:extLst>
            <a:ext uri="{FF2B5EF4-FFF2-40B4-BE49-F238E27FC236}">
              <a16:creationId xmlns:a16="http://schemas.microsoft.com/office/drawing/2014/main" id="{88B40548-C375-4AA3-92F7-61563994AA13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504" name="Text Box 1">
          <a:extLst>
            <a:ext uri="{FF2B5EF4-FFF2-40B4-BE49-F238E27FC236}">
              <a16:creationId xmlns:a16="http://schemas.microsoft.com/office/drawing/2014/main" id="{D6805267-06ED-4946-B5EA-5F3E3D4441D6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505" name="Text Box 1">
          <a:extLst>
            <a:ext uri="{FF2B5EF4-FFF2-40B4-BE49-F238E27FC236}">
              <a16:creationId xmlns:a16="http://schemas.microsoft.com/office/drawing/2014/main" id="{E01119C0-FE4E-4E88-A71A-901F9E6902F7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506" name="Text Box 1">
          <a:extLst>
            <a:ext uri="{FF2B5EF4-FFF2-40B4-BE49-F238E27FC236}">
              <a16:creationId xmlns:a16="http://schemas.microsoft.com/office/drawing/2014/main" id="{93B6A3E4-13EA-4CA2-B97F-3D810BBC6AEB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507" name="Text Box 1">
          <a:extLst>
            <a:ext uri="{FF2B5EF4-FFF2-40B4-BE49-F238E27FC236}">
              <a16:creationId xmlns:a16="http://schemas.microsoft.com/office/drawing/2014/main" id="{BEA7FB18-B0DB-49F3-ADC8-2948E4ECB3C5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508" name="Text Box 1">
          <a:extLst>
            <a:ext uri="{FF2B5EF4-FFF2-40B4-BE49-F238E27FC236}">
              <a16:creationId xmlns:a16="http://schemas.microsoft.com/office/drawing/2014/main" id="{9B690619-B156-4CB5-BFA3-95234D9F41C9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509" name="Text Box 1">
          <a:extLst>
            <a:ext uri="{FF2B5EF4-FFF2-40B4-BE49-F238E27FC236}">
              <a16:creationId xmlns:a16="http://schemas.microsoft.com/office/drawing/2014/main" id="{53B07C02-1C11-4CDC-B98A-8427BD117228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510" name="Text Box 1">
          <a:extLst>
            <a:ext uri="{FF2B5EF4-FFF2-40B4-BE49-F238E27FC236}">
              <a16:creationId xmlns:a16="http://schemas.microsoft.com/office/drawing/2014/main" id="{3D3455C7-54A4-4B7F-B294-912ACC14F598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511" name="Text Box 1">
          <a:extLst>
            <a:ext uri="{FF2B5EF4-FFF2-40B4-BE49-F238E27FC236}">
              <a16:creationId xmlns:a16="http://schemas.microsoft.com/office/drawing/2014/main" id="{BB444AE9-46E3-4CA2-A1AC-A52B549CE486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512" name="Text Box 1">
          <a:extLst>
            <a:ext uri="{FF2B5EF4-FFF2-40B4-BE49-F238E27FC236}">
              <a16:creationId xmlns:a16="http://schemas.microsoft.com/office/drawing/2014/main" id="{A3D7D8D0-DDEB-470A-997B-4932A37BE24A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513" name="Text Box 1">
          <a:extLst>
            <a:ext uri="{FF2B5EF4-FFF2-40B4-BE49-F238E27FC236}">
              <a16:creationId xmlns:a16="http://schemas.microsoft.com/office/drawing/2014/main" id="{A493B8FE-2F5E-4AB3-987C-E3ECB0D6A75F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514" name="Text Box 1">
          <a:extLst>
            <a:ext uri="{FF2B5EF4-FFF2-40B4-BE49-F238E27FC236}">
              <a16:creationId xmlns:a16="http://schemas.microsoft.com/office/drawing/2014/main" id="{AD2CC2F1-BB53-4005-A1CF-ABBD7CA36D5C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515" name="Text Box 1">
          <a:extLst>
            <a:ext uri="{FF2B5EF4-FFF2-40B4-BE49-F238E27FC236}">
              <a16:creationId xmlns:a16="http://schemas.microsoft.com/office/drawing/2014/main" id="{5A6C9F54-DE4C-4762-8694-5CC4E9107EA8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516" name="Text Box 1">
          <a:extLst>
            <a:ext uri="{FF2B5EF4-FFF2-40B4-BE49-F238E27FC236}">
              <a16:creationId xmlns:a16="http://schemas.microsoft.com/office/drawing/2014/main" id="{B16F9942-81BE-4157-B164-E3424E36AD23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517" name="Text Box 1">
          <a:extLst>
            <a:ext uri="{FF2B5EF4-FFF2-40B4-BE49-F238E27FC236}">
              <a16:creationId xmlns:a16="http://schemas.microsoft.com/office/drawing/2014/main" id="{73750375-D7EE-4843-A126-0991587D3CF0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518" name="Text Box 1">
          <a:extLst>
            <a:ext uri="{FF2B5EF4-FFF2-40B4-BE49-F238E27FC236}">
              <a16:creationId xmlns:a16="http://schemas.microsoft.com/office/drawing/2014/main" id="{5FDB4EB5-09A5-42AC-9756-186C6EFF46BF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519" name="Text Box 1">
          <a:extLst>
            <a:ext uri="{FF2B5EF4-FFF2-40B4-BE49-F238E27FC236}">
              <a16:creationId xmlns:a16="http://schemas.microsoft.com/office/drawing/2014/main" id="{50E04CB3-3468-4A38-83CB-267C972040B8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520" name="Text Box 1">
          <a:extLst>
            <a:ext uri="{FF2B5EF4-FFF2-40B4-BE49-F238E27FC236}">
              <a16:creationId xmlns:a16="http://schemas.microsoft.com/office/drawing/2014/main" id="{AF893ABE-C9CC-4344-BC08-31BF560F41D5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521" name="Text Box 1">
          <a:extLst>
            <a:ext uri="{FF2B5EF4-FFF2-40B4-BE49-F238E27FC236}">
              <a16:creationId xmlns:a16="http://schemas.microsoft.com/office/drawing/2014/main" id="{81062562-E090-45E6-B223-8B2FCFF57B27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522" name="Text Box 1">
          <a:extLst>
            <a:ext uri="{FF2B5EF4-FFF2-40B4-BE49-F238E27FC236}">
              <a16:creationId xmlns:a16="http://schemas.microsoft.com/office/drawing/2014/main" id="{ED4E0B65-A85A-4442-8042-B3B3D0DA9998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523" name="Text Box 1">
          <a:extLst>
            <a:ext uri="{FF2B5EF4-FFF2-40B4-BE49-F238E27FC236}">
              <a16:creationId xmlns:a16="http://schemas.microsoft.com/office/drawing/2014/main" id="{DF86BA2F-A1CE-409B-9A53-F3D293DEA6E6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524" name="Text Box 1">
          <a:extLst>
            <a:ext uri="{FF2B5EF4-FFF2-40B4-BE49-F238E27FC236}">
              <a16:creationId xmlns:a16="http://schemas.microsoft.com/office/drawing/2014/main" id="{73E73A47-A171-40C5-8D40-47B696281594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525" name="Text Box 1">
          <a:extLst>
            <a:ext uri="{FF2B5EF4-FFF2-40B4-BE49-F238E27FC236}">
              <a16:creationId xmlns:a16="http://schemas.microsoft.com/office/drawing/2014/main" id="{49DED3DC-D82D-4F84-BA59-6FA2AE5C51B6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526" name="Text Box 1">
          <a:extLst>
            <a:ext uri="{FF2B5EF4-FFF2-40B4-BE49-F238E27FC236}">
              <a16:creationId xmlns:a16="http://schemas.microsoft.com/office/drawing/2014/main" id="{E84AAEAD-EC15-4043-A880-FBB24D91A84E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527" name="Text Box 1">
          <a:extLst>
            <a:ext uri="{FF2B5EF4-FFF2-40B4-BE49-F238E27FC236}">
              <a16:creationId xmlns:a16="http://schemas.microsoft.com/office/drawing/2014/main" id="{5DAD08B5-132A-440D-81FF-C6452CEDC4BE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528" name="Text Box 1">
          <a:extLst>
            <a:ext uri="{FF2B5EF4-FFF2-40B4-BE49-F238E27FC236}">
              <a16:creationId xmlns:a16="http://schemas.microsoft.com/office/drawing/2014/main" id="{9437DEDF-84F2-44A3-A093-77045A9F6F0C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529" name="Text Box 1">
          <a:extLst>
            <a:ext uri="{FF2B5EF4-FFF2-40B4-BE49-F238E27FC236}">
              <a16:creationId xmlns:a16="http://schemas.microsoft.com/office/drawing/2014/main" id="{143EDA27-98A6-4EAC-8F91-D21363C389AF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530" name="Text Box 1">
          <a:extLst>
            <a:ext uri="{FF2B5EF4-FFF2-40B4-BE49-F238E27FC236}">
              <a16:creationId xmlns:a16="http://schemas.microsoft.com/office/drawing/2014/main" id="{A01633B7-2D3C-45C2-BF5A-4376336A7387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531" name="Text Box 1">
          <a:extLst>
            <a:ext uri="{FF2B5EF4-FFF2-40B4-BE49-F238E27FC236}">
              <a16:creationId xmlns:a16="http://schemas.microsoft.com/office/drawing/2014/main" id="{954F1222-8816-4FB7-8C7B-BB4915DE4B1F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532" name="Text Box 1">
          <a:extLst>
            <a:ext uri="{FF2B5EF4-FFF2-40B4-BE49-F238E27FC236}">
              <a16:creationId xmlns:a16="http://schemas.microsoft.com/office/drawing/2014/main" id="{1D8AF7B0-8B60-4E71-ABE8-A538651AF450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533" name="Text Box 1">
          <a:extLst>
            <a:ext uri="{FF2B5EF4-FFF2-40B4-BE49-F238E27FC236}">
              <a16:creationId xmlns:a16="http://schemas.microsoft.com/office/drawing/2014/main" id="{E6F4F3EB-45DD-47F9-9196-495F25D8E638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534" name="Text Box 1">
          <a:extLst>
            <a:ext uri="{FF2B5EF4-FFF2-40B4-BE49-F238E27FC236}">
              <a16:creationId xmlns:a16="http://schemas.microsoft.com/office/drawing/2014/main" id="{0F6EE2CE-42F1-4550-B88F-7EA7D2835799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535" name="Text Box 1">
          <a:extLst>
            <a:ext uri="{FF2B5EF4-FFF2-40B4-BE49-F238E27FC236}">
              <a16:creationId xmlns:a16="http://schemas.microsoft.com/office/drawing/2014/main" id="{E255EEF6-773B-4281-AC4D-D2B2032D8DF4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536" name="Text Box 1">
          <a:extLst>
            <a:ext uri="{FF2B5EF4-FFF2-40B4-BE49-F238E27FC236}">
              <a16:creationId xmlns:a16="http://schemas.microsoft.com/office/drawing/2014/main" id="{EB39AA84-2BFA-412B-B10E-4639A0F11163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537" name="Text Box 1">
          <a:extLst>
            <a:ext uri="{FF2B5EF4-FFF2-40B4-BE49-F238E27FC236}">
              <a16:creationId xmlns:a16="http://schemas.microsoft.com/office/drawing/2014/main" id="{C0F399B2-1368-43A1-8FFF-BFF63853D9B5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538" name="Text Box 1">
          <a:extLst>
            <a:ext uri="{FF2B5EF4-FFF2-40B4-BE49-F238E27FC236}">
              <a16:creationId xmlns:a16="http://schemas.microsoft.com/office/drawing/2014/main" id="{DA2D6AE2-06D5-43BC-B046-FE96FD2D75FE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539" name="Text Box 1">
          <a:extLst>
            <a:ext uri="{FF2B5EF4-FFF2-40B4-BE49-F238E27FC236}">
              <a16:creationId xmlns:a16="http://schemas.microsoft.com/office/drawing/2014/main" id="{77BAB48E-CAEA-40EC-B3AA-0A351428456F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540" name="Text Box 1">
          <a:extLst>
            <a:ext uri="{FF2B5EF4-FFF2-40B4-BE49-F238E27FC236}">
              <a16:creationId xmlns:a16="http://schemas.microsoft.com/office/drawing/2014/main" id="{CE4B14B5-D802-406D-A9D4-C4AD83EC7E1C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541" name="Text Box 1">
          <a:extLst>
            <a:ext uri="{FF2B5EF4-FFF2-40B4-BE49-F238E27FC236}">
              <a16:creationId xmlns:a16="http://schemas.microsoft.com/office/drawing/2014/main" id="{8045565E-2CC1-460E-A359-7502761A364A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542" name="Text Box 1">
          <a:extLst>
            <a:ext uri="{FF2B5EF4-FFF2-40B4-BE49-F238E27FC236}">
              <a16:creationId xmlns:a16="http://schemas.microsoft.com/office/drawing/2014/main" id="{C5FB218D-F753-4E5C-8F9A-40455648D510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543" name="Text Box 1">
          <a:extLst>
            <a:ext uri="{FF2B5EF4-FFF2-40B4-BE49-F238E27FC236}">
              <a16:creationId xmlns:a16="http://schemas.microsoft.com/office/drawing/2014/main" id="{C4AC4C3E-0767-42C5-AC98-462F08EF540E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544" name="Text Box 1">
          <a:extLst>
            <a:ext uri="{FF2B5EF4-FFF2-40B4-BE49-F238E27FC236}">
              <a16:creationId xmlns:a16="http://schemas.microsoft.com/office/drawing/2014/main" id="{E57CB69F-AED3-4735-9BE8-96E762FDE6C7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545" name="Text Box 1">
          <a:extLst>
            <a:ext uri="{FF2B5EF4-FFF2-40B4-BE49-F238E27FC236}">
              <a16:creationId xmlns:a16="http://schemas.microsoft.com/office/drawing/2014/main" id="{AF4FC225-BD23-42B3-B0FA-27AA452F9735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546" name="Text Box 1">
          <a:extLst>
            <a:ext uri="{FF2B5EF4-FFF2-40B4-BE49-F238E27FC236}">
              <a16:creationId xmlns:a16="http://schemas.microsoft.com/office/drawing/2014/main" id="{65EA8225-E3EA-4FDA-86B2-06ED2C30FEE1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547" name="Text Box 1">
          <a:extLst>
            <a:ext uri="{FF2B5EF4-FFF2-40B4-BE49-F238E27FC236}">
              <a16:creationId xmlns:a16="http://schemas.microsoft.com/office/drawing/2014/main" id="{9C0756C4-36F6-4622-90EA-0D994CB658F9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548" name="Text Box 1">
          <a:extLst>
            <a:ext uri="{FF2B5EF4-FFF2-40B4-BE49-F238E27FC236}">
              <a16:creationId xmlns:a16="http://schemas.microsoft.com/office/drawing/2014/main" id="{8FE9CBF5-CBAB-48EB-9BCE-2D88F738FC43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549" name="Text Box 1">
          <a:extLst>
            <a:ext uri="{FF2B5EF4-FFF2-40B4-BE49-F238E27FC236}">
              <a16:creationId xmlns:a16="http://schemas.microsoft.com/office/drawing/2014/main" id="{8EFFE567-ED41-41B6-8961-D401B67CE7FD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550" name="Text Box 1">
          <a:extLst>
            <a:ext uri="{FF2B5EF4-FFF2-40B4-BE49-F238E27FC236}">
              <a16:creationId xmlns:a16="http://schemas.microsoft.com/office/drawing/2014/main" id="{8FBA3492-E94E-45C6-A863-09E30FCF2B0F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551" name="Text Box 1">
          <a:extLst>
            <a:ext uri="{FF2B5EF4-FFF2-40B4-BE49-F238E27FC236}">
              <a16:creationId xmlns:a16="http://schemas.microsoft.com/office/drawing/2014/main" id="{73F44D8A-A353-45A9-955E-8CD23179AD00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552" name="Text Box 1">
          <a:extLst>
            <a:ext uri="{FF2B5EF4-FFF2-40B4-BE49-F238E27FC236}">
              <a16:creationId xmlns:a16="http://schemas.microsoft.com/office/drawing/2014/main" id="{2A43B1A0-AF9D-469D-BBA9-E75F5F4ED5FB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553" name="Text Box 1">
          <a:extLst>
            <a:ext uri="{FF2B5EF4-FFF2-40B4-BE49-F238E27FC236}">
              <a16:creationId xmlns:a16="http://schemas.microsoft.com/office/drawing/2014/main" id="{C6B63058-B597-4EB6-A80F-38B8EA49D7AB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554" name="Text Box 1">
          <a:extLst>
            <a:ext uri="{FF2B5EF4-FFF2-40B4-BE49-F238E27FC236}">
              <a16:creationId xmlns:a16="http://schemas.microsoft.com/office/drawing/2014/main" id="{B9DD0C2C-C291-452B-9C35-7A1F8A7BF320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555" name="Text Box 1">
          <a:extLst>
            <a:ext uri="{FF2B5EF4-FFF2-40B4-BE49-F238E27FC236}">
              <a16:creationId xmlns:a16="http://schemas.microsoft.com/office/drawing/2014/main" id="{920BBADF-4C99-4A29-9908-DC7942143C9A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556" name="Text Box 1">
          <a:extLst>
            <a:ext uri="{FF2B5EF4-FFF2-40B4-BE49-F238E27FC236}">
              <a16:creationId xmlns:a16="http://schemas.microsoft.com/office/drawing/2014/main" id="{70FFB4BD-D2BC-4179-A4EF-9F46764314BF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557" name="Text Box 1">
          <a:extLst>
            <a:ext uri="{FF2B5EF4-FFF2-40B4-BE49-F238E27FC236}">
              <a16:creationId xmlns:a16="http://schemas.microsoft.com/office/drawing/2014/main" id="{4B1578AA-2568-42FD-A149-551277255FE5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558" name="Text Box 1">
          <a:extLst>
            <a:ext uri="{FF2B5EF4-FFF2-40B4-BE49-F238E27FC236}">
              <a16:creationId xmlns:a16="http://schemas.microsoft.com/office/drawing/2014/main" id="{D446B61B-57A2-45F5-AB37-1C81A0860DD8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559" name="Text Box 1">
          <a:extLst>
            <a:ext uri="{FF2B5EF4-FFF2-40B4-BE49-F238E27FC236}">
              <a16:creationId xmlns:a16="http://schemas.microsoft.com/office/drawing/2014/main" id="{D68A9781-0757-4050-A111-FE23D823C3D9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560" name="Text Box 1">
          <a:extLst>
            <a:ext uri="{FF2B5EF4-FFF2-40B4-BE49-F238E27FC236}">
              <a16:creationId xmlns:a16="http://schemas.microsoft.com/office/drawing/2014/main" id="{C02FCF91-5097-44C6-8BF8-772CBC2800EA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561" name="Text Box 1">
          <a:extLst>
            <a:ext uri="{FF2B5EF4-FFF2-40B4-BE49-F238E27FC236}">
              <a16:creationId xmlns:a16="http://schemas.microsoft.com/office/drawing/2014/main" id="{5D7FC6DE-E265-4E52-8984-81CEE2FDB4ED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562" name="Text Box 1">
          <a:extLst>
            <a:ext uri="{FF2B5EF4-FFF2-40B4-BE49-F238E27FC236}">
              <a16:creationId xmlns:a16="http://schemas.microsoft.com/office/drawing/2014/main" id="{024B76A0-FF4C-4737-B387-654BF3431031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563" name="Text Box 1">
          <a:extLst>
            <a:ext uri="{FF2B5EF4-FFF2-40B4-BE49-F238E27FC236}">
              <a16:creationId xmlns:a16="http://schemas.microsoft.com/office/drawing/2014/main" id="{BAF06DC9-FEF8-462D-AF78-CBF66492319F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564" name="Text Box 1">
          <a:extLst>
            <a:ext uri="{FF2B5EF4-FFF2-40B4-BE49-F238E27FC236}">
              <a16:creationId xmlns:a16="http://schemas.microsoft.com/office/drawing/2014/main" id="{0BAE2A0A-0210-4A55-856B-575493B42370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565" name="Text Box 1">
          <a:extLst>
            <a:ext uri="{FF2B5EF4-FFF2-40B4-BE49-F238E27FC236}">
              <a16:creationId xmlns:a16="http://schemas.microsoft.com/office/drawing/2014/main" id="{6E05D188-8594-4EDF-86BD-DBFEB8F16127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566" name="Text Box 1">
          <a:extLst>
            <a:ext uri="{FF2B5EF4-FFF2-40B4-BE49-F238E27FC236}">
              <a16:creationId xmlns:a16="http://schemas.microsoft.com/office/drawing/2014/main" id="{B759A5C0-7D39-4F43-8216-78682F080CE0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567" name="Text Box 1">
          <a:extLst>
            <a:ext uri="{FF2B5EF4-FFF2-40B4-BE49-F238E27FC236}">
              <a16:creationId xmlns:a16="http://schemas.microsoft.com/office/drawing/2014/main" id="{993D7C04-F33A-44A7-B1D8-1F16A4D144ED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568" name="Text Box 1">
          <a:extLst>
            <a:ext uri="{FF2B5EF4-FFF2-40B4-BE49-F238E27FC236}">
              <a16:creationId xmlns:a16="http://schemas.microsoft.com/office/drawing/2014/main" id="{A2094969-33E6-4B31-8D11-75A5FDEB11C0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569" name="Text Box 1">
          <a:extLst>
            <a:ext uri="{FF2B5EF4-FFF2-40B4-BE49-F238E27FC236}">
              <a16:creationId xmlns:a16="http://schemas.microsoft.com/office/drawing/2014/main" id="{03865C54-BC7E-4FE8-BCFC-E67724F6B13B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570" name="Text Box 1">
          <a:extLst>
            <a:ext uri="{FF2B5EF4-FFF2-40B4-BE49-F238E27FC236}">
              <a16:creationId xmlns:a16="http://schemas.microsoft.com/office/drawing/2014/main" id="{2B3DA112-7779-4E35-9306-5AF2CCE821FD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571" name="Text Box 1">
          <a:extLst>
            <a:ext uri="{FF2B5EF4-FFF2-40B4-BE49-F238E27FC236}">
              <a16:creationId xmlns:a16="http://schemas.microsoft.com/office/drawing/2014/main" id="{BD0D57F5-E5ED-475B-9A70-F28747D95919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572" name="Text Box 1">
          <a:extLst>
            <a:ext uri="{FF2B5EF4-FFF2-40B4-BE49-F238E27FC236}">
              <a16:creationId xmlns:a16="http://schemas.microsoft.com/office/drawing/2014/main" id="{E8A64B47-D0C3-4E14-A9CA-31E4152B617E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573" name="Text Box 1">
          <a:extLst>
            <a:ext uri="{FF2B5EF4-FFF2-40B4-BE49-F238E27FC236}">
              <a16:creationId xmlns:a16="http://schemas.microsoft.com/office/drawing/2014/main" id="{EC1DCF3F-9998-4F07-B70D-85488DE95528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574" name="Text Box 1">
          <a:extLst>
            <a:ext uri="{FF2B5EF4-FFF2-40B4-BE49-F238E27FC236}">
              <a16:creationId xmlns:a16="http://schemas.microsoft.com/office/drawing/2014/main" id="{62E5825E-3842-418F-9238-7FD0837B82CF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575" name="Text Box 1">
          <a:extLst>
            <a:ext uri="{FF2B5EF4-FFF2-40B4-BE49-F238E27FC236}">
              <a16:creationId xmlns:a16="http://schemas.microsoft.com/office/drawing/2014/main" id="{0DFC2128-ECD9-4A0B-B3BE-166898175AF7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576" name="Text Box 1">
          <a:extLst>
            <a:ext uri="{FF2B5EF4-FFF2-40B4-BE49-F238E27FC236}">
              <a16:creationId xmlns:a16="http://schemas.microsoft.com/office/drawing/2014/main" id="{8A0FAD6B-E444-4D5E-93A6-F3E9A7F25564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577" name="Text Box 1">
          <a:extLst>
            <a:ext uri="{FF2B5EF4-FFF2-40B4-BE49-F238E27FC236}">
              <a16:creationId xmlns:a16="http://schemas.microsoft.com/office/drawing/2014/main" id="{72D29021-A1F7-45AA-8F21-464882AE74C8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578" name="Text Box 1">
          <a:extLst>
            <a:ext uri="{FF2B5EF4-FFF2-40B4-BE49-F238E27FC236}">
              <a16:creationId xmlns:a16="http://schemas.microsoft.com/office/drawing/2014/main" id="{08706335-5738-478F-8CAB-73A25913A9F2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579" name="Text Box 1">
          <a:extLst>
            <a:ext uri="{FF2B5EF4-FFF2-40B4-BE49-F238E27FC236}">
              <a16:creationId xmlns:a16="http://schemas.microsoft.com/office/drawing/2014/main" id="{F8AE7834-7B08-4125-B8A5-C46E0074F492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580" name="Text Box 1">
          <a:extLst>
            <a:ext uri="{FF2B5EF4-FFF2-40B4-BE49-F238E27FC236}">
              <a16:creationId xmlns:a16="http://schemas.microsoft.com/office/drawing/2014/main" id="{70DAB4B4-7A69-4164-AE38-54CFBB4883E9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581" name="Text Box 1">
          <a:extLst>
            <a:ext uri="{FF2B5EF4-FFF2-40B4-BE49-F238E27FC236}">
              <a16:creationId xmlns:a16="http://schemas.microsoft.com/office/drawing/2014/main" id="{D55DF993-7D9A-4068-9967-39B7A08B793D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582" name="Text Box 1">
          <a:extLst>
            <a:ext uri="{FF2B5EF4-FFF2-40B4-BE49-F238E27FC236}">
              <a16:creationId xmlns:a16="http://schemas.microsoft.com/office/drawing/2014/main" id="{878F3B6C-8BD1-485E-B113-3B2B2EBA0A0E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583" name="Text Box 1">
          <a:extLst>
            <a:ext uri="{FF2B5EF4-FFF2-40B4-BE49-F238E27FC236}">
              <a16:creationId xmlns:a16="http://schemas.microsoft.com/office/drawing/2014/main" id="{E3E181EF-8D61-4F97-9C4F-500BEB77809C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584" name="Text Box 1">
          <a:extLst>
            <a:ext uri="{FF2B5EF4-FFF2-40B4-BE49-F238E27FC236}">
              <a16:creationId xmlns:a16="http://schemas.microsoft.com/office/drawing/2014/main" id="{ED31C42B-D874-45F1-AF8B-8588498041BA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585" name="Text Box 1">
          <a:extLst>
            <a:ext uri="{FF2B5EF4-FFF2-40B4-BE49-F238E27FC236}">
              <a16:creationId xmlns:a16="http://schemas.microsoft.com/office/drawing/2014/main" id="{EF6BD2D0-71CB-4106-AFBC-443B12A93324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586" name="Text Box 1">
          <a:extLst>
            <a:ext uri="{FF2B5EF4-FFF2-40B4-BE49-F238E27FC236}">
              <a16:creationId xmlns:a16="http://schemas.microsoft.com/office/drawing/2014/main" id="{E9C2EC73-0D53-4BD2-97B0-1166D417E464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587" name="Text Box 1">
          <a:extLst>
            <a:ext uri="{FF2B5EF4-FFF2-40B4-BE49-F238E27FC236}">
              <a16:creationId xmlns:a16="http://schemas.microsoft.com/office/drawing/2014/main" id="{00090CEC-7EC9-4B30-99C7-4C716DB7AF8A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588" name="Text Box 1">
          <a:extLst>
            <a:ext uri="{FF2B5EF4-FFF2-40B4-BE49-F238E27FC236}">
              <a16:creationId xmlns:a16="http://schemas.microsoft.com/office/drawing/2014/main" id="{C17E4213-AE7B-4EB6-928E-A0C3B60175D2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589" name="Text Box 1">
          <a:extLst>
            <a:ext uri="{FF2B5EF4-FFF2-40B4-BE49-F238E27FC236}">
              <a16:creationId xmlns:a16="http://schemas.microsoft.com/office/drawing/2014/main" id="{B2E9393B-80D1-49E2-91C8-5A8DD28041B8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590" name="Text Box 1">
          <a:extLst>
            <a:ext uri="{FF2B5EF4-FFF2-40B4-BE49-F238E27FC236}">
              <a16:creationId xmlns:a16="http://schemas.microsoft.com/office/drawing/2014/main" id="{5BB28F75-E00E-4EF3-AAFA-C10AFDF32B3A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591" name="Text Box 1">
          <a:extLst>
            <a:ext uri="{FF2B5EF4-FFF2-40B4-BE49-F238E27FC236}">
              <a16:creationId xmlns:a16="http://schemas.microsoft.com/office/drawing/2014/main" id="{D47DF1DE-3476-49D1-85BC-99F3B988B481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592" name="Text Box 1">
          <a:extLst>
            <a:ext uri="{FF2B5EF4-FFF2-40B4-BE49-F238E27FC236}">
              <a16:creationId xmlns:a16="http://schemas.microsoft.com/office/drawing/2014/main" id="{A590A6B7-CCE8-4E8F-A791-6A22AEB73B76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593" name="Text Box 1">
          <a:extLst>
            <a:ext uri="{FF2B5EF4-FFF2-40B4-BE49-F238E27FC236}">
              <a16:creationId xmlns:a16="http://schemas.microsoft.com/office/drawing/2014/main" id="{9C162C58-C86F-4EE8-8C61-689B38B6CF81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594" name="Text Box 1">
          <a:extLst>
            <a:ext uri="{FF2B5EF4-FFF2-40B4-BE49-F238E27FC236}">
              <a16:creationId xmlns:a16="http://schemas.microsoft.com/office/drawing/2014/main" id="{E1A252D9-3AE3-43B4-99D4-61EB6D24A0CF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595" name="Text Box 1">
          <a:extLst>
            <a:ext uri="{FF2B5EF4-FFF2-40B4-BE49-F238E27FC236}">
              <a16:creationId xmlns:a16="http://schemas.microsoft.com/office/drawing/2014/main" id="{B4689117-A248-41C8-BEA8-5F119581A390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596" name="Text Box 1">
          <a:extLst>
            <a:ext uri="{FF2B5EF4-FFF2-40B4-BE49-F238E27FC236}">
              <a16:creationId xmlns:a16="http://schemas.microsoft.com/office/drawing/2014/main" id="{B5C25A39-41E0-45B1-B69C-71129613CEF9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597" name="Text Box 1">
          <a:extLst>
            <a:ext uri="{FF2B5EF4-FFF2-40B4-BE49-F238E27FC236}">
              <a16:creationId xmlns:a16="http://schemas.microsoft.com/office/drawing/2014/main" id="{E533656A-DBF3-4A90-BC1F-DE78E88F5AFB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598" name="Text Box 1">
          <a:extLst>
            <a:ext uri="{FF2B5EF4-FFF2-40B4-BE49-F238E27FC236}">
              <a16:creationId xmlns:a16="http://schemas.microsoft.com/office/drawing/2014/main" id="{F625A821-0D87-41CD-AC61-D51CA55F9D1E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599" name="Text Box 1">
          <a:extLst>
            <a:ext uri="{FF2B5EF4-FFF2-40B4-BE49-F238E27FC236}">
              <a16:creationId xmlns:a16="http://schemas.microsoft.com/office/drawing/2014/main" id="{06127D8D-DB3E-4CB3-B606-566EA27F8277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600" name="Text Box 1">
          <a:extLst>
            <a:ext uri="{FF2B5EF4-FFF2-40B4-BE49-F238E27FC236}">
              <a16:creationId xmlns:a16="http://schemas.microsoft.com/office/drawing/2014/main" id="{A7A7F67A-2524-4564-B6C4-CD042C6B6095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601" name="Text Box 1">
          <a:extLst>
            <a:ext uri="{FF2B5EF4-FFF2-40B4-BE49-F238E27FC236}">
              <a16:creationId xmlns:a16="http://schemas.microsoft.com/office/drawing/2014/main" id="{E916766E-80C7-446B-8E96-54848CAB7245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602" name="Text Box 1">
          <a:extLst>
            <a:ext uri="{FF2B5EF4-FFF2-40B4-BE49-F238E27FC236}">
              <a16:creationId xmlns:a16="http://schemas.microsoft.com/office/drawing/2014/main" id="{F9463010-3230-418D-9CB2-46E925D8B0CC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603" name="Text Box 1">
          <a:extLst>
            <a:ext uri="{FF2B5EF4-FFF2-40B4-BE49-F238E27FC236}">
              <a16:creationId xmlns:a16="http://schemas.microsoft.com/office/drawing/2014/main" id="{EC57C5CD-2E84-46B3-9447-8021B3D7517B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604" name="Text Box 1">
          <a:extLst>
            <a:ext uri="{FF2B5EF4-FFF2-40B4-BE49-F238E27FC236}">
              <a16:creationId xmlns:a16="http://schemas.microsoft.com/office/drawing/2014/main" id="{930F58A2-5F8D-4D50-AA9E-B837BCB180D6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605" name="Text Box 1">
          <a:extLst>
            <a:ext uri="{FF2B5EF4-FFF2-40B4-BE49-F238E27FC236}">
              <a16:creationId xmlns:a16="http://schemas.microsoft.com/office/drawing/2014/main" id="{A127C9B9-C21F-46FB-806B-50E7D3234793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606" name="Text Box 1">
          <a:extLst>
            <a:ext uri="{FF2B5EF4-FFF2-40B4-BE49-F238E27FC236}">
              <a16:creationId xmlns:a16="http://schemas.microsoft.com/office/drawing/2014/main" id="{6A5D8DDB-3562-431F-8C9E-357D84D289B6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607" name="Text Box 1">
          <a:extLst>
            <a:ext uri="{FF2B5EF4-FFF2-40B4-BE49-F238E27FC236}">
              <a16:creationId xmlns:a16="http://schemas.microsoft.com/office/drawing/2014/main" id="{19480929-6498-42F8-8198-C40E53D5266C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608" name="Text Box 1">
          <a:extLst>
            <a:ext uri="{FF2B5EF4-FFF2-40B4-BE49-F238E27FC236}">
              <a16:creationId xmlns:a16="http://schemas.microsoft.com/office/drawing/2014/main" id="{FCC4E184-670F-4657-899F-266CD4DBCC3E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609" name="Text Box 1">
          <a:extLst>
            <a:ext uri="{FF2B5EF4-FFF2-40B4-BE49-F238E27FC236}">
              <a16:creationId xmlns:a16="http://schemas.microsoft.com/office/drawing/2014/main" id="{C9E61005-47D9-4B5B-A8D1-7CCF139F27DB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610" name="Text Box 1">
          <a:extLst>
            <a:ext uri="{FF2B5EF4-FFF2-40B4-BE49-F238E27FC236}">
              <a16:creationId xmlns:a16="http://schemas.microsoft.com/office/drawing/2014/main" id="{5114DD01-139A-4960-8B8F-7A6ACCA91F8F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611" name="Text Box 1">
          <a:extLst>
            <a:ext uri="{FF2B5EF4-FFF2-40B4-BE49-F238E27FC236}">
              <a16:creationId xmlns:a16="http://schemas.microsoft.com/office/drawing/2014/main" id="{61348B14-8E4B-4AF8-BAAD-772A56FF1CE8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612" name="Text Box 1">
          <a:extLst>
            <a:ext uri="{FF2B5EF4-FFF2-40B4-BE49-F238E27FC236}">
              <a16:creationId xmlns:a16="http://schemas.microsoft.com/office/drawing/2014/main" id="{9941C62B-3119-41F6-BB11-0758D5EEB761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613" name="Text Box 1">
          <a:extLst>
            <a:ext uri="{FF2B5EF4-FFF2-40B4-BE49-F238E27FC236}">
              <a16:creationId xmlns:a16="http://schemas.microsoft.com/office/drawing/2014/main" id="{82D44D65-BFC6-44DF-9F1D-C1D116E3BCB3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614" name="Text Box 1">
          <a:extLst>
            <a:ext uri="{FF2B5EF4-FFF2-40B4-BE49-F238E27FC236}">
              <a16:creationId xmlns:a16="http://schemas.microsoft.com/office/drawing/2014/main" id="{764DA80C-E9D7-4F63-A75B-041B3100B46F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615" name="Text Box 1">
          <a:extLst>
            <a:ext uri="{FF2B5EF4-FFF2-40B4-BE49-F238E27FC236}">
              <a16:creationId xmlns:a16="http://schemas.microsoft.com/office/drawing/2014/main" id="{98260ABC-C9D7-44E0-9BEC-33B89B9F7D7B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616" name="Text Box 1">
          <a:extLst>
            <a:ext uri="{FF2B5EF4-FFF2-40B4-BE49-F238E27FC236}">
              <a16:creationId xmlns:a16="http://schemas.microsoft.com/office/drawing/2014/main" id="{FA00072B-7285-4BC6-84FA-4A8CB1956736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617" name="Text Box 1">
          <a:extLst>
            <a:ext uri="{FF2B5EF4-FFF2-40B4-BE49-F238E27FC236}">
              <a16:creationId xmlns:a16="http://schemas.microsoft.com/office/drawing/2014/main" id="{13E6881B-BF5C-46A2-ADC7-65E6A6D371B1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618" name="Text Box 1">
          <a:extLst>
            <a:ext uri="{FF2B5EF4-FFF2-40B4-BE49-F238E27FC236}">
              <a16:creationId xmlns:a16="http://schemas.microsoft.com/office/drawing/2014/main" id="{346E2501-885B-4C78-BD5B-D3E69CF70EAB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619" name="Text Box 1">
          <a:extLst>
            <a:ext uri="{FF2B5EF4-FFF2-40B4-BE49-F238E27FC236}">
              <a16:creationId xmlns:a16="http://schemas.microsoft.com/office/drawing/2014/main" id="{029E529E-EB93-44A6-9567-1E1D27D14ABE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620" name="Text Box 1">
          <a:extLst>
            <a:ext uri="{FF2B5EF4-FFF2-40B4-BE49-F238E27FC236}">
              <a16:creationId xmlns:a16="http://schemas.microsoft.com/office/drawing/2014/main" id="{73F07ECA-6C29-4E39-A7A9-F44FB1FC11CC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621" name="Text Box 1">
          <a:extLst>
            <a:ext uri="{FF2B5EF4-FFF2-40B4-BE49-F238E27FC236}">
              <a16:creationId xmlns:a16="http://schemas.microsoft.com/office/drawing/2014/main" id="{3C59D354-94F7-4F11-8FF9-13626CF4C917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622" name="Text Box 1">
          <a:extLst>
            <a:ext uri="{FF2B5EF4-FFF2-40B4-BE49-F238E27FC236}">
              <a16:creationId xmlns:a16="http://schemas.microsoft.com/office/drawing/2014/main" id="{FAA52EAD-62D1-42EE-977C-9F6698A10153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623" name="Text Box 1">
          <a:extLst>
            <a:ext uri="{FF2B5EF4-FFF2-40B4-BE49-F238E27FC236}">
              <a16:creationId xmlns:a16="http://schemas.microsoft.com/office/drawing/2014/main" id="{0AAC50AC-FD68-4B40-9759-D49743255535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624" name="Text Box 1">
          <a:extLst>
            <a:ext uri="{FF2B5EF4-FFF2-40B4-BE49-F238E27FC236}">
              <a16:creationId xmlns:a16="http://schemas.microsoft.com/office/drawing/2014/main" id="{AC496B08-0029-49E1-AB35-E4511F3DA47B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625" name="Text Box 1">
          <a:extLst>
            <a:ext uri="{FF2B5EF4-FFF2-40B4-BE49-F238E27FC236}">
              <a16:creationId xmlns:a16="http://schemas.microsoft.com/office/drawing/2014/main" id="{9E25C076-5532-484C-8989-6994F23CB0C1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626" name="Text Box 1">
          <a:extLst>
            <a:ext uri="{FF2B5EF4-FFF2-40B4-BE49-F238E27FC236}">
              <a16:creationId xmlns:a16="http://schemas.microsoft.com/office/drawing/2014/main" id="{4E993832-ACCA-4D90-875A-019F6CD040DD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627" name="Text Box 1">
          <a:extLst>
            <a:ext uri="{FF2B5EF4-FFF2-40B4-BE49-F238E27FC236}">
              <a16:creationId xmlns:a16="http://schemas.microsoft.com/office/drawing/2014/main" id="{DCB11A9A-364A-49F1-8561-A963884F1079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628" name="Text Box 1">
          <a:extLst>
            <a:ext uri="{FF2B5EF4-FFF2-40B4-BE49-F238E27FC236}">
              <a16:creationId xmlns:a16="http://schemas.microsoft.com/office/drawing/2014/main" id="{55D24306-A943-4675-93E6-0EFB672450DD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629" name="Text Box 1">
          <a:extLst>
            <a:ext uri="{FF2B5EF4-FFF2-40B4-BE49-F238E27FC236}">
              <a16:creationId xmlns:a16="http://schemas.microsoft.com/office/drawing/2014/main" id="{DB85587E-CB1C-45D6-87F3-DB6BEB3C5075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630" name="Text Box 1">
          <a:extLst>
            <a:ext uri="{FF2B5EF4-FFF2-40B4-BE49-F238E27FC236}">
              <a16:creationId xmlns:a16="http://schemas.microsoft.com/office/drawing/2014/main" id="{DE7F151F-7414-4AA4-B5DF-2114C3E0D039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631" name="Text Box 1">
          <a:extLst>
            <a:ext uri="{FF2B5EF4-FFF2-40B4-BE49-F238E27FC236}">
              <a16:creationId xmlns:a16="http://schemas.microsoft.com/office/drawing/2014/main" id="{75AEB0C6-1D21-4B59-868A-B6C3B0AF8BA2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632" name="Text Box 1">
          <a:extLst>
            <a:ext uri="{FF2B5EF4-FFF2-40B4-BE49-F238E27FC236}">
              <a16:creationId xmlns:a16="http://schemas.microsoft.com/office/drawing/2014/main" id="{295F4D37-61A7-4B43-9E88-0AC22A304169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633" name="Text Box 1">
          <a:extLst>
            <a:ext uri="{FF2B5EF4-FFF2-40B4-BE49-F238E27FC236}">
              <a16:creationId xmlns:a16="http://schemas.microsoft.com/office/drawing/2014/main" id="{87156D55-CE43-40AD-A202-BC536DBF862C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634" name="Text Box 1">
          <a:extLst>
            <a:ext uri="{FF2B5EF4-FFF2-40B4-BE49-F238E27FC236}">
              <a16:creationId xmlns:a16="http://schemas.microsoft.com/office/drawing/2014/main" id="{E55D5208-8A9A-41A7-8767-8C666EBCC40E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635" name="Text Box 1">
          <a:extLst>
            <a:ext uri="{FF2B5EF4-FFF2-40B4-BE49-F238E27FC236}">
              <a16:creationId xmlns:a16="http://schemas.microsoft.com/office/drawing/2014/main" id="{D789F91E-A51F-41AE-B3C9-9E2065D5EEFC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636" name="Text Box 1">
          <a:extLst>
            <a:ext uri="{FF2B5EF4-FFF2-40B4-BE49-F238E27FC236}">
              <a16:creationId xmlns:a16="http://schemas.microsoft.com/office/drawing/2014/main" id="{8A0D89D5-0C7D-4A58-8962-6C75D7834CB7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637" name="Text Box 1">
          <a:extLst>
            <a:ext uri="{FF2B5EF4-FFF2-40B4-BE49-F238E27FC236}">
              <a16:creationId xmlns:a16="http://schemas.microsoft.com/office/drawing/2014/main" id="{D5A51BD0-7F17-454B-97A4-473259B56729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638" name="Text Box 1">
          <a:extLst>
            <a:ext uri="{FF2B5EF4-FFF2-40B4-BE49-F238E27FC236}">
              <a16:creationId xmlns:a16="http://schemas.microsoft.com/office/drawing/2014/main" id="{2ABFED72-C6D9-4B2E-B639-8059AF277FE7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639" name="Text Box 1">
          <a:extLst>
            <a:ext uri="{FF2B5EF4-FFF2-40B4-BE49-F238E27FC236}">
              <a16:creationId xmlns:a16="http://schemas.microsoft.com/office/drawing/2014/main" id="{B494B658-8431-4705-A368-806213D9D583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640" name="Text Box 1">
          <a:extLst>
            <a:ext uri="{FF2B5EF4-FFF2-40B4-BE49-F238E27FC236}">
              <a16:creationId xmlns:a16="http://schemas.microsoft.com/office/drawing/2014/main" id="{17E37826-661A-4CC7-BBD5-307496DC1B9E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641" name="Text Box 1">
          <a:extLst>
            <a:ext uri="{FF2B5EF4-FFF2-40B4-BE49-F238E27FC236}">
              <a16:creationId xmlns:a16="http://schemas.microsoft.com/office/drawing/2014/main" id="{6F651762-F72C-439C-8975-5BB2E6A1CBE1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642" name="Text Box 1">
          <a:extLst>
            <a:ext uri="{FF2B5EF4-FFF2-40B4-BE49-F238E27FC236}">
              <a16:creationId xmlns:a16="http://schemas.microsoft.com/office/drawing/2014/main" id="{3866BB72-5FE6-4D64-9D45-C5EAD54BF0C9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643" name="Text Box 1">
          <a:extLst>
            <a:ext uri="{FF2B5EF4-FFF2-40B4-BE49-F238E27FC236}">
              <a16:creationId xmlns:a16="http://schemas.microsoft.com/office/drawing/2014/main" id="{C52E4C2D-7C9D-4A0D-9BF1-544AFAD5544C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644" name="Text Box 1">
          <a:extLst>
            <a:ext uri="{FF2B5EF4-FFF2-40B4-BE49-F238E27FC236}">
              <a16:creationId xmlns:a16="http://schemas.microsoft.com/office/drawing/2014/main" id="{6D7825F3-4204-4013-9D28-616AD9956D9E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645" name="Text Box 1">
          <a:extLst>
            <a:ext uri="{FF2B5EF4-FFF2-40B4-BE49-F238E27FC236}">
              <a16:creationId xmlns:a16="http://schemas.microsoft.com/office/drawing/2014/main" id="{137CD975-E752-4950-AE78-71CB00E7DFB6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646" name="Text Box 1">
          <a:extLst>
            <a:ext uri="{FF2B5EF4-FFF2-40B4-BE49-F238E27FC236}">
              <a16:creationId xmlns:a16="http://schemas.microsoft.com/office/drawing/2014/main" id="{38E48521-F2E7-4037-8DFF-D719A27538E9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647" name="Text Box 1">
          <a:extLst>
            <a:ext uri="{FF2B5EF4-FFF2-40B4-BE49-F238E27FC236}">
              <a16:creationId xmlns:a16="http://schemas.microsoft.com/office/drawing/2014/main" id="{19600178-BE59-4776-B5E7-25E4AEE8F351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648" name="Text Box 1">
          <a:extLst>
            <a:ext uri="{FF2B5EF4-FFF2-40B4-BE49-F238E27FC236}">
              <a16:creationId xmlns:a16="http://schemas.microsoft.com/office/drawing/2014/main" id="{EA176CB9-A167-4712-A094-477EED6E1690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649" name="Text Box 1">
          <a:extLst>
            <a:ext uri="{FF2B5EF4-FFF2-40B4-BE49-F238E27FC236}">
              <a16:creationId xmlns:a16="http://schemas.microsoft.com/office/drawing/2014/main" id="{9E247CE8-CD80-4C22-8A25-EA4123D9243A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650" name="Text Box 1">
          <a:extLst>
            <a:ext uri="{FF2B5EF4-FFF2-40B4-BE49-F238E27FC236}">
              <a16:creationId xmlns:a16="http://schemas.microsoft.com/office/drawing/2014/main" id="{43680439-25DD-4F88-8185-FE1FCA85B166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651" name="Text Box 1">
          <a:extLst>
            <a:ext uri="{FF2B5EF4-FFF2-40B4-BE49-F238E27FC236}">
              <a16:creationId xmlns:a16="http://schemas.microsoft.com/office/drawing/2014/main" id="{67E507E2-E551-46B8-B7FD-BBDE0E55ABF1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652" name="Text Box 1">
          <a:extLst>
            <a:ext uri="{FF2B5EF4-FFF2-40B4-BE49-F238E27FC236}">
              <a16:creationId xmlns:a16="http://schemas.microsoft.com/office/drawing/2014/main" id="{AA4959F9-2524-4241-A649-42B6B50A8C79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653" name="Text Box 1">
          <a:extLst>
            <a:ext uri="{FF2B5EF4-FFF2-40B4-BE49-F238E27FC236}">
              <a16:creationId xmlns:a16="http://schemas.microsoft.com/office/drawing/2014/main" id="{9BDA88CF-416B-4B5F-AF03-58BF42571E83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654" name="Text Box 1">
          <a:extLst>
            <a:ext uri="{FF2B5EF4-FFF2-40B4-BE49-F238E27FC236}">
              <a16:creationId xmlns:a16="http://schemas.microsoft.com/office/drawing/2014/main" id="{77630595-ABFB-4E42-888B-7493DF942EA9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655" name="Text Box 1">
          <a:extLst>
            <a:ext uri="{FF2B5EF4-FFF2-40B4-BE49-F238E27FC236}">
              <a16:creationId xmlns:a16="http://schemas.microsoft.com/office/drawing/2014/main" id="{2DD078C8-0039-41B6-841B-9DD6B1245BE8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656" name="Text Box 1">
          <a:extLst>
            <a:ext uri="{FF2B5EF4-FFF2-40B4-BE49-F238E27FC236}">
              <a16:creationId xmlns:a16="http://schemas.microsoft.com/office/drawing/2014/main" id="{6349092F-43A2-48D5-A114-CFF808020EC1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657" name="Text Box 1">
          <a:extLst>
            <a:ext uri="{FF2B5EF4-FFF2-40B4-BE49-F238E27FC236}">
              <a16:creationId xmlns:a16="http://schemas.microsoft.com/office/drawing/2014/main" id="{46DE1C48-581C-496D-9840-E0B75EC8C6F3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658" name="Text Box 1">
          <a:extLst>
            <a:ext uri="{FF2B5EF4-FFF2-40B4-BE49-F238E27FC236}">
              <a16:creationId xmlns:a16="http://schemas.microsoft.com/office/drawing/2014/main" id="{7AA9E260-D444-4C25-A67C-1D347429D6E7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659" name="Text Box 1">
          <a:extLst>
            <a:ext uri="{FF2B5EF4-FFF2-40B4-BE49-F238E27FC236}">
              <a16:creationId xmlns:a16="http://schemas.microsoft.com/office/drawing/2014/main" id="{E72E6116-A4CE-4892-B20B-7E89FFCA51A2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660" name="Text Box 1">
          <a:extLst>
            <a:ext uri="{FF2B5EF4-FFF2-40B4-BE49-F238E27FC236}">
              <a16:creationId xmlns:a16="http://schemas.microsoft.com/office/drawing/2014/main" id="{7CA19497-01F6-4D9D-8B09-66E71D526306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661" name="Text Box 1">
          <a:extLst>
            <a:ext uri="{FF2B5EF4-FFF2-40B4-BE49-F238E27FC236}">
              <a16:creationId xmlns:a16="http://schemas.microsoft.com/office/drawing/2014/main" id="{0D61B1AD-526D-4792-9D97-1A7611616C22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662" name="Text Box 1">
          <a:extLst>
            <a:ext uri="{FF2B5EF4-FFF2-40B4-BE49-F238E27FC236}">
              <a16:creationId xmlns:a16="http://schemas.microsoft.com/office/drawing/2014/main" id="{FF8AA037-9A27-44CB-8F15-00848D2EA1F1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663" name="Text Box 1">
          <a:extLst>
            <a:ext uri="{FF2B5EF4-FFF2-40B4-BE49-F238E27FC236}">
              <a16:creationId xmlns:a16="http://schemas.microsoft.com/office/drawing/2014/main" id="{E8BA805E-B0A6-4323-99E9-BC4BDCB797C8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664" name="Text Box 1">
          <a:extLst>
            <a:ext uri="{FF2B5EF4-FFF2-40B4-BE49-F238E27FC236}">
              <a16:creationId xmlns:a16="http://schemas.microsoft.com/office/drawing/2014/main" id="{BBE61355-32BB-4D79-92B8-34DA0ACFAEB5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665" name="Text Box 1">
          <a:extLst>
            <a:ext uri="{FF2B5EF4-FFF2-40B4-BE49-F238E27FC236}">
              <a16:creationId xmlns:a16="http://schemas.microsoft.com/office/drawing/2014/main" id="{BCE116AD-D86A-4C09-8A72-91036062FBE3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666" name="Text Box 1">
          <a:extLst>
            <a:ext uri="{FF2B5EF4-FFF2-40B4-BE49-F238E27FC236}">
              <a16:creationId xmlns:a16="http://schemas.microsoft.com/office/drawing/2014/main" id="{6F4B4914-3EDD-4DD0-9CF0-D30394C34C65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667" name="Text Box 1">
          <a:extLst>
            <a:ext uri="{FF2B5EF4-FFF2-40B4-BE49-F238E27FC236}">
              <a16:creationId xmlns:a16="http://schemas.microsoft.com/office/drawing/2014/main" id="{80BE6F11-18DD-4D30-9646-FC4750C51E7B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668" name="Text Box 1">
          <a:extLst>
            <a:ext uri="{FF2B5EF4-FFF2-40B4-BE49-F238E27FC236}">
              <a16:creationId xmlns:a16="http://schemas.microsoft.com/office/drawing/2014/main" id="{1B8B92E9-482D-49E0-84C1-F2824F78F0B6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669" name="Text Box 1">
          <a:extLst>
            <a:ext uri="{FF2B5EF4-FFF2-40B4-BE49-F238E27FC236}">
              <a16:creationId xmlns:a16="http://schemas.microsoft.com/office/drawing/2014/main" id="{5F2A5A7B-090F-4015-8A95-35BE7649FBDC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670" name="Text Box 1">
          <a:extLst>
            <a:ext uri="{FF2B5EF4-FFF2-40B4-BE49-F238E27FC236}">
              <a16:creationId xmlns:a16="http://schemas.microsoft.com/office/drawing/2014/main" id="{D5A7919B-5758-4096-AAE3-9497B1E4E379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671" name="Text Box 1">
          <a:extLst>
            <a:ext uri="{FF2B5EF4-FFF2-40B4-BE49-F238E27FC236}">
              <a16:creationId xmlns:a16="http://schemas.microsoft.com/office/drawing/2014/main" id="{C1AA7E6C-9442-4900-85AA-947D5D4BBC54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672" name="Text Box 1">
          <a:extLst>
            <a:ext uri="{FF2B5EF4-FFF2-40B4-BE49-F238E27FC236}">
              <a16:creationId xmlns:a16="http://schemas.microsoft.com/office/drawing/2014/main" id="{F7F15B16-07F4-43EC-B77B-8E59B66433A8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673" name="Text Box 1">
          <a:extLst>
            <a:ext uri="{FF2B5EF4-FFF2-40B4-BE49-F238E27FC236}">
              <a16:creationId xmlns:a16="http://schemas.microsoft.com/office/drawing/2014/main" id="{88406B20-7405-4B3E-B5CB-BED7F3954E8B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674" name="Text Box 1">
          <a:extLst>
            <a:ext uri="{FF2B5EF4-FFF2-40B4-BE49-F238E27FC236}">
              <a16:creationId xmlns:a16="http://schemas.microsoft.com/office/drawing/2014/main" id="{31598B35-492D-4B0D-8FB3-7AC6C311AA07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675" name="Text Box 1">
          <a:extLst>
            <a:ext uri="{FF2B5EF4-FFF2-40B4-BE49-F238E27FC236}">
              <a16:creationId xmlns:a16="http://schemas.microsoft.com/office/drawing/2014/main" id="{D523C8C6-5A16-4887-9C04-ED2E2B2560C9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676" name="Text Box 1">
          <a:extLst>
            <a:ext uri="{FF2B5EF4-FFF2-40B4-BE49-F238E27FC236}">
              <a16:creationId xmlns:a16="http://schemas.microsoft.com/office/drawing/2014/main" id="{96A0E6CC-69EA-4F58-99D0-1B5EBCB86A71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677" name="Text Box 1">
          <a:extLst>
            <a:ext uri="{FF2B5EF4-FFF2-40B4-BE49-F238E27FC236}">
              <a16:creationId xmlns:a16="http://schemas.microsoft.com/office/drawing/2014/main" id="{B33A12F7-770A-4999-8C9F-4A3B29852994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678" name="Text Box 1">
          <a:extLst>
            <a:ext uri="{FF2B5EF4-FFF2-40B4-BE49-F238E27FC236}">
              <a16:creationId xmlns:a16="http://schemas.microsoft.com/office/drawing/2014/main" id="{DAF15336-AFE0-4266-BD30-1480FA7239D8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679" name="Text Box 1">
          <a:extLst>
            <a:ext uri="{FF2B5EF4-FFF2-40B4-BE49-F238E27FC236}">
              <a16:creationId xmlns:a16="http://schemas.microsoft.com/office/drawing/2014/main" id="{C91CC004-E234-4FC7-A200-9E1B0951E64D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680" name="Text Box 1">
          <a:extLst>
            <a:ext uri="{FF2B5EF4-FFF2-40B4-BE49-F238E27FC236}">
              <a16:creationId xmlns:a16="http://schemas.microsoft.com/office/drawing/2014/main" id="{62F15AD3-B219-42E9-B1AB-6FBA24EE98BB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681" name="Text Box 1">
          <a:extLst>
            <a:ext uri="{FF2B5EF4-FFF2-40B4-BE49-F238E27FC236}">
              <a16:creationId xmlns:a16="http://schemas.microsoft.com/office/drawing/2014/main" id="{87C9F7DB-0907-4A9C-B6D3-F6EA71EAD8CD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682" name="Text Box 1">
          <a:extLst>
            <a:ext uri="{FF2B5EF4-FFF2-40B4-BE49-F238E27FC236}">
              <a16:creationId xmlns:a16="http://schemas.microsoft.com/office/drawing/2014/main" id="{AD2BAF28-53C0-49ED-A184-460B68094673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683" name="Text Box 1">
          <a:extLst>
            <a:ext uri="{FF2B5EF4-FFF2-40B4-BE49-F238E27FC236}">
              <a16:creationId xmlns:a16="http://schemas.microsoft.com/office/drawing/2014/main" id="{84A4D281-488B-41D5-874D-155E98920307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684" name="Text Box 1">
          <a:extLst>
            <a:ext uri="{FF2B5EF4-FFF2-40B4-BE49-F238E27FC236}">
              <a16:creationId xmlns:a16="http://schemas.microsoft.com/office/drawing/2014/main" id="{B0F9FABC-C6B3-4C79-A3AD-9EF126F94CD8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685" name="Text Box 1">
          <a:extLst>
            <a:ext uri="{FF2B5EF4-FFF2-40B4-BE49-F238E27FC236}">
              <a16:creationId xmlns:a16="http://schemas.microsoft.com/office/drawing/2014/main" id="{6A1B95B3-DEA3-4E89-9AA8-6137D0DF24EF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686" name="Text Box 1">
          <a:extLst>
            <a:ext uri="{FF2B5EF4-FFF2-40B4-BE49-F238E27FC236}">
              <a16:creationId xmlns:a16="http://schemas.microsoft.com/office/drawing/2014/main" id="{1CE85381-CC0C-45F2-B3C2-72E21BCF3290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687" name="Text Box 1">
          <a:extLst>
            <a:ext uri="{FF2B5EF4-FFF2-40B4-BE49-F238E27FC236}">
              <a16:creationId xmlns:a16="http://schemas.microsoft.com/office/drawing/2014/main" id="{EDAA54E9-9BC3-4D96-8807-5F2F7C404D63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688" name="Text Box 1">
          <a:extLst>
            <a:ext uri="{FF2B5EF4-FFF2-40B4-BE49-F238E27FC236}">
              <a16:creationId xmlns:a16="http://schemas.microsoft.com/office/drawing/2014/main" id="{6B2D52D8-ABDB-4CFC-93B4-913C9282A34D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689" name="Text Box 1">
          <a:extLst>
            <a:ext uri="{FF2B5EF4-FFF2-40B4-BE49-F238E27FC236}">
              <a16:creationId xmlns:a16="http://schemas.microsoft.com/office/drawing/2014/main" id="{B286E33A-8D3B-49E0-B69E-F0CED29F11C6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690" name="Text Box 1">
          <a:extLst>
            <a:ext uri="{FF2B5EF4-FFF2-40B4-BE49-F238E27FC236}">
              <a16:creationId xmlns:a16="http://schemas.microsoft.com/office/drawing/2014/main" id="{C22671D3-FFC3-4692-B903-DB7155C37226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691" name="Text Box 1">
          <a:extLst>
            <a:ext uri="{FF2B5EF4-FFF2-40B4-BE49-F238E27FC236}">
              <a16:creationId xmlns:a16="http://schemas.microsoft.com/office/drawing/2014/main" id="{FBB09A7B-6A34-4FE6-9BB3-66BE9A5690C3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692" name="Text Box 1">
          <a:extLst>
            <a:ext uri="{FF2B5EF4-FFF2-40B4-BE49-F238E27FC236}">
              <a16:creationId xmlns:a16="http://schemas.microsoft.com/office/drawing/2014/main" id="{6BF47428-19B7-469C-BF2A-8EBC5C01435A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693" name="Text Box 1">
          <a:extLst>
            <a:ext uri="{FF2B5EF4-FFF2-40B4-BE49-F238E27FC236}">
              <a16:creationId xmlns:a16="http://schemas.microsoft.com/office/drawing/2014/main" id="{9E54A5DF-E27E-4C55-A38D-36D6F178E75F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694" name="Text Box 1">
          <a:extLst>
            <a:ext uri="{FF2B5EF4-FFF2-40B4-BE49-F238E27FC236}">
              <a16:creationId xmlns:a16="http://schemas.microsoft.com/office/drawing/2014/main" id="{BBFE49F3-B602-4B45-917D-21D1B35A3C71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695" name="Text Box 1">
          <a:extLst>
            <a:ext uri="{FF2B5EF4-FFF2-40B4-BE49-F238E27FC236}">
              <a16:creationId xmlns:a16="http://schemas.microsoft.com/office/drawing/2014/main" id="{53755D9A-E7D2-4DCA-B842-3657C2E50554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696" name="Text Box 1">
          <a:extLst>
            <a:ext uri="{FF2B5EF4-FFF2-40B4-BE49-F238E27FC236}">
              <a16:creationId xmlns:a16="http://schemas.microsoft.com/office/drawing/2014/main" id="{52424536-C3C1-406F-95A3-F3704A6A11A0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697" name="Text Box 1">
          <a:extLst>
            <a:ext uri="{FF2B5EF4-FFF2-40B4-BE49-F238E27FC236}">
              <a16:creationId xmlns:a16="http://schemas.microsoft.com/office/drawing/2014/main" id="{5FEDF309-3B48-4D5D-9BC6-5DD6FCC4E9F8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698" name="Text Box 1">
          <a:extLst>
            <a:ext uri="{FF2B5EF4-FFF2-40B4-BE49-F238E27FC236}">
              <a16:creationId xmlns:a16="http://schemas.microsoft.com/office/drawing/2014/main" id="{F3D76517-AD44-4AD4-A014-E9420FEEB504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699" name="Text Box 1">
          <a:extLst>
            <a:ext uri="{FF2B5EF4-FFF2-40B4-BE49-F238E27FC236}">
              <a16:creationId xmlns:a16="http://schemas.microsoft.com/office/drawing/2014/main" id="{BA517107-4E16-423C-999D-F9D7707BB916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700" name="Text Box 1">
          <a:extLst>
            <a:ext uri="{FF2B5EF4-FFF2-40B4-BE49-F238E27FC236}">
              <a16:creationId xmlns:a16="http://schemas.microsoft.com/office/drawing/2014/main" id="{2D352BFE-650A-4366-A588-3E254713B601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701" name="Text Box 1">
          <a:extLst>
            <a:ext uri="{FF2B5EF4-FFF2-40B4-BE49-F238E27FC236}">
              <a16:creationId xmlns:a16="http://schemas.microsoft.com/office/drawing/2014/main" id="{372C9A73-1FA4-46BF-BB58-13D3B6FFB985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702" name="Text Box 1">
          <a:extLst>
            <a:ext uri="{FF2B5EF4-FFF2-40B4-BE49-F238E27FC236}">
              <a16:creationId xmlns:a16="http://schemas.microsoft.com/office/drawing/2014/main" id="{DDD42552-DA8A-4839-A586-37CFEE03AA59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703" name="Text Box 1">
          <a:extLst>
            <a:ext uri="{FF2B5EF4-FFF2-40B4-BE49-F238E27FC236}">
              <a16:creationId xmlns:a16="http://schemas.microsoft.com/office/drawing/2014/main" id="{49C99304-820B-4052-9440-B2992ACAB493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704" name="Text Box 1">
          <a:extLst>
            <a:ext uri="{FF2B5EF4-FFF2-40B4-BE49-F238E27FC236}">
              <a16:creationId xmlns:a16="http://schemas.microsoft.com/office/drawing/2014/main" id="{41CB306C-753C-4571-9DCE-B358071EDA85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705" name="Text Box 1">
          <a:extLst>
            <a:ext uri="{FF2B5EF4-FFF2-40B4-BE49-F238E27FC236}">
              <a16:creationId xmlns:a16="http://schemas.microsoft.com/office/drawing/2014/main" id="{30A3B2B3-16D8-4C58-8706-976C82C94271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706" name="Text Box 1">
          <a:extLst>
            <a:ext uri="{FF2B5EF4-FFF2-40B4-BE49-F238E27FC236}">
              <a16:creationId xmlns:a16="http://schemas.microsoft.com/office/drawing/2014/main" id="{76EB2F3D-9C0C-4A43-8AD9-599B3931F035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707" name="Text Box 1">
          <a:extLst>
            <a:ext uri="{FF2B5EF4-FFF2-40B4-BE49-F238E27FC236}">
              <a16:creationId xmlns:a16="http://schemas.microsoft.com/office/drawing/2014/main" id="{27C03F33-23DB-41A1-A127-40CC3A630611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708" name="Text Box 1">
          <a:extLst>
            <a:ext uri="{FF2B5EF4-FFF2-40B4-BE49-F238E27FC236}">
              <a16:creationId xmlns:a16="http://schemas.microsoft.com/office/drawing/2014/main" id="{3847920C-2C35-4EC2-A3B5-4F0B73108C26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709" name="Text Box 1">
          <a:extLst>
            <a:ext uri="{FF2B5EF4-FFF2-40B4-BE49-F238E27FC236}">
              <a16:creationId xmlns:a16="http://schemas.microsoft.com/office/drawing/2014/main" id="{2E8CA266-5552-440B-875E-1E9D67454B09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710" name="Text Box 1">
          <a:extLst>
            <a:ext uri="{FF2B5EF4-FFF2-40B4-BE49-F238E27FC236}">
              <a16:creationId xmlns:a16="http://schemas.microsoft.com/office/drawing/2014/main" id="{CE0D6C33-2BD9-4C8B-9614-1D42D34DD1B5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711" name="Text Box 1">
          <a:extLst>
            <a:ext uri="{FF2B5EF4-FFF2-40B4-BE49-F238E27FC236}">
              <a16:creationId xmlns:a16="http://schemas.microsoft.com/office/drawing/2014/main" id="{D842BCD1-550A-4967-A60C-FB4A3B2AF2EE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712" name="Text Box 1">
          <a:extLst>
            <a:ext uri="{FF2B5EF4-FFF2-40B4-BE49-F238E27FC236}">
              <a16:creationId xmlns:a16="http://schemas.microsoft.com/office/drawing/2014/main" id="{256D290B-CB59-426F-B439-421767116A72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713" name="Text Box 1">
          <a:extLst>
            <a:ext uri="{FF2B5EF4-FFF2-40B4-BE49-F238E27FC236}">
              <a16:creationId xmlns:a16="http://schemas.microsoft.com/office/drawing/2014/main" id="{59FC7DA4-FB7D-4BB2-B811-944869F09B79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714" name="Text Box 1">
          <a:extLst>
            <a:ext uri="{FF2B5EF4-FFF2-40B4-BE49-F238E27FC236}">
              <a16:creationId xmlns:a16="http://schemas.microsoft.com/office/drawing/2014/main" id="{8BE65BF0-662C-4005-A7FE-954AB4F1B081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715" name="Text Box 1">
          <a:extLst>
            <a:ext uri="{FF2B5EF4-FFF2-40B4-BE49-F238E27FC236}">
              <a16:creationId xmlns:a16="http://schemas.microsoft.com/office/drawing/2014/main" id="{F0D11414-F81C-4A8B-816F-08144296AA2B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716" name="Text Box 1">
          <a:extLst>
            <a:ext uri="{FF2B5EF4-FFF2-40B4-BE49-F238E27FC236}">
              <a16:creationId xmlns:a16="http://schemas.microsoft.com/office/drawing/2014/main" id="{A634D659-C2BF-4BFD-A619-34CA35C7D55A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717" name="Text Box 1">
          <a:extLst>
            <a:ext uri="{FF2B5EF4-FFF2-40B4-BE49-F238E27FC236}">
              <a16:creationId xmlns:a16="http://schemas.microsoft.com/office/drawing/2014/main" id="{764FDF95-5CA1-4C9A-ACFE-3F60870B9FC0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718" name="Text Box 1">
          <a:extLst>
            <a:ext uri="{FF2B5EF4-FFF2-40B4-BE49-F238E27FC236}">
              <a16:creationId xmlns:a16="http://schemas.microsoft.com/office/drawing/2014/main" id="{A3A71FFF-6CA1-4587-B8A1-5B0BE54A9CFD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719" name="Text Box 1">
          <a:extLst>
            <a:ext uri="{FF2B5EF4-FFF2-40B4-BE49-F238E27FC236}">
              <a16:creationId xmlns:a16="http://schemas.microsoft.com/office/drawing/2014/main" id="{E8809070-638F-45E3-9526-89874AEC3230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720" name="Text Box 1">
          <a:extLst>
            <a:ext uri="{FF2B5EF4-FFF2-40B4-BE49-F238E27FC236}">
              <a16:creationId xmlns:a16="http://schemas.microsoft.com/office/drawing/2014/main" id="{89B69BE3-ADA7-416C-A339-88EBC0855224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721" name="Text Box 1">
          <a:extLst>
            <a:ext uri="{FF2B5EF4-FFF2-40B4-BE49-F238E27FC236}">
              <a16:creationId xmlns:a16="http://schemas.microsoft.com/office/drawing/2014/main" id="{71CFA217-1CCA-4A7B-BCEC-BA2D718B837E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722" name="Text Box 1">
          <a:extLst>
            <a:ext uri="{FF2B5EF4-FFF2-40B4-BE49-F238E27FC236}">
              <a16:creationId xmlns:a16="http://schemas.microsoft.com/office/drawing/2014/main" id="{2A7F7095-0A08-4AEB-A426-E418E36A3903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723" name="Text Box 1">
          <a:extLst>
            <a:ext uri="{FF2B5EF4-FFF2-40B4-BE49-F238E27FC236}">
              <a16:creationId xmlns:a16="http://schemas.microsoft.com/office/drawing/2014/main" id="{96BD9CE1-CBB4-4BBA-A37F-1DADE847DA80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724" name="Text Box 1">
          <a:extLst>
            <a:ext uri="{FF2B5EF4-FFF2-40B4-BE49-F238E27FC236}">
              <a16:creationId xmlns:a16="http://schemas.microsoft.com/office/drawing/2014/main" id="{DD829BE6-85FF-43D4-B911-6DF105C21691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725" name="Text Box 1">
          <a:extLst>
            <a:ext uri="{FF2B5EF4-FFF2-40B4-BE49-F238E27FC236}">
              <a16:creationId xmlns:a16="http://schemas.microsoft.com/office/drawing/2014/main" id="{9559D8D5-BADC-4FD2-84E9-9808F79EA935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726" name="Text Box 1">
          <a:extLst>
            <a:ext uri="{FF2B5EF4-FFF2-40B4-BE49-F238E27FC236}">
              <a16:creationId xmlns:a16="http://schemas.microsoft.com/office/drawing/2014/main" id="{E8815CBA-1EDB-4727-8F52-37EC8ADAFA57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727" name="Text Box 1">
          <a:extLst>
            <a:ext uri="{FF2B5EF4-FFF2-40B4-BE49-F238E27FC236}">
              <a16:creationId xmlns:a16="http://schemas.microsoft.com/office/drawing/2014/main" id="{E3DA088A-D1F8-44D9-AB67-6CDCA202F95B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728" name="Text Box 1">
          <a:extLst>
            <a:ext uri="{FF2B5EF4-FFF2-40B4-BE49-F238E27FC236}">
              <a16:creationId xmlns:a16="http://schemas.microsoft.com/office/drawing/2014/main" id="{FCDB47B8-A964-49AD-B4BF-BE56D2682A3C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729" name="Text Box 1">
          <a:extLst>
            <a:ext uri="{FF2B5EF4-FFF2-40B4-BE49-F238E27FC236}">
              <a16:creationId xmlns:a16="http://schemas.microsoft.com/office/drawing/2014/main" id="{0472DA0A-6FA0-4241-8D95-4122CE5DABE0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730" name="Text Box 1">
          <a:extLst>
            <a:ext uri="{FF2B5EF4-FFF2-40B4-BE49-F238E27FC236}">
              <a16:creationId xmlns:a16="http://schemas.microsoft.com/office/drawing/2014/main" id="{47E2706D-2068-4079-AD86-FEFB3C79D9AC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731" name="Text Box 1">
          <a:extLst>
            <a:ext uri="{FF2B5EF4-FFF2-40B4-BE49-F238E27FC236}">
              <a16:creationId xmlns:a16="http://schemas.microsoft.com/office/drawing/2014/main" id="{C23C2AA4-336E-4507-B67B-66A5DD60426D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732" name="Text Box 1">
          <a:extLst>
            <a:ext uri="{FF2B5EF4-FFF2-40B4-BE49-F238E27FC236}">
              <a16:creationId xmlns:a16="http://schemas.microsoft.com/office/drawing/2014/main" id="{F4E5799B-E11C-4BE8-B777-A3674A124D9F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733" name="Text Box 1">
          <a:extLst>
            <a:ext uri="{FF2B5EF4-FFF2-40B4-BE49-F238E27FC236}">
              <a16:creationId xmlns:a16="http://schemas.microsoft.com/office/drawing/2014/main" id="{82A50D4B-415A-4490-BDAE-59FB77D1D1D0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734" name="Text Box 1">
          <a:extLst>
            <a:ext uri="{FF2B5EF4-FFF2-40B4-BE49-F238E27FC236}">
              <a16:creationId xmlns:a16="http://schemas.microsoft.com/office/drawing/2014/main" id="{906C70B7-EF14-4AD6-AFA3-9068EE0FBB8D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735" name="Text Box 1">
          <a:extLst>
            <a:ext uri="{FF2B5EF4-FFF2-40B4-BE49-F238E27FC236}">
              <a16:creationId xmlns:a16="http://schemas.microsoft.com/office/drawing/2014/main" id="{661D3DA8-A565-40D9-83EF-4883BA77A261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736" name="Text Box 1">
          <a:extLst>
            <a:ext uri="{FF2B5EF4-FFF2-40B4-BE49-F238E27FC236}">
              <a16:creationId xmlns:a16="http://schemas.microsoft.com/office/drawing/2014/main" id="{5289BFCB-1D93-44B8-98E6-26D9EED6F490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737" name="Text Box 1">
          <a:extLst>
            <a:ext uri="{FF2B5EF4-FFF2-40B4-BE49-F238E27FC236}">
              <a16:creationId xmlns:a16="http://schemas.microsoft.com/office/drawing/2014/main" id="{52CF56B6-0FA2-4AE2-8FE4-11143CD0D7EE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738" name="Text Box 1">
          <a:extLst>
            <a:ext uri="{FF2B5EF4-FFF2-40B4-BE49-F238E27FC236}">
              <a16:creationId xmlns:a16="http://schemas.microsoft.com/office/drawing/2014/main" id="{6A1854C7-91C0-4B0D-ABEF-581E3F4478EE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739" name="Text Box 1">
          <a:extLst>
            <a:ext uri="{FF2B5EF4-FFF2-40B4-BE49-F238E27FC236}">
              <a16:creationId xmlns:a16="http://schemas.microsoft.com/office/drawing/2014/main" id="{255FC34D-6A65-436A-861F-09A92A19F94A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740" name="Text Box 1">
          <a:extLst>
            <a:ext uri="{FF2B5EF4-FFF2-40B4-BE49-F238E27FC236}">
              <a16:creationId xmlns:a16="http://schemas.microsoft.com/office/drawing/2014/main" id="{1CD5FD3F-65A6-4B1B-A37E-E4DB32F9B7F9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741" name="Text Box 1">
          <a:extLst>
            <a:ext uri="{FF2B5EF4-FFF2-40B4-BE49-F238E27FC236}">
              <a16:creationId xmlns:a16="http://schemas.microsoft.com/office/drawing/2014/main" id="{376FEFE1-1278-4EA4-A44B-4AFC840C82A3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742" name="Text Box 1">
          <a:extLst>
            <a:ext uri="{FF2B5EF4-FFF2-40B4-BE49-F238E27FC236}">
              <a16:creationId xmlns:a16="http://schemas.microsoft.com/office/drawing/2014/main" id="{2B69C54C-51CF-4EEE-B194-1BA24D8FE7BB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743" name="Text Box 1">
          <a:extLst>
            <a:ext uri="{FF2B5EF4-FFF2-40B4-BE49-F238E27FC236}">
              <a16:creationId xmlns:a16="http://schemas.microsoft.com/office/drawing/2014/main" id="{003C0F1D-112C-4EE5-A26E-CF78429656A2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744" name="Text Box 1">
          <a:extLst>
            <a:ext uri="{FF2B5EF4-FFF2-40B4-BE49-F238E27FC236}">
              <a16:creationId xmlns:a16="http://schemas.microsoft.com/office/drawing/2014/main" id="{AA89CF69-E88D-43BE-96C7-350BE756F1CF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745" name="Text Box 1">
          <a:extLst>
            <a:ext uri="{FF2B5EF4-FFF2-40B4-BE49-F238E27FC236}">
              <a16:creationId xmlns:a16="http://schemas.microsoft.com/office/drawing/2014/main" id="{B78E09C8-D26D-4576-AF67-6448A9265464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746" name="Text Box 1">
          <a:extLst>
            <a:ext uri="{FF2B5EF4-FFF2-40B4-BE49-F238E27FC236}">
              <a16:creationId xmlns:a16="http://schemas.microsoft.com/office/drawing/2014/main" id="{EA276275-169F-425F-AB4C-1B3030143CAA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747" name="Text Box 1">
          <a:extLst>
            <a:ext uri="{FF2B5EF4-FFF2-40B4-BE49-F238E27FC236}">
              <a16:creationId xmlns:a16="http://schemas.microsoft.com/office/drawing/2014/main" id="{F9486F72-44B0-4A9C-B87D-E72080AFF184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748" name="Text Box 1">
          <a:extLst>
            <a:ext uri="{FF2B5EF4-FFF2-40B4-BE49-F238E27FC236}">
              <a16:creationId xmlns:a16="http://schemas.microsoft.com/office/drawing/2014/main" id="{BECB0001-3639-4422-BDFF-5CA777BF9109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749" name="Text Box 1">
          <a:extLst>
            <a:ext uri="{FF2B5EF4-FFF2-40B4-BE49-F238E27FC236}">
              <a16:creationId xmlns:a16="http://schemas.microsoft.com/office/drawing/2014/main" id="{C262D364-E756-42CC-9C37-FDB5C4683B01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750" name="Text Box 1">
          <a:extLst>
            <a:ext uri="{FF2B5EF4-FFF2-40B4-BE49-F238E27FC236}">
              <a16:creationId xmlns:a16="http://schemas.microsoft.com/office/drawing/2014/main" id="{1BA81EA9-CE1A-421E-9CA3-BD34CF1B3759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751" name="Text Box 1">
          <a:extLst>
            <a:ext uri="{FF2B5EF4-FFF2-40B4-BE49-F238E27FC236}">
              <a16:creationId xmlns:a16="http://schemas.microsoft.com/office/drawing/2014/main" id="{009F7265-DA76-4029-91CE-447DEBFB2699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752" name="Text Box 1">
          <a:extLst>
            <a:ext uri="{FF2B5EF4-FFF2-40B4-BE49-F238E27FC236}">
              <a16:creationId xmlns:a16="http://schemas.microsoft.com/office/drawing/2014/main" id="{41F7CF1C-396F-4B59-AE11-8408781323C3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753" name="Text Box 1">
          <a:extLst>
            <a:ext uri="{FF2B5EF4-FFF2-40B4-BE49-F238E27FC236}">
              <a16:creationId xmlns:a16="http://schemas.microsoft.com/office/drawing/2014/main" id="{28607927-4245-4315-AC9C-EDA08536124A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754" name="Text Box 1">
          <a:extLst>
            <a:ext uri="{FF2B5EF4-FFF2-40B4-BE49-F238E27FC236}">
              <a16:creationId xmlns:a16="http://schemas.microsoft.com/office/drawing/2014/main" id="{8CCF041E-0B99-4C67-BEAA-60A7FC1741D5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755" name="Text Box 1">
          <a:extLst>
            <a:ext uri="{FF2B5EF4-FFF2-40B4-BE49-F238E27FC236}">
              <a16:creationId xmlns:a16="http://schemas.microsoft.com/office/drawing/2014/main" id="{9E976D77-9B9C-44EF-AE56-BDFA101C17F0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756" name="Text Box 1">
          <a:extLst>
            <a:ext uri="{FF2B5EF4-FFF2-40B4-BE49-F238E27FC236}">
              <a16:creationId xmlns:a16="http://schemas.microsoft.com/office/drawing/2014/main" id="{D9470C44-282A-4033-8E33-D59BB1E933B8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757" name="Text Box 1">
          <a:extLst>
            <a:ext uri="{FF2B5EF4-FFF2-40B4-BE49-F238E27FC236}">
              <a16:creationId xmlns:a16="http://schemas.microsoft.com/office/drawing/2014/main" id="{148272E8-F95C-4D52-8329-DF988A8EFAAB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758" name="Text Box 1">
          <a:extLst>
            <a:ext uri="{FF2B5EF4-FFF2-40B4-BE49-F238E27FC236}">
              <a16:creationId xmlns:a16="http://schemas.microsoft.com/office/drawing/2014/main" id="{3F0F64CB-F7D3-4900-A526-0BCB8CA3E11F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759" name="Text Box 1">
          <a:extLst>
            <a:ext uri="{FF2B5EF4-FFF2-40B4-BE49-F238E27FC236}">
              <a16:creationId xmlns:a16="http://schemas.microsoft.com/office/drawing/2014/main" id="{28AF66DD-0D65-409A-9456-F9C39D35D375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760" name="Text Box 1">
          <a:extLst>
            <a:ext uri="{FF2B5EF4-FFF2-40B4-BE49-F238E27FC236}">
              <a16:creationId xmlns:a16="http://schemas.microsoft.com/office/drawing/2014/main" id="{F377505E-07FC-4744-B6B5-2582F933F30A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761" name="Text Box 1">
          <a:extLst>
            <a:ext uri="{FF2B5EF4-FFF2-40B4-BE49-F238E27FC236}">
              <a16:creationId xmlns:a16="http://schemas.microsoft.com/office/drawing/2014/main" id="{7316E42B-6616-4598-ABCF-7438B0CB3CD1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762" name="Text Box 1">
          <a:extLst>
            <a:ext uri="{FF2B5EF4-FFF2-40B4-BE49-F238E27FC236}">
              <a16:creationId xmlns:a16="http://schemas.microsoft.com/office/drawing/2014/main" id="{C5ABF4E3-B253-4B00-A348-FF7CC1A3490F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763" name="Text Box 1">
          <a:extLst>
            <a:ext uri="{FF2B5EF4-FFF2-40B4-BE49-F238E27FC236}">
              <a16:creationId xmlns:a16="http://schemas.microsoft.com/office/drawing/2014/main" id="{1047CD11-4748-47B3-BFAD-32C55E8BD3AF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764" name="Text Box 1">
          <a:extLst>
            <a:ext uri="{FF2B5EF4-FFF2-40B4-BE49-F238E27FC236}">
              <a16:creationId xmlns:a16="http://schemas.microsoft.com/office/drawing/2014/main" id="{19F9A263-D490-4A7E-A21D-A7284E26EDA3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765" name="Text Box 1">
          <a:extLst>
            <a:ext uri="{FF2B5EF4-FFF2-40B4-BE49-F238E27FC236}">
              <a16:creationId xmlns:a16="http://schemas.microsoft.com/office/drawing/2014/main" id="{9B4248FE-58F2-40F2-B348-BFB250FB3049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766" name="Text Box 1">
          <a:extLst>
            <a:ext uri="{FF2B5EF4-FFF2-40B4-BE49-F238E27FC236}">
              <a16:creationId xmlns:a16="http://schemas.microsoft.com/office/drawing/2014/main" id="{C537A38A-3F69-4FC2-ABBA-2E1BEDBC03E4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767" name="Text Box 1">
          <a:extLst>
            <a:ext uri="{FF2B5EF4-FFF2-40B4-BE49-F238E27FC236}">
              <a16:creationId xmlns:a16="http://schemas.microsoft.com/office/drawing/2014/main" id="{43EAFA11-0FF3-4069-ADFA-D68B84458B26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768" name="Text Box 1">
          <a:extLst>
            <a:ext uri="{FF2B5EF4-FFF2-40B4-BE49-F238E27FC236}">
              <a16:creationId xmlns:a16="http://schemas.microsoft.com/office/drawing/2014/main" id="{DF9827E4-0AB3-45ED-B554-14CDA391FFC3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769" name="Text Box 1">
          <a:extLst>
            <a:ext uri="{FF2B5EF4-FFF2-40B4-BE49-F238E27FC236}">
              <a16:creationId xmlns:a16="http://schemas.microsoft.com/office/drawing/2014/main" id="{78AFC90D-949C-4D81-A08A-11D9D6122ACA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770" name="Text Box 1">
          <a:extLst>
            <a:ext uri="{FF2B5EF4-FFF2-40B4-BE49-F238E27FC236}">
              <a16:creationId xmlns:a16="http://schemas.microsoft.com/office/drawing/2014/main" id="{D78E9F0F-D6EC-40EB-AF35-E244F525AE8B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771" name="Text Box 1">
          <a:extLst>
            <a:ext uri="{FF2B5EF4-FFF2-40B4-BE49-F238E27FC236}">
              <a16:creationId xmlns:a16="http://schemas.microsoft.com/office/drawing/2014/main" id="{E160F93D-41EE-4ACC-A537-6CF5C8C5241F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772" name="Text Box 1">
          <a:extLst>
            <a:ext uri="{FF2B5EF4-FFF2-40B4-BE49-F238E27FC236}">
              <a16:creationId xmlns:a16="http://schemas.microsoft.com/office/drawing/2014/main" id="{1E6F0F4F-35A1-4EF5-8DE5-32302C6113FC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773" name="Text Box 1">
          <a:extLst>
            <a:ext uri="{FF2B5EF4-FFF2-40B4-BE49-F238E27FC236}">
              <a16:creationId xmlns:a16="http://schemas.microsoft.com/office/drawing/2014/main" id="{670A808B-DCD8-46B2-A940-2DF008CE0D18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774" name="Text Box 1">
          <a:extLst>
            <a:ext uri="{FF2B5EF4-FFF2-40B4-BE49-F238E27FC236}">
              <a16:creationId xmlns:a16="http://schemas.microsoft.com/office/drawing/2014/main" id="{01AAAC1D-6E62-4DD7-BB94-D2FB709287BB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775" name="Text Box 1">
          <a:extLst>
            <a:ext uri="{FF2B5EF4-FFF2-40B4-BE49-F238E27FC236}">
              <a16:creationId xmlns:a16="http://schemas.microsoft.com/office/drawing/2014/main" id="{0BAEDF4F-FACE-41A0-BE33-2865BD7130DA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776" name="Text Box 1">
          <a:extLst>
            <a:ext uri="{FF2B5EF4-FFF2-40B4-BE49-F238E27FC236}">
              <a16:creationId xmlns:a16="http://schemas.microsoft.com/office/drawing/2014/main" id="{4CFFAF0E-18BF-4290-8439-A98165FFA438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777" name="Text Box 1">
          <a:extLst>
            <a:ext uri="{FF2B5EF4-FFF2-40B4-BE49-F238E27FC236}">
              <a16:creationId xmlns:a16="http://schemas.microsoft.com/office/drawing/2014/main" id="{075121FF-F8C9-4F8A-800A-487447A02B15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778" name="Text Box 1">
          <a:extLst>
            <a:ext uri="{FF2B5EF4-FFF2-40B4-BE49-F238E27FC236}">
              <a16:creationId xmlns:a16="http://schemas.microsoft.com/office/drawing/2014/main" id="{4148B6DA-9944-4F8D-B373-B2677C630EC4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779" name="Text Box 1">
          <a:extLst>
            <a:ext uri="{FF2B5EF4-FFF2-40B4-BE49-F238E27FC236}">
              <a16:creationId xmlns:a16="http://schemas.microsoft.com/office/drawing/2014/main" id="{E8141F59-98CA-4111-8D16-DC1A93BB37DD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780" name="Text Box 1">
          <a:extLst>
            <a:ext uri="{FF2B5EF4-FFF2-40B4-BE49-F238E27FC236}">
              <a16:creationId xmlns:a16="http://schemas.microsoft.com/office/drawing/2014/main" id="{A6D31979-1C34-4B9A-9CD4-2A1CF7A1FF85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781" name="Text Box 1">
          <a:extLst>
            <a:ext uri="{FF2B5EF4-FFF2-40B4-BE49-F238E27FC236}">
              <a16:creationId xmlns:a16="http://schemas.microsoft.com/office/drawing/2014/main" id="{DA60633B-FD5E-40B9-9E9D-56F7CA00C8D3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782" name="Text Box 1">
          <a:extLst>
            <a:ext uri="{FF2B5EF4-FFF2-40B4-BE49-F238E27FC236}">
              <a16:creationId xmlns:a16="http://schemas.microsoft.com/office/drawing/2014/main" id="{F98D5CE3-DE7F-45FB-9904-5A43DB463C21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783" name="Text Box 1">
          <a:extLst>
            <a:ext uri="{FF2B5EF4-FFF2-40B4-BE49-F238E27FC236}">
              <a16:creationId xmlns:a16="http://schemas.microsoft.com/office/drawing/2014/main" id="{CC9DB6E9-169C-4D92-95A2-306AC2E3DB39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784" name="Text Box 1">
          <a:extLst>
            <a:ext uri="{FF2B5EF4-FFF2-40B4-BE49-F238E27FC236}">
              <a16:creationId xmlns:a16="http://schemas.microsoft.com/office/drawing/2014/main" id="{E1658F6B-1E5A-4973-B2F2-BFAF4F9F52D6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785" name="Text Box 1">
          <a:extLst>
            <a:ext uri="{FF2B5EF4-FFF2-40B4-BE49-F238E27FC236}">
              <a16:creationId xmlns:a16="http://schemas.microsoft.com/office/drawing/2014/main" id="{86E807F6-A31E-49C6-9461-573F3122A869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786" name="Text Box 1">
          <a:extLst>
            <a:ext uri="{FF2B5EF4-FFF2-40B4-BE49-F238E27FC236}">
              <a16:creationId xmlns:a16="http://schemas.microsoft.com/office/drawing/2014/main" id="{CB812A8E-45FF-416E-840D-BF19A7DF4064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787" name="Text Box 1">
          <a:extLst>
            <a:ext uri="{FF2B5EF4-FFF2-40B4-BE49-F238E27FC236}">
              <a16:creationId xmlns:a16="http://schemas.microsoft.com/office/drawing/2014/main" id="{085E460C-3D8A-4A0A-A7D4-70B52D172E32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788" name="Text Box 1">
          <a:extLst>
            <a:ext uri="{FF2B5EF4-FFF2-40B4-BE49-F238E27FC236}">
              <a16:creationId xmlns:a16="http://schemas.microsoft.com/office/drawing/2014/main" id="{F39C434C-FF0D-4698-9257-3F3EC3734077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789" name="Text Box 1">
          <a:extLst>
            <a:ext uri="{FF2B5EF4-FFF2-40B4-BE49-F238E27FC236}">
              <a16:creationId xmlns:a16="http://schemas.microsoft.com/office/drawing/2014/main" id="{FB57B9B4-F5BC-4EF7-A38E-3F931B2BF3AB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790" name="Text Box 1">
          <a:extLst>
            <a:ext uri="{FF2B5EF4-FFF2-40B4-BE49-F238E27FC236}">
              <a16:creationId xmlns:a16="http://schemas.microsoft.com/office/drawing/2014/main" id="{50A0BF9A-7859-4E06-B79F-203E02C9CA43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791" name="Text Box 1">
          <a:extLst>
            <a:ext uri="{FF2B5EF4-FFF2-40B4-BE49-F238E27FC236}">
              <a16:creationId xmlns:a16="http://schemas.microsoft.com/office/drawing/2014/main" id="{E708231B-DB0E-491B-9244-BAF797ADB4AC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792" name="Text Box 1">
          <a:extLst>
            <a:ext uri="{FF2B5EF4-FFF2-40B4-BE49-F238E27FC236}">
              <a16:creationId xmlns:a16="http://schemas.microsoft.com/office/drawing/2014/main" id="{90061A11-871E-431E-9936-A85951C6317D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793" name="Text Box 1">
          <a:extLst>
            <a:ext uri="{FF2B5EF4-FFF2-40B4-BE49-F238E27FC236}">
              <a16:creationId xmlns:a16="http://schemas.microsoft.com/office/drawing/2014/main" id="{C78ED8B7-A638-4463-A1D3-6D8B66438247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794" name="Text Box 1">
          <a:extLst>
            <a:ext uri="{FF2B5EF4-FFF2-40B4-BE49-F238E27FC236}">
              <a16:creationId xmlns:a16="http://schemas.microsoft.com/office/drawing/2014/main" id="{38CD4818-9F4C-45D3-9029-330376AD218C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795" name="Text Box 1">
          <a:extLst>
            <a:ext uri="{FF2B5EF4-FFF2-40B4-BE49-F238E27FC236}">
              <a16:creationId xmlns:a16="http://schemas.microsoft.com/office/drawing/2014/main" id="{460E0213-5146-45B5-8EFF-40B65D0C20B1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796" name="Text Box 1">
          <a:extLst>
            <a:ext uri="{FF2B5EF4-FFF2-40B4-BE49-F238E27FC236}">
              <a16:creationId xmlns:a16="http://schemas.microsoft.com/office/drawing/2014/main" id="{18E6E17B-CDD7-4EB2-AC02-475AD5F33F00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797" name="Text Box 1">
          <a:extLst>
            <a:ext uri="{FF2B5EF4-FFF2-40B4-BE49-F238E27FC236}">
              <a16:creationId xmlns:a16="http://schemas.microsoft.com/office/drawing/2014/main" id="{C258CA7F-037B-4155-B2A3-2E6AACEF524B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798" name="Text Box 1">
          <a:extLst>
            <a:ext uri="{FF2B5EF4-FFF2-40B4-BE49-F238E27FC236}">
              <a16:creationId xmlns:a16="http://schemas.microsoft.com/office/drawing/2014/main" id="{692A3DA6-C529-4010-BB51-3778565F2E14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799" name="Text Box 1">
          <a:extLst>
            <a:ext uri="{FF2B5EF4-FFF2-40B4-BE49-F238E27FC236}">
              <a16:creationId xmlns:a16="http://schemas.microsoft.com/office/drawing/2014/main" id="{A64734A3-12C1-4D6A-BC41-F9BC916EBB16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800" name="Text Box 1">
          <a:extLst>
            <a:ext uri="{FF2B5EF4-FFF2-40B4-BE49-F238E27FC236}">
              <a16:creationId xmlns:a16="http://schemas.microsoft.com/office/drawing/2014/main" id="{33FDF444-B739-4247-B92B-472FB99DCDDD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801" name="Text Box 1">
          <a:extLst>
            <a:ext uri="{FF2B5EF4-FFF2-40B4-BE49-F238E27FC236}">
              <a16:creationId xmlns:a16="http://schemas.microsoft.com/office/drawing/2014/main" id="{53C125F6-D397-4813-8AA5-5E2C0BEBDBF9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802" name="Text Box 1">
          <a:extLst>
            <a:ext uri="{FF2B5EF4-FFF2-40B4-BE49-F238E27FC236}">
              <a16:creationId xmlns:a16="http://schemas.microsoft.com/office/drawing/2014/main" id="{072A54B0-935A-4D7F-8DBA-B8C66151312F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803" name="Text Box 1">
          <a:extLst>
            <a:ext uri="{FF2B5EF4-FFF2-40B4-BE49-F238E27FC236}">
              <a16:creationId xmlns:a16="http://schemas.microsoft.com/office/drawing/2014/main" id="{659378CF-CEC4-4159-A627-61B793629983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804" name="Text Box 1">
          <a:extLst>
            <a:ext uri="{FF2B5EF4-FFF2-40B4-BE49-F238E27FC236}">
              <a16:creationId xmlns:a16="http://schemas.microsoft.com/office/drawing/2014/main" id="{231E459C-037E-4854-847B-67CAC9C7F120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805" name="Text Box 1">
          <a:extLst>
            <a:ext uri="{FF2B5EF4-FFF2-40B4-BE49-F238E27FC236}">
              <a16:creationId xmlns:a16="http://schemas.microsoft.com/office/drawing/2014/main" id="{03B43BE8-00CA-41FF-9700-304AD32A3235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806" name="Text Box 1">
          <a:extLst>
            <a:ext uri="{FF2B5EF4-FFF2-40B4-BE49-F238E27FC236}">
              <a16:creationId xmlns:a16="http://schemas.microsoft.com/office/drawing/2014/main" id="{97B152E1-2002-41FF-828B-957CB46D86FB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807" name="Text Box 1">
          <a:extLst>
            <a:ext uri="{FF2B5EF4-FFF2-40B4-BE49-F238E27FC236}">
              <a16:creationId xmlns:a16="http://schemas.microsoft.com/office/drawing/2014/main" id="{91878E29-0F96-4693-8F8A-794DB63CB79D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808" name="Text Box 1">
          <a:extLst>
            <a:ext uri="{FF2B5EF4-FFF2-40B4-BE49-F238E27FC236}">
              <a16:creationId xmlns:a16="http://schemas.microsoft.com/office/drawing/2014/main" id="{E3A4F67A-6461-4275-9A2F-5E3C2ACBE2EE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809" name="Text Box 1">
          <a:extLst>
            <a:ext uri="{FF2B5EF4-FFF2-40B4-BE49-F238E27FC236}">
              <a16:creationId xmlns:a16="http://schemas.microsoft.com/office/drawing/2014/main" id="{F6D7677F-CAD8-4DE1-9250-F8FBBE705B7D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810" name="Text Box 1">
          <a:extLst>
            <a:ext uri="{FF2B5EF4-FFF2-40B4-BE49-F238E27FC236}">
              <a16:creationId xmlns:a16="http://schemas.microsoft.com/office/drawing/2014/main" id="{81B89A49-D719-4DFB-B6BE-24F1997CC3B2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811" name="Text Box 1">
          <a:extLst>
            <a:ext uri="{FF2B5EF4-FFF2-40B4-BE49-F238E27FC236}">
              <a16:creationId xmlns:a16="http://schemas.microsoft.com/office/drawing/2014/main" id="{3AF9BC0C-CC50-4D1F-ACA3-FB804348DE84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812" name="Text Box 1">
          <a:extLst>
            <a:ext uri="{FF2B5EF4-FFF2-40B4-BE49-F238E27FC236}">
              <a16:creationId xmlns:a16="http://schemas.microsoft.com/office/drawing/2014/main" id="{36BDD8D9-91A4-4492-8C8B-30F15FF6B673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813" name="Text Box 1">
          <a:extLst>
            <a:ext uri="{FF2B5EF4-FFF2-40B4-BE49-F238E27FC236}">
              <a16:creationId xmlns:a16="http://schemas.microsoft.com/office/drawing/2014/main" id="{4FB62EF0-438E-4D7A-8027-E3B36AB4E27E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814" name="Text Box 1">
          <a:extLst>
            <a:ext uri="{FF2B5EF4-FFF2-40B4-BE49-F238E27FC236}">
              <a16:creationId xmlns:a16="http://schemas.microsoft.com/office/drawing/2014/main" id="{94A76D64-0D27-46DB-839A-B44002A4C70E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815" name="Text Box 1">
          <a:extLst>
            <a:ext uri="{FF2B5EF4-FFF2-40B4-BE49-F238E27FC236}">
              <a16:creationId xmlns:a16="http://schemas.microsoft.com/office/drawing/2014/main" id="{594E5149-D298-48F5-89C7-A98E811E6020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816" name="Text Box 1">
          <a:extLst>
            <a:ext uri="{FF2B5EF4-FFF2-40B4-BE49-F238E27FC236}">
              <a16:creationId xmlns:a16="http://schemas.microsoft.com/office/drawing/2014/main" id="{9AC495CD-167A-478B-9F26-551CCDE582D9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817" name="Text Box 1">
          <a:extLst>
            <a:ext uri="{FF2B5EF4-FFF2-40B4-BE49-F238E27FC236}">
              <a16:creationId xmlns:a16="http://schemas.microsoft.com/office/drawing/2014/main" id="{598AE134-B00E-4B6D-A730-19225BCF31A1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818" name="Text Box 1">
          <a:extLst>
            <a:ext uri="{FF2B5EF4-FFF2-40B4-BE49-F238E27FC236}">
              <a16:creationId xmlns:a16="http://schemas.microsoft.com/office/drawing/2014/main" id="{EBF78C83-3448-45B5-815F-B9DE57639931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819" name="Text Box 1">
          <a:extLst>
            <a:ext uri="{FF2B5EF4-FFF2-40B4-BE49-F238E27FC236}">
              <a16:creationId xmlns:a16="http://schemas.microsoft.com/office/drawing/2014/main" id="{8F9CFD52-2FEB-4D97-9702-57D5DD0F66B9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820" name="Text Box 1">
          <a:extLst>
            <a:ext uri="{FF2B5EF4-FFF2-40B4-BE49-F238E27FC236}">
              <a16:creationId xmlns:a16="http://schemas.microsoft.com/office/drawing/2014/main" id="{44D46C4A-2455-40E8-A800-602874666340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821" name="Text Box 1">
          <a:extLst>
            <a:ext uri="{FF2B5EF4-FFF2-40B4-BE49-F238E27FC236}">
              <a16:creationId xmlns:a16="http://schemas.microsoft.com/office/drawing/2014/main" id="{5D532622-FF8D-4DEA-BE4A-DB7DD0E2AEC4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822" name="Text Box 1">
          <a:extLst>
            <a:ext uri="{FF2B5EF4-FFF2-40B4-BE49-F238E27FC236}">
              <a16:creationId xmlns:a16="http://schemas.microsoft.com/office/drawing/2014/main" id="{3D2A1943-00FA-47D7-87B0-B356E4A2B54B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823" name="Text Box 1">
          <a:extLst>
            <a:ext uri="{FF2B5EF4-FFF2-40B4-BE49-F238E27FC236}">
              <a16:creationId xmlns:a16="http://schemas.microsoft.com/office/drawing/2014/main" id="{1BF5CADD-68AF-440C-A9DC-5B6F95E3A065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824" name="Text Box 1">
          <a:extLst>
            <a:ext uri="{FF2B5EF4-FFF2-40B4-BE49-F238E27FC236}">
              <a16:creationId xmlns:a16="http://schemas.microsoft.com/office/drawing/2014/main" id="{E73F3F59-5E13-46FA-BB8E-43E4E02D152A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825" name="Text Box 1">
          <a:extLst>
            <a:ext uri="{FF2B5EF4-FFF2-40B4-BE49-F238E27FC236}">
              <a16:creationId xmlns:a16="http://schemas.microsoft.com/office/drawing/2014/main" id="{4D42501A-4730-4F4E-9735-DBF5761D64F2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826" name="Text Box 1">
          <a:extLst>
            <a:ext uri="{FF2B5EF4-FFF2-40B4-BE49-F238E27FC236}">
              <a16:creationId xmlns:a16="http://schemas.microsoft.com/office/drawing/2014/main" id="{BCC16B2F-DB07-442D-AE61-370067A469E1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827" name="Text Box 1">
          <a:extLst>
            <a:ext uri="{FF2B5EF4-FFF2-40B4-BE49-F238E27FC236}">
              <a16:creationId xmlns:a16="http://schemas.microsoft.com/office/drawing/2014/main" id="{35560B15-526D-427C-8601-11F475D93228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828" name="Text Box 1">
          <a:extLst>
            <a:ext uri="{FF2B5EF4-FFF2-40B4-BE49-F238E27FC236}">
              <a16:creationId xmlns:a16="http://schemas.microsoft.com/office/drawing/2014/main" id="{90264950-CE26-4682-AEE9-494A26D6D5BA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829" name="Text Box 1">
          <a:extLst>
            <a:ext uri="{FF2B5EF4-FFF2-40B4-BE49-F238E27FC236}">
              <a16:creationId xmlns:a16="http://schemas.microsoft.com/office/drawing/2014/main" id="{104A8411-3A70-413E-B4B3-F20526530D70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830" name="Text Box 1">
          <a:extLst>
            <a:ext uri="{FF2B5EF4-FFF2-40B4-BE49-F238E27FC236}">
              <a16:creationId xmlns:a16="http://schemas.microsoft.com/office/drawing/2014/main" id="{B58F7A26-17E3-477C-BD10-9045B5FAE11C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831" name="Text Box 1">
          <a:extLst>
            <a:ext uri="{FF2B5EF4-FFF2-40B4-BE49-F238E27FC236}">
              <a16:creationId xmlns:a16="http://schemas.microsoft.com/office/drawing/2014/main" id="{431951C0-1F86-4D62-AED4-970F89314168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832" name="Text Box 1">
          <a:extLst>
            <a:ext uri="{FF2B5EF4-FFF2-40B4-BE49-F238E27FC236}">
              <a16:creationId xmlns:a16="http://schemas.microsoft.com/office/drawing/2014/main" id="{3FEE91FD-0B6D-4A25-BB58-F74C5FEFBB5A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833" name="Text Box 1">
          <a:extLst>
            <a:ext uri="{FF2B5EF4-FFF2-40B4-BE49-F238E27FC236}">
              <a16:creationId xmlns:a16="http://schemas.microsoft.com/office/drawing/2014/main" id="{58CCED74-680F-4E5B-874D-1B9B27754A4A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834" name="Text Box 1">
          <a:extLst>
            <a:ext uri="{FF2B5EF4-FFF2-40B4-BE49-F238E27FC236}">
              <a16:creationId xmlns:a16="http://schemas.microsoft.com/office/drawing/2014/main" id="{6B1BA7BA-2ECF-4A44-AD9A-334757174D84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835" name="Text Box 1">
          <a:extLst>
            <a:ext uri="{FF2B5EF4-FFF2-40B4-BE49-F238E27FC236}">
              <a16:creationId xmlns:a16="http://schemas.microsoft.com/office/drawing/2014/main" id="{F5F6895A-5372-46FE-8283-8EC5B3D28B1B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836" name="Text Box 1">
          <a:extLst>
            <a:ext uri="{FF2B5EF4-FFF2-40B4-BE49-F238E27FC236}">
              <a16:creationId xmlns:a16="http://schemas.microsoft.com/office/drawing/2014/main" id="{456290BB-9FE3-464F-8C90-323E5F2AAD63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837" name="Text Box 1">
          <a:extLst>
            <a:ext uri="{FF2B5EF4-FFF2-40B4-BE49-F238E27FC236}">
              <a16:creationId xmlns:a16="http://schemas.microsoft.com/office/drawing/2014/main" id="{AD5E0F90-DBCB-478D-AE00-7803658CCD19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838" name="Text Box 1">
          <a:extLst>
            <a:ext uri="{FF2B5EF4-FFF2-40B4-BE49-F238E27FC236}">
              <a16:creationId xmlns:a16="http://schemas.microsoft.com/office/drawing/2014/main" id="{F08767E4-63E3-47F3-8C94-AAD8C80CCB72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839" name="Text Box 1">
          <a:extLst>
            <a:ext uri="{FF2B5EF4-FFF2-40B4-BE49-F238E27FC236}">
              <a16:creationId xmlns:a16="http://schemas.microsoft.com/office/drawing/2014/main" id="{C3B30614-E2A6-42B6-A8AF-795EB7E64749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840" name="Text Box 1">
          <a:extLst>
            <a:ext uri="{FF2B5EF4-FFF2-40B4-BE49-F238E27FC236}">
              <a16:creationId xmlns:a16="http://schemas.microsoft.com/office/drawing/2014/main" id="{51210263-8CA3-4C12-8DBC-ABE682079568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841" name="Text Box 1">
          <a:extLst>
            <a:ext uri="{FF2B5EF4-FFF2-40B4-BE49-F238E27FC236}">
              <a16:creationId xmlns:a16="http://schemas.microsoft.com/office/drawing/2014/main" id="{91FDA6D1-1C35-4645-B741-148B59EB8362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842" name="Text Box 1">
          <a:extLst>
            <a:ext uri="{FF2B5EF4-FFF2-40B4-BE49-F238E27FC236}">
              <a16:creationId xmlns:a16="http://schemas.microsoft.com/office/drawing/2014/main" id="{75D343F9-6DD2-4597-A227-B27AB17CB216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843" name="Text Box 1">
          <a:extLst>
            <a:ext uri="{FF2B5EF4-FFF2-40B4-BE49-F238E27FC236}">
              <a16:creationId xmlns:a16="http://schemas.microsoft.com/office/drawing/2014/main" id="{DF9FB005-B05C-4F85-AE7E-CDF7EAB5A76D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844" name="Text Box 1">
          <a:extLst>
            <a:ext uri="{FF2B5EF4-FFF2-40B4-BE49-F238E27FC236}">
              <a16:creationId xmlns:a16="http://schemas.microsoft.com/office/drawing/2014/main" id="{D590644A-EBCF-4239-8637-F93A1721002E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845" name="Text Box 1">
          <a:extLst>
            <a:ext uri="{FF2B5EF4-FFF2-40B4-BE49-F238E27FC236}">
              <a16:creationId xmlns:a16="http://schemas.microsoft.com/office/drawing/2014/main" id="{FAEC9458-C319-4A2F-BD4F-196289B519F5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846" name="Text Box 1">
          <a:extLst>
            <a:ext uri="{FF2B5EF4-FFF2-40B4-BE49-F238E27FC236}">
              <a16:creationId xmlns:a16="http://schemas.microsoft.com/office/drawing/2014/main" id="{CC080B56-079A-4299-B5CA-4E56597AB468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847" name="Text Box 1">
          <a:extLst>
            <a:ext uri="{FF2B5EF4-FFF2-40B4-BE49-F238E27FC236}">
              <a16:creationId xmlns:a16="http://schemas.microsoft.com/office/drawing/2014/main" id="{733644E2-8036-43C0-B387-14132D0A56E8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848" name="Text Box 1">
          <a:extLst>
            <a:ext uri="{FF2B5EF4-FFF2-40B4-BE49-F238E27FC236}">
              <a16:creationId xmlns:a16="http://schemas.microsoft.com/office/drawing/2014/main" id="{79893B14-5719-4B68-A51B-EE234631A772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849" name="Text Box 1">
          <a:extLst>
            <a:ext uri="{FF2B5EF4-FFF2-40B4-BE49-F238E27FC236}">
              <a16:creationId xmlns:a16="http://schemas.microsoft.com/office/drawing/2014/main" id="{0959B166-5F2E-421B-87EF-770D4DED1E78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39</xdr:row>
      <xdr:rowOff>0</xdr:rowOff>
    </xdr:from>
    <xdr:ext cx="247650" cy="85725"/>
    <xdr:sp macro="" textlink="">
      <xdr:nvSpPr>
        <xdr:cNvPr id="850" name="Text Box 1">
          <a:extLst>
            <a:ext uri="{FF2B5EF4-FFF2-40B4-BE49-F238E27FC236}">
              <a16:creationId xmlns:a16="http://schemas.microsoft.com/office/drawing/2014/main" id="{8337B606-1654-4105-8E17-B8B46D29EFD3}"/>
            </a:ext>
          </a:extLst>
        </xdr:cNvPr>
        <xdr:cNvSpPr txBox="1">
          <a:spLocks noChangeArrowheads="1"/>
        </xdr:cNvSpPr>
      </xdr:nvSpPr>
      <xdr:spPr bwMode="auto">
        <a:xfrm>
          <a:off x="249237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851" name="Text Box 1">
          <a:extLst>
            <a:ext uri="{FF2B5EF4-FFF2-40B4-BE49-F238E27FC236}">
              <a16:creationId xmlns:a16="http://schemas.microsoft.com/office/drawing/2014/main" id="{2D1664A5-8D24-4909-8349-203E0FA1C40D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852" name="Text Box 1">
          <a:extLst>
            <a:ext uri="{FF2B5EF4-FFF2-40B4-BE49-F238E27FC236}">
              <a16:creationId xmlns:a16="http://schemas.microsoft.com/office/drawing/2014/main" id="{837A14BE-69DF-4578-9C2E-59C0E0CC8741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853" name="Text Box 1">
          <a:extLst>
            <a:ext uri="{FF2B5EF4-FFF2-40B4-BE49-F238E27FC236}">
              <a16:creationId xmlns:a16="http://schemas.microsoft.com/office/drawing/2014/main" id="{16B5A30C-DC4A-4246-B7B5-FEF8D1C6B667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854" name="Text Box 1">
          <a:extLst>
            <a:ext uri="{FF2B5EF4-FFF2-40B4-BE49-F238E27FC236}">
              <a16:creationId xmlns:a16="http://schemas.microsoft.com/office/drawing/2014/main" id="{5A791403-4DD5-4E06-8756-3A042453D66B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855" name="Text Box 1">
          <a:extLst>
            <a:ext uri="{FF2B5EF4-FFF2-40B4-BE49-F238E27FC236}">
              <a16:creationId xmlns:a16="http://schemas.microsoft.com/office/drawing/2014/main" id="{91F7F9C6-B2D4-405F-A62B-962555E80686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856" name="Text Box 1">
          <a:extLst>
            <a:ext uri="{FF2B5EF4-FFF2-40B4-BE49-F238E27FC236}">
              <a16:creationId xmlns:a16="http://schemas.microsoft.com/office/drawing/2014/main" id="{695E0612-2BDB-49C2-8835-29C300E22DC7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857" name="Text Box 1">
          <a:extLst>
            <a:ext uri="{FF2B5EF4-FFF2-40B4-BE49-F238E27FC236}">
              <a16:creationId xmlns:a16="http://schemas.microsoft.com/office/drawing/2014/main" id="{EF48471F-B9A6-4598-A6A1-9BEF2C0C49DB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858" name="Text Box 1">
          <a:extLst>
            <a:ext uri="{FF2B5EF4-FFF2-40B4-BE49-F238E27FC236}">
              <a16:creationId xmlns:a16="http://schemas.microsoft.com/office/drawing/2014/main" id="{5E65CD3C-8BF5-4F58-8073-9717033DA2CE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859" name="Text Box 1">
          <a:extLst>
            <a:ext uri="{FF2B5EF4-FFF2-40B4-BE49-F238E27FC236}">
              <a16:creationId xmlns:a16="http://schemas.microsoft.com/office/drawing/2014/main" id="{88FF23F6-01D2-4F89-BA5B-532982D9EE46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860" name="Text Box 1">
          <a:extLst>
            <a:ext uri="{FF2B5EF4-FFF2-40B4-BE49-F238E27FC236}">
              <a16:creationId xmlns:a16="http://schemas.microsoft.com/office/drawing/2014/main" id="{C7141985-5C29-4A30-BFDE-1CEED282A937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861" name="Text Box 1">
          <a:extLst>
            <a:ext uri="{FF2B5EF4-FFF2-40B4-BE49-F238E27FC236}">
              <a16:creationId xmlns:a16="http://schemas.microsoft.com/office/drawing/2014/main" id="{DDFDACA7-3ECA-490F-BCE6-CDEA794DC8BB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862" name="Text Box 1">
          <a:extLst>
            <a:ext uri="{FF2B5EF4-FFF2-40B4-BE49-F238E27FC236}">
              <a16:creationId xmlns:a16="http://schemas.microsoft.com/office/drawing/2014/main" id="{EDBF4689-B38A-4FE0-95B5-D38041CD2E07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863" name="Text Box 1">
          <a:extLst>
            <a:ext uri="{FF2B5EF4-FFF2-40B4-BE49-F238E27FC236}">
              <a16:creationId xmlns:a16="http://schemas.microsoft.com/office/drawing/2014/main" id="{7303A89F-98B8-499F-8383-9A0B0117A887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864" name="Text Box 1">
          <a:extLst>
            <a:ext uri="{FF2B5EF4-FFF2-40B4-BE49-F238E27FC236}">
              <a16:creationId xmlns:a16="http://schemas.microsoft.com/office/drawing/2014/main" id="{324BAD35-8E57-4F7E-B9D2-286B800A37D3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865" name="Text Box 1">
          <a:extLst>
            <a:ext uri="{FF2B5EF4-FFF2-40B4-BE49-F238E27FC236}">
              <a16:creationId xmlns:a16="http://schemas.microsoft.com/office/drawing/2014/main" id="{597E489F-3A5D-4A31-A2C3-97CBC8016028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866" name="Text Box 1">
          <a:extLst>
            <a:ext uri="{FF2B5EF4-FFF2-40B4-BE49-F238E27FC236}">
              <a16:creationId xmlns:a16="http://schemas.microsoft.com/office/drawing/2014/main" id="{43814DC6-9C8A-4AEC-80EA-F0ABA6D04C97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867" name="Text Box 1">
          <a:extLst>
            <a:ext uri="{FF2B5EF4-FFF2-40B4-BE49-F238E27FC236}">
              <a16:creationId xmlns:a16="http://schemas.microsoft.com/office/drawing/2014/main" id="{56E164E5-2D78-48AA-AB61-B0FD1C57B8F5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868" name="Text Box 1">
          <a:extLst>
            <a:ext uri="{FF2B5EF4-FFF2-40B4-BE49-F238E27FC236}">
              <a16:creationId xmlns:a16="http://schemas.microsoft.com/office/drawing/2014/main" id="{70C79195-45F5-4EAD-919D-B6BE45E33C21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869" name="Text Box 1">
          <a:extLst>
            <a:ext uri="{FF2B5EF4-FFF2-40B4-BE49-F238E27FC236}">
              <a16:creationId xmlns:a16="http://schemas.microsoft.com/office/drawing/2014/main" id="{9464A00C-74F9-40B7-A7C4-6A24AF1A8B88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870" name="Text Box 1">
          <a:extLst>
            <a:ext uri="{FF2B5EF4-FFF2-40B4-BE49-F238E27FC236}">
              <a16:creationId xmlns:a16="http://schemas.microsoft.com/office/drawing/2014/main" id="{B2A6598B-6FEB-4596-8BC3-428C9D307C8F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871" name="Text Box 1">
          <a:extLst>
            <a:ext uri="{FF2B5EF4-FFF2-40B4-BE49-F238E27FC236}">
              <a16:creationId xmlns:a16="http://schemas.microsoft.com/office/drawing/2014/main" id="{5623CF4A-1559-450D-8076-06C58239E396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872" name="Text Box 1">
          <a:extLst>
            <a:ext uri="{FF2B5EF4-FFF2-40B4-BE49-F238E27FC236}">
              <a16:creationId xmlns:a16="http://schemas.microsoft.com/office/drawing/2014/main" id="{66EA7895-7949-428B-BE78-322A3F71D5C9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873" name="Text Box 1">
          <a:extLst>
            <a:ext uri="{FF2B5EF4-FFF2-40B4-BE49-F238E27FC236}">
              <a16:creationId xmlns:a16="http://schemas.microsoft.com/office/drawing/2014/main" id="{D6BF93CB-99F7-47F3-A76F-F7DF1E3F9DF3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874" name="Text Box 1">
          <a:extLst>
            <a:ext uri="{FF2B5EF4-FFF2-40B4-BE49-F238E27FC236}">
              <a16:creationId xmlns:a16="http://schemas.microsoft.com/office/drawing/2014/main" id="{EEB9528D-7A2D-4877-B108-5D3EE07FC254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875" name="Text Box 1">
          <a:extLst>
            <a:ext uri="{FF2B5EF4-FFF2-40B4-BE49-F238E27FC236}">
              <a16:creationId xmlns:a16="http://schemas.microsoft.com/office/drawing/2014/main" id="{797B545F-29EA-427B-AAB2-D6E0A9194DEC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876" name="Text Box 1">
          <a:extLst>
            <a:ext uri="{FF2B5EF4-FFF2-40B4-BE49-F238E27FC236}">
              <a16:creationId xmlns:a16="http://schemas.microsoft.com/office/drawing/2014/main" id="{012588CD-916F-43CB-911E-6D42E21F4A67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877" name="Text Box 1">
          <a:extLst>
            <a:ext uri="{FF2B5EF4-FFF2-40B4-BE49-F238E27FC236}">
              <a16:creationId xmlns:a16="http://schemas.microsoft.com/office/drawing/2014/main" id="{E0E4501A-8F8D-407C-9FCF-E02099A7865F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878" name="Text Box 1">
          <a:extLst>
            <a:ext uri="{FF2B5EF4-FFF2-40B4-BE49-F238E27FC236}">
              <a16:creationId xmlns:a16="http://schemas.microsoft.com/office/drawing/2014/main" id="{FCBDFA68-0F9A-44DF-870C-7373D292A46E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879" name="Text Box 1">
          <a:extLst>
            <a:ext uri="{FF2B5EF4-FFF2-40B4-BE49-F238E27FC236}">
              <a16:creationId xmlns:a16="http://schemas.microsoft.com/office/drawing/2014/main" id="{0162BD88-7AC2-43B3-B467-45D482DF294C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880" name="Text Box 1">
          <a:extLst>
            <a:ext uri="{FF2B5EF4-FFF2-40B4-BE49-F238E27FC236}">
              <a16:creationId xmlns:a16="http://schemas.microsoft.com/office/drawing/2014/main" id="{9A88A4CC-9009-435F-98F2-04D0B1C3222C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0</xdr:rowOff>
    </xdr:from>
    <xdr:ext cx="247650" cy="85725"/>
    <xdr:sp macro="" textlink="">
      <xdr:nvSpPr>
        <xdr:cNvPr id="881" name="Text Box 1">
          <a:extLst>
            <a:ext uri="{FF2B5EF4-FFF2-40B4-BE49-F238E27FC236}">
              <a16:creationId xmlns:a16="http://schemas.microsoft.com/office/drawing/2014/main" id="{5FF3443E-E908-4B28-94A2-150BF86AA769}"/>
            </a:ext>
          </a:extLst>
        </xdr:cNvPr>
        <xdr:cNvSpPr txBox="1">
          <a:spLocks noChangeArrowheads="1"/>
        </xdr:cNvSpPr>
      </xdr:nvSpPr>
      <xdr:spPr bwMode="auto">
        <a:xfrm>
          <a:off x="28695650" y="13716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0</xdr:colOff>
      <xdr:row>39</xdr:row>
      <xdr:rowOff>135256</xdr:rowOff>
    </xdr:from>
    <xdr:ext cx="247650" cy="45719"/>
    <xdr:sp macro="" textlink="">
      <xdr:nvSpPr>
        <xdr:cNvPr id="882" name="Text Box 1">
          <a:extLst>
            <a:ext uri="{FF2B5EF4-FFF2-40B4-BE49-F238E27FC236}">
              <a16:creationId xmlns:a16="http://schemas.microsoft.com/office/drawing/2014/main" id="{8AFEEC80-27F3-4AF8-A99F-F89B884DC0B5}"/>
            </a:ext>
          </a:extLst>
        </xdr:cNvPr>
        <xdr:cNvSpPr txBox="1">
          <a:spLocks noChangeArrowheads="1"/>
        </xdr:cNvSpPr>
      </xdr:nvSpPr>
      <xdr:spPr bwMode="auto">
        <a:xfrm>
          <a:off x="28695650" y="1506856"/>
          <a:ext cx="247650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565150</xdr:colOff>
      <xdr:row>38</xdr:row>
      <xdr:rowOff>152400</xdr:rowOff>
    </xdr:from>
    <xdr:ext cx="247650" cy="85725"/>
    <xdr:sp macro="" textlink="">
      <xdr:nvSpPr>
        <xdr:cNvPr id="883" name="Text Box 1">
          <a:extLst>
            <a:ext uri="{FF2B5EF4-FFF2-40B4-BE49-F238E27FC236}">
              <a16:creationId xmlns:a16="http://schemas.microsoft.com/office/drawing/2014/main" id="{1A01E96E-0793-4148-A1DC-1006410DF6D1}"/>
            </a:ext>
          </a:extLst>
        </xdr:cNvPr>
        <xdr:cNvSpPr txBox="1">
          <a:spLocks noChangeArrowheads="1"/>
        </xdr:cNvSpPr>
      </xdr:nvSpPr>
      <xdr:spPr bwMode="auto">
        <a:xfrm>
          <a:off x="23025100" y="13271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35</xdr:col>
      <xdr:colOff>565150</xdr:colOff>
      <xdr:row>38</xdr:row>
      <xdr:rowOff>152400</xdr:rowOff>
    </xdr:from>
    <xdr:ext cx="247650" cy="85725"/>
    <xdr:sp macro="" textlink="">
      <xdr:nvSpPr>
        <xdr:cNvPr id="884" name="Text Box 1">
          <a:extLst>
            <a:ext uri="{FF2B5EF4-FFF2-40B4-BE49-F238E27FC236}">
              <a16:creationId xmlns:a16="http://schemas.microsoft.com/office/drawing/2014/main" id="{20422353-E971-42B5-BB73-9CA5C97EE208}"/>
            </a:ext>
          </a:extLst>
        </xdr:cNvPr>
        <xdr:cNvSpPr txBox="1">
          <a:spLocks noChangeArrowheads="1"/>
        </xdr:cNvSpPr>
      </xdr:nvSpPr>
      <xdr:spPr bwMode="auto">
        <a:xfrm>
          <a:off x="23641050" y="13271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565150</xdr:colOff>
      <xdr:row>39</xdr:row>
      <xdr:rowOff>152400</xdr:rowOff>
    </xdr:from>
    <xdr:ext cx="247650" cy="85725"/>
    <xdr:sp macro="" textlink="">
      <xdr:nvSpPr>
        <xdr:cNvPr id="885" name="Text Box 1">
          <a:extLst>
            <a:ext uri="{FF2B5EF4-FFF2-40B4-BE49-F238E27FC236}">
              <a16:creationId xmlns:a16="http://schemas.microsoft.com/office/drawing/2014/main" id="{7E148FC3-FCB8-441D-88D4-560EBBB0F2DB}"/>
            </a:ext>
          </a:extLst>
        </xdr:cNvPr>
        <xdr:cNvSpPr txBox="1">
          <a:spLocks noChangeArrowheads="1"/>
        </xdr:cNvSpPr>
      </xdr:nvSpPr>
      <xdr:spPr bwMode="auto">
        <a:xfrm>
          <a:off x="23025100" y="15240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35</xdr:col>
      <xdr:colOff>565150</xdr:colOff>
      <xdr:row>39</xdr:row>
      <xdr:rowOff>152400</xdr:rowOff>
    </xdr:from>
    <xdr:ext cx="247650" cy="85725"/>
    <xdr:sp macro="" textlink="">
      <xdr:nvSpPr>
        <xdr:cNvPr id="886" name="Text Box 1">
          <a:extLst>
            <a:ext uri="{FF2B5EF4-FFF2-40B4-BE49-F238E27FC236}">
              <a16:creationId xmlns:a16="http://schemas.microsoft.com/office/drawing/2014/main" id="{E3FAA923-1D60-4D6B-A78B-A9338732C25C}"/>
            </a:ext>
          </a:extLst>
        </xdr:cNvPr>
        <xdr:cNvSpPr txBox="1">
          <a:spLocks noChangeArrowheads="1"/>
        </xdr:cNvSpPr>
      </xdr:nvSpPr>
      <xdr:spPr bwMode="auto">
        <a:xfrm>
          <a:off x="23641050" y="15240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42</xdr:col>
      <xdr:colOff>565150</xdr:colOff>
      <xdr:row>38</xdr:row>
      <xdr:rowOff>152400</xdr:rowOff>
    </xdr:from>
    <xdr:ext cx="247650" cy="85725"/>
    <xdr:sp macro="" textlink="">
      <xdr:nvSpPr>
        <xdr:cNvPr id="887" name="Text Box 1">
          <a:extLst>
            <a:ext uri="{FF2B5EF4-FFF2-40B4-BE49-F238E27FC236}">
              <a16:creationId xmlns:a16="http://schemas.microsoft.com/office/drawing/2014/main" id="{7548F506-0ABB-4FB2-AD6B-CB56F7E15D48}"/>
            </a:ext>
          </a:extLst>
        </xdr:cNvPr>
        <xdr:cNvSpPr txBox="1">
          <a:spLocks noChangeArrowheads="1"/>
        </xdr:cNvSpPr>
      </xdr:nvSpPr>
      <xdr:spPr bwMode="auto">
        <a:xfrm>
          <a:off x="27374850" y="13271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43</xdr:col>
      <xdr:colOff>565150</xdr:colOff>
      <xdr:row>38</xdr:row>
      <xdr:rowOff>152400</xdr:rowOff>
    </xdr:from>
    <xdr:ext cx="247650" cy="85725"/>
    <xdr:sp macro="" textlink="">
      <xdr:nvSpPr>
        <xdr:cNvPr id="888" name="Text Box 1">
          <a:extLst>
            <a:ext uri="{FF2B5EF4-FFF2-40B4-BE49-F238E27FC236}">
              <a16:creationId xmlns:a16="http://schemas.microsoft.com/office/drawing/2014/main" id="{90170FD0-1D74-4D83-BA80-A9CD81750392}"/>
            </a:ext>
          </a:extLst>
        </xdr:cNvPr>
        <xdr:cNvSpPr txBox="1">
          <a:spLocks noChangeArrowheads="1"/>
        </xdr:cNvSpPr>
      </xdr:nvSpPr>
      <xdr:spPr bwMode="auto">
        <a:xfrm>
          <a:off x="27425650" y="13271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42</xdr:col>
      <xdr:colOff>565150</xdr:colOff>
      <xdr:row>39</xdr:row>
      <xdr:rowOff>152400</xdr:rowOff>
    </xdr:from>
    <xdr:ext cx="247650" cy="85725"/>
    <xdr:sp macro="" textlink="">
      <xdr:nvSpPr>
        <xdr:cNvPr id="889" name="Text Box 1">
          <a:extLst>
            <a:ext uri="{FF2B5EF4-FFF2-40B4-BE49-F238E27FC236}">
              <a16:creationId xmlns:a16="http://schemas.microsoft.com/office/drawing/2014/main" id="{87E22780-5303-47EA-8195-500C7C2E8BE0}"/>
            </a:ext>
          </a:extLst>
        </xdr:cNvPr>
        <xdr:cNvSpPr txBox="1">
          <a:spLocks noChangeArrowheads="1"/>
        </xdr:cNvSpPr>
      </xdr:nvSpPr>
      <xdr:spPr bwMode="auto">
        <a:xfrm>
          <a:off x="27374850" y="15240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43</xdr:col>
      <xdr:colOff>565150</xdr:colOff>
      <xdr:row>39</xdr:row>
      <xdr:rowOff>152400</xdr:rowOff>
    </xdr:from>
    <xdr:ext cx="247650" cy="85725"/>
    <xdr:sp macro="" textlink="">
      <xdr:nvSpPr>
        <xdr:cNvPr id="890" name="Text Box 1">
          <a:extLst>
            <a:ext uri="{FF2B5EF4-FFF2-40B4-BE49-F238E27FC236}">
              <a16:creationId xmlns:a16="http://schemas.microsoft.com/office/drawing/2014/main" id="{7A7B58A9-1392-4107-8A38-7B73AF11F72A}"/>
            </a:ext>
          </a:extLst>
        </xdr:cNvPr>
        <xdr:cNvSpPr txBox="1">
          <a:spLocks noChangeArrowheads="1"/>
        </xdr:cNvSpPr>
      </xdr:nvSpPr>
      <xdr:spPr bwMode="auto">
        <a:xfrm>
          <a:off x="27425650" y="15240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43</xdr:col>
      <xdr:colOff>565150</xdr:colOff>
      <xdr:row>39</xdr:row>
      <xdr:rowOff>152400</xdr:rowOff>
    </xdr:from>
    <xdr:ext cx="247650" cy="85725"/>
    <xdr:sp macro="" textlink="">
      <xdr:nvSpPr>
        <xdr:cNvPr id="891" name="Text Box 1">
          <a:extLst>
            <a:ext uri="{FF2B5EF4-FFF2-40B4-BE49-F238E27FC236}">
              <a16:creationId xmlns:a16="http://schemas.microsoft.com/office/drawing/2014/main" id="{E5F05971-A03E-4E16-AF2E-23A12D392171}"/>
            </a:ext>
          </a:extLst>
        </xdr:cNvPr>
        <xdr:cNvSpPr txBox="1">
          <a:spLocks noChangeArrowheads="1"/>
        </xdr:cNvSpPr>
      </xdr:nvSpPr>
      <xdr:spPr bwMode="auto">
        <a:xfrm>
          <a:off x="27425650" y="15240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35</xdr:col>
      <xdr:colOff>565150</xdr:colOff>
      <xdr:row>39</xdr:row>
      <xdr:rowOff>152400</xdr:rowOff>
    </xdr:from>
    <xdr:ext cx="247650" cy="85725"/>
    <xdr:sp macro="" textlink="">
      <xdr:nvSpPr>
        <xdr:cNvPr id="892" name="Text Box 1">
          <a:extLst>
            <a:ext uri="{FF2B5EF4-FFF2-40B4-BE49-F238E27FC236}">
              <a16:creationId xmlns:a16="http://schemas.microsoft.com/office/drawing/2014/main" id="{28FA24D8-8490-4487-A613-B7EA61EC3806}"/>
            </a:ext>
          </a:extLst>
        </xdr:cNvPr>
        <xdr:cNvSpPr txBox="1">
          <a:spLocks noChangeArrowheads="1"/>
        </xdr:cNvSpPr>
      </xdr:nvSpPr>
      <xdr:spPr bwMode="auto">
        <a:xfrm>
          <a:off x="23641050" y="15240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35</xdr:col>
      <xdr:colOff>565150</xdr:colOff>
      <xdr:row>39</xdr:row>
      <xdr:rowOff>152400</xdr:rowOff>
    </xdr:from>
    <xdr:ext cx="247650" cy="85725"/>
    <xdr:sp macro="" textlink="">
      <xdr:nvSpPr>
        <xdr:cNvPr id="893" name="Text Box 1">
          <a:extLst>
            <a:ext uri="{FF2B5EF4-FFF2-40B4-BE49-F238E27FC236}">
              <a16:creationId xmlns:a16="http://schemas.microsoft.com/office/drawing/2014/main" id="{94D57C54-00BD-4120-BD0D-773B61D8BC14}"/>
            </a:ext>
          </a:extLst>
        </xdr:cNvPr>
        <xdr:cNvSpPr txBox="1">
          <a:spLocks noChangeArrowheads="1"/>
        </xdr:cNvSpPr>
      </xdr:nvSpPr>
      <xdr:spPr bwMode="auto">
        <a:xfrm>
          <a:off x="23641050" y="15240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43</xdr:col>
      <xdr:colOff>565150</xdr:colOff>
      <xdr:row>39</xdr:row>
      <xdr:rowOff>152400</xdr:rowOff>
    </xdr:from>
    <xdr:ext cx="247650" cy="85725"/>
    <xdr:sp macro="" textlink="">
      <xdr:nvSpPr>
        <xdr:cNvPr id="894" name="Text Box 1">
          <a:extLst>
            <a:ext uri="{FF2B5EF4-FFF2-40B4-BE49-F238E27FC236}">
              <a16:creationId xmlns:a16="http://schemas.microsoft.com/office/drawing/2014/main" id="{C54D18F8-9FEF-4A1B-ACE7-E863233E1832}"/>
            </a:ext>
          </a:extLst>
        </xdr:cNvPr>
        <xdr:cNvSpPr txBox="1">
          <a:spLocks noChangeArrowheads="1"/>
        </xdr:cNvSpPr>
      </xdr:nvSpPr>
      <xdr:spPr bwMode="auto">
        <a:xfrm>
          <a:off x="27425650" y="152400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565150</xdr:colOff>
      <xdr:row>8</xdr:row>
      <xdr:rowOff>152400</xdr:rowOff>
    </xdr:from>
    <xdr:ext cx="247650" cy="85725"/>
    <xdr:sp macro="" textlink="">
      <xdr:nvSpPr>
        <xdr:cNvPr id="895" name="Text Box 1">
          <a:extLst>
            <a:ext uri="{FF2B5EF4-FFF2-40B4-BE49-F238E27FC236}">
              <a16:creationId xmlns:a16="http://schemas.microsoft.com/office/drawing/2014/main" id="{BACE927B-7497-4712-AF39-A9D14BF39FAA}"/>
            </a:ext>
          </a:extLst>
        </xdr:cNvPr>
        <xdr:cNvSpPr txBox="1">
          <a:spLocks noChangeArrowheads="1"/>
        </xdr:cNvSpPr>
      </xdr:nvSpPr>
      <xdr:spPr bwMode="auto">
        <a:xfrm>
          <a:off x="8801100" y="25590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35</xdr:col>
      <xdr:colOff>565150</xdr:colOff>
      <xdr:row>8</xdr:row>
      <xdr:rowOff>152400</xdr:rowOff>
    </xdr:from>
    <xdr:ext cx="247650" cy="85725"/>
    <xdr:sp macro="" textlink="">
      <xdr:nvSpPr>
        <xdr:cNvPr id="896" name="Text Box 1">
          <a:extLst>
            <a:ext uri="{FF2B5EF4-FFF2-40B4-BE49-F238E27FC236}">
              <a16:creationId xmlns:a16="http://schemas.microsoft.com/office/drawing/2014/main" id="{02358F2D-4F7C-413E-86B1-1C0070504FC7}"/>
            </a:ext>
          </a:extLst>
        </xdr:cNvPr>
        <xdr:cNvSpPr txBox="1">
          <a:spLocks noChangeArrowheads="1"/>
        </xdr:cNvSpPr>
      </xdr:nvSpPr>
      <xdr:spPr bwMode="auto">
        <a:xfrm>
          <a:off x="8801100" y="25590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565150</xdr:colOff>
      <xdr:row>9</xdr:row>
      <xdr:rowOff>152400</xdr:rowOff>
    </xdr:from>
    <xdr:ext cx="247650" cy="85725"/>
    <xdr:sp macro="" textlink="">
      <xdr:nvSpPr>
        <xdr:cNvPr id="897" name="Text Box 1">
          <a:extLst>
            <a:ext uri="{FF2B5EF4-FFF2-40B4-BE49-F238E27FC236}">
              <a16:creationId xmlns:a16="http://schemas.microsoft.com/office/drawing/2014/main" id="{51571822-EBC3-46A6-9AB4-A18AA56D466A}"/>
            </a:ext>
          </a:extLst>
        </xdr:cNvPr>
        <xdr:cNvSpPr txBox="1">
          <a:spLocks noChangeArrowheads="1"/>
        </xdr:cNvSpPr>
      </xdr:nvSpPr>
      <xdr:spPr bwMode="auto">
        <a:xfrm>
          <a:off x="8801100" y="25590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35</xdr:col>
      <xdr:colOff>565150</xdr:colOff>
      <xdr:row>9</xdr:row>
      <xdr:rowOff>152400</xdr:rowOff>
    </xdr:from>
    <xdr:ext cx="247650" cy="85725"/>
    <xdr:sp macro="" textlink="">
      <xdr:nvSpPr>
        <xdr:cNvPr id="898" name="Text Box 1">
          <a:extLst>
            <a:ext uri="{FF2B5EF4-FFF2-40B4-BE49-F238E27FC236}">
              <a16:creationId xmlns:a16="http://schemas.microsoft.com/office/drawing/2014/main" id="{E4B37615-7CBF-4240-ADD6-14BB00BB362E}"/>
            </a:ext>
          </a:extLst>
        </xdr:cNvPr>
        <xdr:cNvSpPr txBox="1">
          <a:spLocks noChangeArrowheads="1"/>
        </xdr:cNvSpPr>
      </xdr:nvSpPr>
      <xdr:spPr bwMode="auto">
        <a:xfrm>
          <a:off x="8801100" y="25590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35</xdr:col>
      <xdr:colOff>565150</xdr:colOff>
      <xdr:row>9</xdr:row>
      <xdr:rowOff>152400</xdr:rowOff>
    </xdr:from>
    <xdr:ext cx="247650" cy="85725"/>
    <xdr:sp macro="" textlink="">
      <xdr:nvSpPr>
        <xdr:cNvPr id="899" name="Text Box 1">
          <a:extLst>
            <a:ext uri="{FF2B5EF4-FFF2-40B4-BE49-F238E27FC236}">
              <a16:creationId xmlns:a16="http://schemas.microsoft.com/office/drawing/2014/main" id="{938395CA-A80F-44B3-81FF-272EFC0D7A43}"/>
            </a:ext>
          </a:extLst>
        </xdr:cNvPr>
        <xdr:cNvSpPr txBox="1">
          <a:spLocks noChangeArrowheads="1"/>
        </xdr:cNvSpPr>
      </xdr:nvSpPr>
      <xdr:spPr bwMode="auto">
        <a:xfrm>
          <a:off x="8801100" y="25590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35</xdr:col>
      <xdr:colOff>565150</xdr:colOff>
      <xdr:row>9</xdr:row>
      <xdr:rowOff>152400</xdr:rowOff>
    </xdr:from>
    <xdr:ext cx="247650" cy="85725"/>
    <xdr:sp macro="" textlink="">
      <xdr:nvSpPr>
        <xdr:cNvPr id="900" name="Text Box 1">
          <a:extLst>
            <a:ext uri="{FF2B5EF4-FFF2-40B4-BE49-F238E27FC236}">
              <a16:creationId xmlns:a16="http://schemas.microsoft.com/office/drawing/2014/main" id="{90719DC8-6DDE-4618-B8F3-1B77CDF3E867}"/>
            </a:ext>
          </a:extLst>
        </xdr:cNvPr>
        <xdr:cNvSpPr txBox="1">
          <a:spLocks noChangeArrowheads="1"/>
        </xdr:cNvSpPr>
      </xdr:nvSpPr>
      <xdr:spPr bwMode="auto">
        <a:xfrm>
          <a:off x="8801100" y="25590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301" name="Text Box 1">
          <a:extLst>
            <a:ext uri="{FF2B5EF4-FFF2-40B4-BE49-F238E27FC236}">
              <a16:creationId xmlns:a16="http://schemas.microsoft.com/office/drawing/2014/main" id="{69E99FC0-7D82-4E6E-BD2F-97F018E3FE2E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302" name="Text Box 1">
          <a:extLst>
            <a:ext uri="{FF2B5EF4-FFF2-40B4-BE49-F238E27FC236}">
              <a16:creationId xmlns:a16="http://schemas.microsoft.com/office/drawing/2014/main" id="{666932A8-95C4-4946-A7ED-D0D2CF69ECD6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303" name="Text Box 1">
          <a:extLst>
            <a:ext uri="{FF2B5EF4-FFF2-40B4-BE49-F238E27FC236}">
              <a16:creationId xmlns:a16="http://schemas.microsoft.com/office/drawing/2014/main" id="{23FDBE0C-0780-48AF-9857-0AFDF39B3188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304" name="Text Box 1">
          <a:extLst>
            <a:ext uri="{FF2B5EF4-FFF2-40B4-BE49-F238E27FC236}">
              <a16:creationId xmlns:a16="http://schemas.microsoft.com/office/drawing/2014/main" id="{D7F7F3CF-15EA-4147-A129-BC270E4AABB3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305" name="Text Box 1">
          <a:extLst>
            <a:ext uri="{FF2B5EF4-FFF2-40B4-BE49-F238E27FC236}">
              <a16:creationId xmlns:a16="http://schemas.microsoft.com/office/drawing/2014/main" id="{A757A602-B913-44E8-8C71-F169B2493396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306" name="Text Box 1">
          <a:extLst>
            <a:ext uri="{FF2B5EF4-FFF2-40B4-BE49-F238E27FC236}">
              <a16:creationId xmlns:a16="http://schemas.microsoft.com/office/drawing/2014/main" id="{6D540160-14CF-4CE3-B99F-E0EEA71D051B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307" name="Text Box 1">
          <a:extLst>
            <a:ext uri="{FF2B5EF4-FFF2-40B4-BE49-F238E27FC236}">
              <a16:creationId xmlns:a16="http://schemas.microsoft.com/office/drawing/2014/main" id="{0621E978-C1C5-4224-960A-4DBB66443086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308" name="Text Box 1">
          <a:extLst>
            <a:ext uri="{FF2B5EF4-FFF2-40B4-BE49-F238E27FC236}">
              <a16:creationId xmlns:a16="http://schemas.microsoft.com/office/drawing/2014/main" id="{534E0A6B-506F-4757-A98A-0310AE2BB996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309" name="Text Box 1">
          <a:extLst>
            <a:ext uri="{FF2B5EF4-FFF2-40B4-BE49-F238E27FC236}">
              <a16:creationId xmlns:a16="http://schemas.microsoft.com/office/drawing/2014/main" id="{4489BE38-839D-41D7-BDFC-31BB82617D9C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310" name="Text Box 1">
          <a:extLst>
            <a:ext uri="{FF2B5EF4-FFF2-40B4-BE49-F238E27FC236}">
              <a16:creationId xmlns:a16="http://schemas.microsoft.com/office/drawing/2014/main" id="{17A117F8-333A-4BF0-A53D-0FA69484501D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311" name="Text Box 1">
          <a:extLst>
            <a:ext uri="{FF2B5EF4-FFF2-40B4-BE49-F238E27FC236}">
              <a16:creationId xmlns:a16="http://schemas.microsoft.com/office/drawing/2014/main" id="{C957E34F-9994-4A25-9C6F-F71084DCEECB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312" name="Text Box 1">
          <a:extLst>
            <a:ext uri="{FF2B5EF4-FFF2-40B4-BE49-F238E27FC236}">
              <a16:creationId xmlns:a16="http://schemas.microsoft.com/office/drawing/2014/main" id="{B618A225-F6E7-4CFE-89C0-2D6629F2C45F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313" name="Text Box 1">
          <a:extLst>
            <a:ext uri="{FF2B5EF4-FFF2-40B4-BE49-F238E27FC236}">
              <a16:creationId xmlns:a16="http://schemas.microsoft.com/office/drawing/2014/main" id="{39CF55DF-E599-4663-AB3B-A83A9B179FBC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314" name="Text Box 1">
          <a:extLst>
            <a:ext uri="{FF2B5EF4-FFF2-40B4-BE49-F238E27FC236}">
              <a16:creationId xmlns:a16="http://schemas.microsoft.com/office/drawing/2014/main" id="{D1275E08-C1B6-4109-A0FC-18269BB024EB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315" name="Text Box 1">
          <a:extLst>
            <a:ext uri="{FF2B5EF4-FFF2-40B4-BE49-F238E27FC236}">
              <a16:creationId xmlns:a16="http://schemas.microsoft.com/office/drawing/2014/main" id="{5B98428D-C738-4459-A59E-97DA6DBDD49D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316" name="Text Box 1">
          <a:extLst>
            <a:ext uri="{FF2B5EF4-FFF2-40B4-BE49-F238E27FC236}">
              <a16:creationId xmlns:a16="http://schemas.microsoft.com/office/drawing/2014/main" id="{31C4DD3E-782B-4A13-AD8A-9FAA68E30E14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317" name="Text Box 1">
          <a:extLst>
            <a:ext uri="{FF2B5EF4-FFF2-40B4-BE49-F238E27FC236}">
              <a16:creationId xmlns:a16="http://schemas.microsoft.com/office/drawing/2014/main" id="{014A2162-5F21-4C91-9023-2620243C558A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318" name="Text Box 1">
          <a:extLst>
            <a:ext uri="{FF2B5EF4-FFF2-40B4-BE49-F238E27FC236}">
              <a16:creationId xmlns:a16="http://schemas.microsoft.com/office/drawing/2014/main" id="{34C284CD-3EC0-43AF-BB19-006A573B242B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319" name="Text Box 1">
          <a:extLst>
            <a:ext uri="{FF2B5EF4-FFF2-40B4-BE49-F238E27FC236}">
              <a16:creationId xmlns:a16="http://schemas.microsoft.com/office/drawing/2014/main" id="{4C411BCD-791D-4D0E-B7FD-82BABECB3126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320" name="Text Box 1">
          <a:extLst>
            <a:ext uri="{FF2B5EF4-FFF2-40B4-BE49-F238E27FC236}">
              <a16:creationId xmlns:a16="http://schemas.microsoft.com/office/drawing/2014/main" id="{1877EF66-CA46-453E-8AE1-D0E909F1C084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321" name="Text Box 1">
          <a:extLst>
            <a:ext uri="{FF2B5EF4-FFF2-40B4-BE49-F238E27FC236}">
              <a16:creationId xmlns:a16="http://schemas.microsoft.com/office/drawing/2014/main" id="{8B1E4D2E-BBA6-4C2C-8509-360DC12C6A66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322" name="Text Box 1">
          <a:extLst>
            <a:ext uri="{FF2B5EF4-FFF2-40B4-BE49-F238E27FC236}">
              <a16:creationId xmlns:a16="http://schemas.microsoft.com/office/drawing/2014/main" id="{CFD44B9B-DF7B-46CE-804F-C8990DF6B74E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323" name="Text Box 1">
          <a:extLst>
            <a:ext uri="{FF2B5EF4-FFF2-40B4-BE49-F238E27FC236}">
              <a16:creationId xmlns:a16="http://schemas.microsoft.com/office/drawing/2014/main" id="{0B530746-DA73-4703-B0BA-26B9C53B7072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324" name="Text Box 1">
          <a:extLst>
            <a:ext uri="{FF2B5EF4-FFF2-40B4-BE49-F238E27FC236}">
              <a16:creationId xmlns:a16="http://schemas.microsoft.com/office/drawing/2014/main" id="{33DEBC3A-E48B-4EEB-9A4E-8EFA681D5F6D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325" name="Text Box 1">
          <a:extLst>
            <a:ext uri="{FF2B5EF4-FFF2-40B4-BE49-F238E27FC236}">
              <a16:creationId xmlns:a16="http://schemas.microsoft.com/office/drawing/2014/main" id="{72A89877-E256-4BA5-9AC8-2953016B6328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326" name="Text Box 1">
          <a:extLst>
            <a:ext uri="{FF2B5EF4-FFF2-40B4-BE49-F238E27FC236}">
              <a16:creationId xmlns:a16="http://schemas.microsoft.com/office/drawing/2014/main" id="{F2768AE1-910B-4C7C-A808-962EA2AE09AC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327" name="Text Box 1">
          <a:extLst>
            <a:ext uri="{FF2B5EF4-FFF2-40B4-BE49-F238E27FC236}">
              <a16:creationId xmlns:a16="http://schemas.microsoft.com/office/drawing/2014/main" id="{7D5922E3-866C-47CC-B73A-968850861D3E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328" name="Text Box 1">
          <a:extLst>
            <a:ext uri="{FF2B5EF4-FFF2-40B4-BE49-F238E27FC236}">
              <a16:creationId xmlns:a16="http://schemas.microsoft.com/office/drawing/2014/main" id="{A00705B6-BADD-4819-AFC8-3C1CE0691C49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329" name="Text Box 1">
          <a:extLst>
            <a:ext uri="{FF2B5EF4-FFF2-40B4-BE49-F238E27FC236}">
              <a16:creationId xmlns:a16="http://schemas.microsoft.com/office/drawing/2014/main" id="{1B61D11A-2454-44D2-AAD7-3CA20BA0EA87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330" name="Text Box 1">
          <a:extLst>
            <a:ext uri="{FF2B5EF4-FFF2-40B4-BE49-F238E27FC236}">
              <a16:creationId xmlns:a16="http://schemas.microsoft.com/office/drawing/2014/main" id="{F040E5BC-B40A-4B3D-8184-77E9518AFBB3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331" name="Text Box 1">
          <a:extLst>
            <a:ext uri="{FF2B5EF4-FFF2-40B4-BE49-F238E27FC236}">
              <a16:creationId xmlns:a16="http://schemas.microsoft.com/office/drawing/2014/main" id="{9DD396AF-62AC-43C2-8408-E01A739394E0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332" name="Text Box 1">
          <a:extLst>
            <a:ext uri="{FF2B5EF4-FFF2-40B4-BE49-F238E27FC236}">
              <a16:creationId xmlns:a16="http://schemas.microsoft.com/office/drawing/2014/main" id="{3B88DA4E-41D1-43F5-BF7E-0832E16B4C6B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333" name="Text Box 1">
          <a:extLst>
            <a:ext uri="{FF2B5EF4-FFF2-40B4-BE49-F238E27FC236}">
              <a16:creationId xmlns:a16="http://schemas.microsoft.com/office/drawing/2014/main" id="{B939D9E0-7DB1-4800-BE50-79554AC70C0B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334" name="Text Box 1">
          <a:extLst>
            <a:ext uri="{FF2B5EF4-FFF2-40B4-BE49-F238E27FC236}">
              <a16:creationId xmlns:a16="http://schemas.microsoft.com/office/drawing/2014/main" id="{8103CB51-05B5-44D7-AEFE-0B306615B6A6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335" name="Text Box 1">
          <a:extLst>
            <a:ext uri="{FF2B5EF4-FFF2-40B4-BE49-F238E27FC236}">
              <a16:creationId xmlns:a16="http://schemas.microsoft.com/office/drawing/2014/main" id="{59E2413C-2C56-4EE1-B56B-D49693F1B121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336" name="Text Box 1">
          <a:extLst>
            <a:ext uri="{FF2B5EF4-FFF2-40B4-BE49-F238E27FC236}">
              <a16:creationId xmlns:a16="http://schemas.microsoft.com/office/drawing/2014/main" id="{8240E177-4A6E-4AC9-BE13-E1551D24CB0F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337" name="Text Box 1">
          <a:extLst>
            <a:ext uri="{FF2B5EF4-FFF2-40B4-BE49-F238E27FC236}">
              <a16:creationId xmlns:a16="http://schemas.microsoft.com/office/drawing/2014/main" id="{9B770470-0A79-4598-B1CA-ADC10266F6B3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338" name="Text Box 1">
          <a:extLst>
            <a:ext uri="{FF2B5EF4-FFF2-40B4-BE49-F238E27FC236}">
              <a16:creationId xmlns:a16="http://schemas.microsoft.com/office/drawing/2014/main" id="{1636AD66-79C4-4A25-BFF2-2F177AE06907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339" name="Text Box 1">
          <a:extLst>
            <a:ext uri="{FF2B5EF4-FFF2-40B4-BE49-F238E27FC236}">
              <a16:creationId xmlns:a16="http://schemas.microsoft.com/office/drawing/2014/main" id="{B02607DB-B8D8-4015-8D17-4AA4CA3D205A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340" name="Text Box 1">
          <a:extLst>
            <a:ext uri="{FF2B5EF4-FFF2-40B4-BE49-F238E27FC236}">
              <a16:creationId xmlns:a16="http://schemas.microsoft.com/office/drawing/2014/main" id="{2C5BBF8D-4A6E-40F5-8571-D8EE19993B80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341" name="Text Box 1">
          <a:extLst>
            <a:ext uri="{FF2B5EF4-FFF2-40B4-BE49-F238E27FC236}">
              <a16:creationId xmlns:a16="http://schemas.microsoft.com/office/drawing/2014/main" id="{907CA504-54F9-48E9-8BA7-1F3E08B5AFD2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342" name="Text Box 1">
          <a:extLst>
            <a:ext uri="{FF2B5EF4-FFF2-40B4-BE49-F238E27FC236}">
              <a16:creationId xmlns:a16="http://schemas.microsoft.com/office/drawing/2014/main" id="{3ED9999F-4B89-4987-BFE4-C06B90B608DC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343" name="Text Box 1">
          <a:extLst>
            <a:ext uri="{FF2B5EF4-FFF2-40B4-BE49-F238E27FC236}">
              <a16:creationId xmlns:a16="http://schemas.microsoft.com/office/drawing/2014/main" id="{68E89F32-FD15-4B8A-B7C6-D3F27683A93F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344" name="Text Box 1">
          <a:extLst>
            <a:ext uri="{FF2B5EF4-FFF2-40B4-BE49-F238E27FC236}">
              <a16:creationId xmlns:a16="http://schemas.microsoft.com/office/drawing/2014/main" id="{470C79CF-1AC8-487E-BAEE-94C5D248301D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345" name="Text Box 1">
          <a:extLst>
            <a:ext uri="{FF2B5EF4-FFF2-40B4-BE49-F238E27FC236}">
              <a16:creationId xmlns:a16="http://schemas.microsoft.com/office/drawing/2014/main" id="{3362353D-F0B8-4E72-98AD-CF7F0BEC135A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346" name="Text Box 1">
          <a:extLst>
            <a:ext uri="{FF2B5EF4-FFF2-40B4-BE49-F238E27FC236}">
              <a16:creationId xmlns:a16="http://schemas.microsoft.com/office/drawing/2014/main" id="{8F9732BB-2E13-487E-837B-CE6C6A6BF4EF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347" name="Text Box 1">
          <a:extLst>
            <a:ext uri="{FF2B5EF4-FFF2-40B4-BE49-F238E27FC236}">
              <a16:creationId xmlns:a16="http://schemas.microsoft.com/office/drawing/2014/main" id="{DC9D437D-AE09-4467-AD6C-5ECDD53599CA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348" name="Text Box 1">
          <a:extLst>
            <a:ext uri="{FF2B5EF4-FFF2-40B4-BE49-F238E27FC236}">
              <a16:creationId xmlns:a16="http://schemas.microsoft.com/office/drawing/2014/main" id="{41E73A5E-70E9-4D49-A05E-40F6AE464920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349" name="Text Box 1">
          <a:extLst>
            <a:ext uri="{FF2B5EF4-FFF2-40B4-BE49-F238E27FC236}">
              <a16:creationId xmlns:a16="http://schemas.microsoft.com/office/drawing/2014/main" id="{66930318-AFE1-40EC-9C8E-1FCA872AA57E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350" name="Text Box 1">
          <a:extLst>
            <a:ext uri="{FF2B5EF4-FFF2-40B4-BE49-F238E27FC236}">
              <a16:creationId xmlns:a16="http://schemas.microsoft.com/office/drawing/2014/main" id="{7B829DA9-0479-4288-A7A7-481460C37088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351" name="Text Box 1">
          <a:extLst>
            <a:ext uri="{FF2B5EF4-FFF2-40B4-BE49-F238E27FC236}">
              <a16:creationId xmlns:a16="http://schemas.microsoft.com/office/drawing/2014/main" id="{93072B5F-C01D-402A-B7CE-D77691AB0117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352" name="Text Box 1">
          <a:extLst>
            <a:ext uri="{FF2B5EF4-FFF2-40B4-BE49-F238E27FC236}">
              <a16:creationId xmlns:a16="http://schemas.microsoft.com/office/drawing/2014/main" id="{CF75C0E1-02C1-4A9B-9A2F-AC695CD35923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353" name="Text Box 1">
          <a:extLst>
            <a:ext uri="{FF2B5EF4-FFF2-40B4-BE49-F238E27FC236}">
              <a16:creationId xmlns:a16="http://schemas.microsoft.com/office/drawing/2014/main" id="{DF1D8920-AA07-475D-A333-4C670F838994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354" name="Text Box 1">
          <a:extLst>
            <a:ext uri="{FF2B5EF4-FFF2-40B4-BE49-F238E27FC236}">
              <a16:creationId xmlns:a16="http://schemas.microsoft.com/office/drawing/2014/main" id="{9C5AEB4E-D194-48F5-8600-97D838727A88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355" name="Text Box 1">
          <a:extLst>
            <a:ext uri="{FF2B5EF4-FFF2-40B4-BE49-F238E27FC236}">
              <a16:creationId xmlns:a16="http://schemas.microsoft.com/office/drawing/2014/main" id="{9F5A471C-8CFE-453F-8466-269C10BDA384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356" name="Text Box 1">
          <a:extLst>
            <a:ext uri="{FF2B5EF4-FFF2-40B4-BE49-F238E27FC236}">
              <a16:creationId xmlns:a16="http://schemas.microsoft.com/office/drawing/2014/main" id="{018D44E7-0804-410E-8E55-B95BA7080B00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357" name="Text Box 1">
          <a:extLst>
            <a:ext uri="{FF2B5EF4-FFF2-40B4-BE49-F238E27FC236}">
              <a16:creationId xmlns:a16="http://schemas.microsoft.com/office/drawing/2014/main" id="{01846444-3C22-4F0E-8BA2-47391E047D54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358" name="Text Box 1">
          <a:extLst>
            <a:ext uri="{FF2B5EF4-FFF2-40B4-BE49-F238E27FC236}">
              <a16:creationId xmlns:a16="http://schemas.microsoft.com/office/drawing/2014/main" id="{2B3FCF91-EF10-4DAD-BB5F-84A71DE87CFC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359" name="Text Box 1">
          <a:extLst>
            <a:ext uri="{FF2B5EF4-FFF2-40B4-BE49-F238E27FC236}">
              <a16:creationId xmlns:a16="http://schemas.microsoft.com/office/drawing/2014/main" id="{605E78B6-013D-4C9F-8D97-A0A689CE5C31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360" name="Text Box 1">
          <a:extLst>
            <a:ext uri="{FF2B5EF4-FFF2-40B4-BE49-F238E27FC236}">
              <a16:creationId xmlns:a16="http://schemas.microsoft.com/office/drawing/2014/main" id="{A0D52496-F260-463F-904B-BC44A492A6F0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361" name="Text Box 1">
          <a:extLst>
            <a:ext uri="{FF2B5EF4-FFF2-40B4-BE49-F238E27FC236}">
              <a16:creationId xmlns:a16="http://schemas.microsoft.com/office/drawing/2014/main" id="{A830AEE5-4E16-4973-8AEE-53EB5BDBD750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362" name="Text Box 1">
          <a:extLst>
            <a:ext uri="{FF2B5EF4-FFF2-40B4-BE49-F238E27FC236}">
              <a16:creationId xmlns:a16="http://schemas.microsoft.com/office/drawing/2014/main" id="{5C5CE25C-B886-43B2-9285-17380EF677CD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363" name="Text Box 1">
          <a:extLst>
            <a:ext uri="{FF2B5EF4-FFF2-40B4-BE49-F238E27FC236}">
              <a16:creationId xmlns:a16="http://schemas.microsoft.com/office/drawing/2014/main" id="{443B7961-2C8C-4848-890F-10B9892E2F26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364" name="Text Box 1">
          <a:extLst>
            <a:ext uri="{FF2B5EF4-FFF2-40B4-BE49-F238E27FC236}">
              <a16:creationId xmlns:a16="http://schemas.microsoft.com/office/drawing/2014/main" id="{626DD398-5BF3-48B9-BADD-2564BB4A773B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365" name="Text Box 1">
          <a:extLst>
            <a:ext uri="{FF2B5EF4-FFF2-40B4-BE49-F238E27FC236}">
              <a16:creationId xmlns:a16="http://schemas.microsoft.com/office/drawing/2014/main" id="{389BA8A8-F79F-4AD9-9472-E7D528CCBAA7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366" name="Text Box 1">
          <a:extLst>
            <a:ext uri="{FF2B5EF4-FFF2-40B4-BE49-F238E27FC236}">
              <a16:creationId xmlns:a16="http://schemas.microsoft.com/office/drawing/2014/main" id="{3631075D-C14C-4C20-8513-36FFEBC4AAF2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367" name="Text Box 1">
          <a:extLst>
            <a:ext uri="{FF2B5EF4-FFF2-40B4-BE49-F238E27FC236}">
              <a16:creationId xmlns:a16="http://schemas.microsoft.com/office/drawing/2014/main" id="{2F18C064-3C01-46A7-86CB-0F12F5A2235F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368" name="Text Box 1">
          <a:extLst>
            <a:ext uri="{FF2B5EF4-FFF2-40B4-BE49-F238E27FC236}">
              <a16:creationId xmlns:a16="http://schemas.microsoft.com/office/drawing/2014/main" id="{75D7F8C2-1097-4AC8-B172-B115296DA7E7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369" name="Text Box 1">
          <a:extLst>
            <a:ext uri="{FF2B5EF4-FFF2-40B4-BE49-F238E27FC236}">
              <a16:creationId xmlns:a16="http://schemas.microsoft.com/office/drawing/2014/main" id="{A6EA571B-95D0-487C-96B3-1E34ACBD3886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370" name="Text Box 1">
          <a:extLst>
            <a:ext uri="{FF2B5EF4-FFF2-40B4-BE49-F238E27FC236}">
              <a16:creationId xmlns:a16="http://schemas.microsoft.com/office/drawing/2014/main" id="{4E0E8777-3C19-422B-B5F6-EF6852E1B54F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371" name="Text Box 1">
          <a:extLst>
            <a:ext uri="{FF2B5EF4-FFF2-40B4-BE49-F238E27FC236}">
              <a16:creationId xmlns:a16="http://schemas.microsoft.com/office/drawing/2014/main" id="{41F36454-77EF-4B4A-BEF6-56EA7F4B415E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372" name="Text Box 1">
          <a:extLst>
            <a:ext uri="{FF2B5EF4-FFF2-40B4-BE49-F238E27FC236}">
              <a16:creationId xmlns:a16="http://schemas.microsoft.com/office/drawing/2014/main" id="{E1941935-B6A6-4E68-9135-FCEA5D2B6B65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373" name="Text Box 1">
          <a:extLst>
            <a:ext uri="{FF2B5EF4-FFF2-40B4-BE49-F238E27FC236}">
              <a16:creationId xmlns:a16="http://schemas.microsoft.com/office/drawing/2014/main" id="{96AAF990-6B29-409B-9F70-E0C8AD19568B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374" name="Text Box 1">
          <a:extLst>
            <a:ext uri="{FF2B5EF4-FFF2-40B4-BE49-F238E27FC236}">
              <a16:creationId xmlns:a16="http://schemas.microsoft.com/office/drawing/2014/main" id="{A37CDB0B-0672-42E5-9931-47CD1FEFCE80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375" name="Text Box 1">
          <a:extLst>
            <a:ext uri="{FF2B5EF4-FFF2-40B4-BE49-F238E27FC236}">
              <a16:creationId xmlns:a16="http://schemas.microsoft.com/office/drawing/2014/main" id="{B2E897E4-EDFD-4F2F-B8E1-014043E675F1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376" name="Text Box 1">
          <a:extLst>
            <a:ext uri="{FF2B5EF4-FFF2-40B4-BE49-F238E27FC236}">
              <a16:creationId xmlns:a16="http://schemas.microsoft.com/office/drawing/2014/main" id="{DF515E59-81D1-4EFA-AA90-719EE974EB49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377" name="Text Box 1">
          <a:extLst>
            <a:ext uri="{FF2B5EF4-FFF2-40B4-BE49-F238E27FC236}">
              <a16:creationId xmlns:a16="http://schemas.microsoft.com/office/drawing/2014/main" id="{7EDD5DB9-0165-4C8E-82CC-908418AE4673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378" name="Text Box 1">
          <a:extLst>
            <a:ext uri="{FF2B5EF4-FFF2-40B4-BE49-F238E27FC236}">
              <a16:creationId xmlns:a16="http://schemas.microsoft.com/office/drawing/2014/main" id="{457CD6D4-3797-4919-AA69-A2F018B93B3D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379" name="Text Box 1">
          <a:extLst>
            <a:ext uri="{FF2B5EF4-FFF2-40B4-BE49-F238E27FC236}">
              <a16:creationId xmlns:a16="http://schemas.microsoft.com/office/drawing/2014/main" id="{DBC14676-0A3C-4076-B6DF-DCA99A01FF19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380" name="Text Box 1">
          <a:extLst>
            <a:ext uri="{FF2B5EF4-FFF2-40B4-BE49-F238E27FC236}">
              <a16:creationId xmlns:a16="http://schemas.microsoft.com/office/drawing/2014/main" id="{75F1704A-F3F6-4081-890F-519FC55AB420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381" name="Text Box 1">
          <a:extLst>
            <a:ext uri="{FF2B5EF4-FFF2-40B4-BE49-F238E27FC236}">
              <a16:creationId xmlns:a16="http://schemas.microsoft.com/office/drawing/2014/main" id="{522E6C0C-8722-405C-BE40-325A2C4EADA6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382" name="Text Box 1">
          <a:extLst>
            <a:ext uri="{FF2B5EF4-FFF2-40B4-BE49-F238E27FC236}">
              <a16:creationId xmlns:a16="http://schemas.microsoft.com/office/drawing/2014/main" id="{51A974C8-1770-4B1A-BACB-C83D70A9A604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383" name="Text Box 1">
          <a:extLst>
            <a:ext uri="{FF2B5EF4-FFF2-40B4-BE49-F238E27FC236}">
              <a16:creationId xmlns:a16="http://schemas.microsoft.com/office/drawing/2014/main" id="{6BD7A3B5-63DE-4FD0-BE51-B68C44E99E45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384" name="Text Box 1">
          <a:extLst>
            <a:ext uri="{FF2B5EF4-FFF2-40B4-BE49-F238E27FC236}">
              <a16:creationId xmlns:a16="http://schemas.microsoft.com/office/drawing/2014/main" id="{9F28AD21-AE97-48CE-8B2C-B687600D089B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385" name="Text Box 1">
          <a:extLst>
            <a:ext uri="{FF2B5EF4-FFF2-40B4-BE49-F238E27FC236}">
              <a16:creationId xmlns:a16="http://schemas.microsoft.com/office/drawing/2014/main" id="{5CC01591-E064-4043-BB6E-50F09D0850A1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386" name="Text Box 1">
          <a:extLst>
            <a:ext uri="{FF2B5EF4-FFF2-40B4-BE49-F238E27FC236}">
              <a16:creationId xmlns:a16="http://schemas.microsoft.com/office/drawing/2014/main" id="{AACDA814-E533-49B4-80F6-98DD56AF11F2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387" name="Text Box 1">
          <a:extLst>
            <a:ext uri="{FF2B5EF4-FFF2-40B4-BE49-F238E27FC236}">
              <a16:creationId xmlns:a16="http://schemas.microsoft.com/office/drawing/2014/main" id="{8898906E-197C-4D76-AEC8-D15A98A59C06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388" name="Text Box 1">
          <a:extLst>
            <a:ext uri="{FF2B5EF4-FFF2-40B4-BE49-F238E27FC236}">
              <a16:creationId xmlns:a16="http://schemas.microsoft.com/office/drawing/2014/main" id="{BA5F6CA7-F7B6-42AC-892F-947DE59A22AE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389" name="Text Box 1">
          <a:extLst>
            <a:ext uri="{FF2B5EF4-FFF2-40B4-BE49-F238E27FC236}">
              <a16:creationId xmlns:a16="http://schemas.microsoft.com/office/drawing/2014/main" id="{E2E2B184-AC24-4434-A1C2-2280BB2D3B0F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390" name="Text Box 1">
          <a:extLst>
            <a:ext uri="{FF2B5EF4-FFF2-40B4-BE49-F238E27FC236}">
              <a16:creationId xmlns:a16="http://schemas.microsoft.com/office/drawing/2014/main" id="{61B16808-A82A-4463-981C-1B5E8A332A8E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391" name="Text Box 1">
          <a:extLst>
            <a:ext uri="{FF2B5EF4-FFF2-40B4-BE49-F238E27FC236}">
              <a16:creationId xmlns:a16="http://schemas.microsoft.com/office/drawing/2014/main" id="{338A609E-901C-440A-AB6B-ACA5621189F6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392" name="Text Box 1">
          <a:extLst>
            <a:ext uri="{FF2B5EF4-FFF2-40B4-BE49-F238E27FC236}">
              <a16:creationId xmlns:a16="http://schemas.microsoft.com/office/drawing/2014/main" id="{CA5514F0-9231-4373-9CC2-E88B8CADD392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393" name="Text Box 1">
          <a:extLst>
            <a:ext uri="{FF2B5EF4-FFF2-40B4-BE49-F238E27FC236}">
              <a16:creationId xmlns:a16="http://schemas.microsoft.com/office/drawing/2014/main" id="{1114D363-2045-41C6-BDFA-57CBF2536991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394" name="Text Box 1">
          <a:extLst>
            <a:ext uri="{FF2B5EF4-FFF2-40B4-BE49-F238E27FC236}">
              <a16:creationId xmlns:a16="http://schemas.microsoft.com/office/drawing/2014/main" id="{BCAEBABB-E967-447F-86E4-B94524B55D1D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395" name="Text Box 1">
          <a:extLst>
            <a:ext uri="{FF2B5EF4-FFF2-40B4-BE49-F238E27FC236}">
              <a16:creationId xmlns:a16="http://schemas.microsoft.com/office/drawing/2014/main" id="{397FE97F-38B6-4D7F-967D-79D542B69783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396" name="Text Box 1">
          <a:extLst>
            <a:ext uri="{FF2B5EF4-FFF2-40B4-BE49-F238E27FC236}">
              <a16:creationId xmlns:a16="http://schemas.microsoft.com/office/drawing/2014/main" id="{FE054B08-D197-4E46-A1A6-3E6C7CDD2423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397" name="Text Box 1">
          <a:extLst>
            <a:ext uri="{FF2B5EF4-FFF2-40B4-BE49-F238E27FC236}">
              <a16:creationId xmlns:a16="http://schemas.microsoft.com/office/drawing/2014/main" id="{5660C488-E96A-498F-A460-B83652476FDB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398" name="Text Box 1">
          <a:extLst>
            <a:ext uri="{FF2B5EF4-FFF2-40B4-BE49-F238E27FC236}">
              <a16:creationId xmlns:a16="http://schemas.microsoft.com/office/drawing/2014/main" id="{9151FE3C-11E1-4C47-B878-D2112BC67F58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399" name="Text Box 1">
          <a:extLst>
            <a:ext uri="{FF2B5EF4-FFF2-40B4-BE49-F238E27FC236}">
              <a16:creationId xmlns:a16="http://schemas.microsoft.com/office/drawing/2014/main" id="{B60A3E07-E167-4179-8CE0-AE13FAD07078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400" name="Text Box 1">
          <a:extLst>
            <a:ext uri="{FF2B5EF4-FFF2-40B4-BE49-F238E27FC236}">
              <a16:creationId xmlns:a16="http://schemas.microsoft.com/office/drawing/2014/main" id="{8895071B-FD10-4E3C-8AA2-9C482F6F3715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401" name="Text Box 1">
          <a:extLst>
            <a:ext uri="{FF2B5EF4-FFF2-40B4-BE49-F238E27FC236}">
              <a16:creationId xmlns:a16="http://schemas.microsoft.com/office/drawing/2014/main" id="{673B85DD-8413-401A-9379-28682C1D382D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402" name="Text Box 1">
          <a:extLst>
            <a:ext uri="{FF2B5EF4-FFF2-40B4-BE49-F238E27FC236}">
              <a16:creationId xmlns:a16="http://schemas.microsoft.com/office/drawing/2014/main" id="{426019FB-A7AB-4E38-B740-A2758C0F2F7B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403" name="Text Box 1">
          <a:extLst>
            <a:ext uri="{FF2B5EF4-FFF2-40B4-BE49-F238E27FC236}">
              <a16:creationId xmlns:a16="http://schemas.microsoft.com/office/drawing/2014/main" id="{802FD78A-8C25-47C5-B3E2-DA0B27F57984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404" name="Text Box 1">
          <a:extLst>
            <a:ext uri="{FF2B5EF4-FFF2-40B4-BE49-F238E27FC236}">
              <a16:creationId xmlns:a16="http://schemas.microsoft.com/office/drawing/2014/main" id="{43CD6FB0-3AA4-47FB-8E0D-2F5E0EE832E8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405" name="Text Box 1">
          <a:extLst>
            <a:ext uri="{FF2B5EF4-FFF2-40B4-BE49-F238E27FC236}">
              <a16:creationId xmlns:a16="http://schemas.microsoft.com/office/drawing/2014/main" id="{5B618F4A-04B8-4870-92A8-56135D487D66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406" name="Text Box 1">
          <a:extLst>
            <a:ext uri="{FF2B5EF4-FFF2-40B4-BE49-F238E27FC236}">
              <a16:creationId xmlns:a16="http://schemas.microsoft.com/office/drawing/2014/main" id="{246BC751-CA1E-4E0C-92D7-FDB9C3E54297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407" name="Text Box 1">
          <a:extLst>
            <a:ext uri="{FF2B5EF4-FFF2-40B4-BE49-F238E27FC236}">
              <a16:creationId xmlns:a16="http://schemas.microsoft.com/office/drawing/2014/main" id="{59D60599-4D44-49AD-B551-B5B8EAE2CC0A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408" name="Text Box 1">
          <a:extLst>
            <a:ext uri="{FF2B5EF4-FFF2-40B4-BE49-F238E27FC236}">
              <a16:creationId xmlns:a16="http://schemas.microsoft.com/office/drawing/2014/main" id="{2821F271-DBFE-41C4-987B-2A2FFEC305E0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409" name="Text Box 1">
          <a:extLst>
            <a:ext uri="{FF2B5EF4-FFF2-40B4-BE49-F238E27FC236}">
              <a16:creationId xmlns:a16="http://schemas.microsoft.com/office/drawing/2014/main" id="{D1396FA9-2B32-4C24-BEF0-BFE0E87BD4E6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410" name="Text Box 1">
          <a:extLst>
            <a:ext uri="{FF2B5EF4-FFF2-40B4-BE49-F238E27FC236}">
              <a16:creationId xmlns:a16="http://schemas.microsoft.com/office/drawing/2014/main" id="{027FD555-338E-4692-8268-8F12E90D46E4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411" name="Text Box 1">
          <a:extLst>
            <a:ext uri="{FF2B5EF4-FFF2-40B4-BE49-F238E27FC236}">
              <a16:creationId xmlns:a16="http://schemas.microsoft.com/office/drawing/2014/main" id="{01A2A823-2384-4A7E-AE7C-8CBF868745B3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412" name="Text Box 1">
          <a:extLst>
            <a:ext uri="{FF2B5EF4-FFF2-40B4-BE49-F238E27FC236}">
              <a16:creationId xmlns:a16="http://schemas.microsoft.com/office/drawing/2014/main" id="{F48B521A-73C8-4A8D-95F3-262AE28E0562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413" name="Text Box 1">
          <a:extLst>
            <a:ext uri="{FF2B5EF4-FFF2-40B4-BE49-F238E27FC236}">
              <a16:creationId xmlns:a16="http://schemas.microsoft.com/office/drawing/2014/main" id="{7061573F-C538-432A-B068-97D88AD57C15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414" name="Text Box 1">
          <a:extLst>
            <a:ext uri="{FF2B5EF4-FFF2-40B4-BE49-F238E27FC236}">
              <a16:creationId xmlns:a16="http://schemas.microsoft.com/office/drawing/2014/main" id="{AF2B01AF-A249-40CE-ADFD-CF907AD3CB6F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415" name="Text Box 1">
          <a:extLst>
            <a:ext uri="{FF2B5EF4-FFF2-40B4-BE49-F238E27FC236}">
              <a16:creationId xmlns:a16="http://schemas.microsoft.com/office/drawing/2014/main" id="{4C2A0F62-95B7-4560-AC83-8A127338810E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416" name="Text Box 1">
          <a:extLst>
            <a:ext uri="{FF2B5EF4-FFF2-40B4-BE49-F238E27FC236}">
              <a16:creationId xmlns:a16="http://schemas.microsoft.com/office/drawing/2014/main" id="{702FDB12-C2B2-467F-B027-2270D2D660A1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417" name="Text Box 1">
          <a:extLst>
            <a:ext uri="{FF2B5EF4-FFF2-40B4-BE49-F238E27FC236}">
              <a16:creationId xmlns:a16="http://schemas.microsoft.com/office/drawing/2014/main" id="{171E7046-F54E-48BF-B02E-6C744DA1D802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418" name="Text Box 1">
          <a:extLst>
            <a:ext uri="{FF2B5EF4-FFF2-40B4-BE49-F238E27FC236}">
              <a16:creationId xmlns:a16="http://schemas.microsoft.com/office/drawing/2014/main" id="{A6963FDD-9F13-48F5-A0BF-D1A4E17836E6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419" name="Text Box 1">
          <a:extLst>
            <a:ext uri="{FF2B5EF4-FFF2-40B4-BE49-F238E27FC236}">
              <a16:creationId xmlns:a16="http://schemas.microsoft.com/office/drawing/2014/main" id="{289E925D-EBDC-437C-9387-DCF9B66F79A6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420" name="Text Box 1">
          <a:extLst>
            <a:ext uri="{FF2B5EF4-FFF2-40B4-BE49-F238E27FC236}">
              <a16:creationId xmlns:a16="http://schemas.microsoft.com/office/drawing/2014/main" id="{9A35F3FD-B6AD-4D00-8D8A-0DBA43AA5B99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421" name="Text Box 1">
          <a:extLst>
            <a:ext uri="{FF2B5EF4-FFF2-40B4-BE49-F238E27FC236}">
              <a16:creationId xmlns:a16="http://schemas.microsoft.com/office/drawing/2014/main" id="{D79405EA-43FA-4D62-9F7F-DA6A27E2858E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422" name="Text Box 1">
          <a:extLst>
            <a:ext uri="{FF2B5EF4-FFF2-40B4-BE49-F238E27FC236}">
              <a16:creationId xmlns:a16="http://schemas.microsoft.com/office/drawing/2014/main" id="{55E0BE43-1B4A-43DE-9F74-A589D23B739D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423" name="Text Box 1">
          <a:extLst>
            <a:ext uri="{FF2B5EF4-FFF2-40B4-BE49-F238E27FC236}">
              <a16:creationId xmlns:a16="http://schemas.microsoft.com/office/drawing/2014/main" id="{18FD8A21-81AE-4604-B129-A7949E061398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424" name="Text Box 1">
          <a:extLst>
            <a:ext uri="{FF2B5EF4-FFF2-40B4-BE49-F238E27FC236}">
              <a16:creationId xmlns:a16="http://schemas.microsoft.com/office/drawing/2014/main" id="{1C0110BC-BF70-45FD-8848-B1FFCCC29B3E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425" name="Text Box 1">
          <a:extLst>
            <a:ext uri="{FF2B5EF4-FFF2-40B4-BE49-F238E27FC236}">
              <a16:creationId xmlns:a16="http://schemas.microsoft.com/office/drawing/2014/main" id="{C6AE119F-C8AC-4299-A571-C4EE4A95C65A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426" name="Text Box 1">
          <a:extLst>
            <a:ext uri="{FF2B5EF4-FFF2-40B4-BE49-F238E27FC236}">
              <a16:creationId xmlns:a16="http://schemas.microsoft.com/office/drawing/2014/main" id="{ED2A2A1B-90E8-4563-A071-442C4931EF10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427" name="Text Box 1">
          <a:extLst>
            <a:ext uri="{FF2B5EF4-FFF2-40B4-BE49-F238E27FC236}">
              <a16:creationId xmlns:a16="http://schemas.microsoft.com/office/drawing/2014/main" id="{6E20D6C1-E689-4DF4-A891-ADDC733B62D9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428" name="Text Box 1">
          <a:extLst>
            <a:ext uri="{FF2B5EF4-FFF2-40B4-BE49-F238E27FC236}">
              <a16:creationId xmlns:a16="http://schemas.microsoft.com/office/drawing/2014/main" id="{0E26ECCE-E703-4DDF-B55A-6E10D26EC58D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429" name="Text Box 1">
          <a:extLst>
            <a:ext uri="{FF2B5EF4-FFF2-40B4-BE49-F238E27FC236}">
              <a16:creationId xmlns:a16="http://schemas.microsoft.com/office/drawing/2014/main" id="{C366D3AA-22C5-485B-9DF4-A6ACF9BFFDFD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430" name="Text Box 1">
          <a:extLst>
            <a:ext uri="{FF2B5EF4-FFF2-40B4-BE49-F238E27FC236}">
              <a16:creationId xmlns:a16="http://schemas.microsoft.com/office/drawing/2014/main" id="{88ABDD64-2BD7-4EA1-9373-01C940C1935C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431" name="Text Box 1">
          <a:extLst>
            <a:ext uri="{FF2B5EF4-FFF2-40B4-BE49-F238E27FC236}">
              <a16:creationId xmlns:a16="http://schemas.microsoft.com/office/drawing/2014/main" id="{94417A5D-80F4-4705-9C39-53EF7F2DFED3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432" name="Text Box 1">
          <a:extLst>
            <a:ext uri="{FF2B5EF4-FFF2-40B4-BE49-F238E27FC236}">
              <a16:creationId xmlns:a16="http://schemas.microsoft.com/office/drawing/2014/main" id="{FB834734-3CA3-4F44-967B-E8348E7F6831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433" name="Text Box 1">
          <a:extLst>
            <a:ext uri="{FF2B5EF4-FFF2-40B4-BE49-F238E27FC236}">
              <a16:creationId xmlns:a16="http://schemas.microsoft.com/office/drawing/2014/main" id="{3536B3DD-65F0-4D4E-838E-855DE84E3AD6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434" name="Text Box 1">
          <a:extLst>
            <a:ext uri="{FF2B5EF4-FFF2-40B4-BE49-F238E27FC236}">
              <a16:creationId xmlns:a16="http://schemas.microsoft.com/office/drawing/2014/main" id="{6D3B4DFD-FCE4-4686-9337-82F0F4CE724F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435" name="Text Box 1">
          <a:extLst>
            <a:ext uri="{FF2B5EF4-FFF2-40B4-BE49-F238E27FC236}">
              <a16:creationId xmlns:a16="http://schemas.microsoft.com/office/drawing/2014/main" id="{B0EBF174-26A6-49A5-AF2E-AB4FAF2AFB54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436" name="Text Box 1">
          <a:extLst>
            <a:ext uri="{FF2B5EF4-FFF2-40B4-BE49-F238E27FC236}">
              <a16:creationId xmlns:a16="http://schemas.microsoft.com/office/drawing/2014/main" id="{8DA1B442-279A-457D-B717-FB031103A02D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437" name="Text Box 1">
          <a:extLst>
            <a:ext uri="{FF2B5EF4-FFF2-40B4-BE49-F238E27FC236}">
              <a16:creationId xmlns:a16="http://schemas.microsoft.com/office/drawing/2014/main" id="{6D0D8206-E928-4B04-9F14-E6B82684A71D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438" name="Text Box 1">
          <a:extLst>
            <a:ext uri="{FF2B5EF4-FFF2-40B4-BE49-F238E27FC236}">
              <a16:creationId xmlns:a16="http://schemas.microsoft.com/office/drawing/2014/main" id="{254D4467-3326-4426-9406-330C33F50644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439" name="Text Box 1">
          <a:extLst>
            <a:ext uri="{FF2B5EF4-FFF2-40B4-BE49-F238E27FC236}">
              <a16:creationId xmlns:a16="http://schemas.microsoft.com/office/drawing/2014/main" id="{317F4BB4-F8AB-4961-934E-8A6CD5063F31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440" name="Text Box 1">
          <a:extLst>
            <a:ext uri="{FF2B5EF4-FFF2-40B4-BE49-F238E27FC236}">
              <a16:creationId xmlns:a16="http://schemas.microsoft.com/office/drawing/2014/main" id="{E5170488-9965-4D71-98C3-3104EC260176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441" name="Text Box 1">
          <a:extLst>
            <a:ext uri="{FF2B5EF4-FFF2-40B4-BE49-F238E27FC236}">
              <a16:creationId xmlns:a16="http://schemas.microsoft.com/office/drawing/2014/main" id="{C51FE73D-1B31-41EC-85A3-AA92BC2C18C1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442" name="Text Box 1">
          <a:extLst>
            <a:ext uri="{FF2B5EF4-FFF2-40B4-BE49-F238E27FC236}">
              <a16:creationId xmlns:a16="http://schemas.microsoft.com/office/drawing/2014/main" id="{DCE0166F-16F9-40E5-A67D-4A5992D58901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443" name="Text Box 1">
          <a:extLst>
            <a:ext uri="{FF2B5EF4-FFF2-40B4-BE49-F238E27FC236}">
              <a16:creationId xmlns:a16="http://schemas.microsoft.com/office/drawing/2014/main" id="{A34A5B38-97A0-4098-AF26-1A349F2484EA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444" name="Text Box 1">
          <a:extLst>
            <a:ext uri="{FF2B5EF4-FFF2-40B4-BE49-F238E27FC236}">
              <a16:creationId xmlns:a16="http://schemas.microsoft.com/office/drawing/2014/main" id="{4D9420BA-C4AD-4B0C-AFEB-390FDF2A1B19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445" name="Text Box 1">
          <a:extLst>
            <a:ext uri="{FF2B5EF4-FFF2-40B4-BE49-F238E27FC236}">
              <a16:creationId xmlns:a16="http://schemas.microsoft.com/office/drawing/2014/main" id="{305F61EC-3A17-4127-943A-3BD20D6B7556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446" name="Text Box 1">
          <a:extLst>
            <a:ext uri="{FF2B5EF4-FFF2-40B4-BE49-F238E27FC236}">
              <a16:creationId xmlns:a16="http://schemas.microsoft.com/office/drawing/2014/main" id="{7647D1FB-AF1A-4E77-95EA-20F6AD2748A6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447" name="Text Box 1">
          <a:extLst>
            <a:ext uri="{FF2B5EF4-FFF2-40B4-BE49-F238E27FC236}">
              <a16:creationId xmlns:a16="http://schemas.microsoft.com/office/drawing/2014/main" id="{675983C0-19BC-4998-BFB8-7F6F54FCEAE3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448" name="Text Box 1">
          <a:extLst>
            <a:ext uri="{FF2B5EF4-FFF2-40B4-BE49-F238E27FC236}">
              <a16:creationId xmlns:a16="http://schemas.microsoft.com/office/drawing/2014/main" id="{CBCEB66C-A52D-4832-8950-833C0C33E680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449" name="Text Box 1">
          <a:extLst>
            <a:ext uri="{FF2B5EF4-FFF2-40B4-BE49-F238E27FC236}">
              <a16:creationId xmlns:a16="http://schemas.microsoft.com/office/drawing/2014/main" id="{01088384-77C7-4751-869A-CFB3A21F29DD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450" name="Text Box 1">
          <a:extLst>
            <a:ext uri="{FF2B5EF4-FFF2-40B4-BE49-F238E27FC236}">
              <a16:creationId xmlns:a16="http://schemas.microsoft.com/office/drawing/2014/main" id="{72B7240B-51A0-4237-94B4-40DAE3E02C5F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451" name="Text Box 1">
          <a:extLst>
            <a:ext uri="{FF2B5EF4-FFF2-40B4-BE49-F238E27FC236}">
              <a16:creationId xmlns:a16="http://schemas.microsoft.com/office/drawing/2014/main" id="{BE2AED77-03FA-4C31-B8F3-96AA6FA58607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452" name="Text Box 1">
          <a:extLst>
            <a:ext uri="{FF2B5EF4-FFF2-40B4-BE49-F238E27FC236}">
              <a16:creationId xmlns:a16="http://schemas.microsoft.com/office/drawing/2014/main" id="{62EE48AC-6B4B-4B63-B38B-79F7B84B24BD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453" name="Text Box 1">
          <a:extLst>
            <a:ext uri="{FF2B5EF4-FFF2-40B4-BE49-F238E27FC236}">
              <a16:creationId xmlns:a16="http://schemas.microsoft.com/office/drawing/2014/main" id="{FC681AFC-E558-4EDA-B8DB-A01D19D59B35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454" name="Text Box 1">
          <a:extLst>
            <a:ext uri="{FF2B5EF4-FFF2-40B4-BE49-F238E27FC236}">
              <a16:creationId xmlns:a16="http://schemas.microsoft.com/office/drawing/2014/main" id="{5BA68234-75AD-4D2F-B59C-D8957D12EF2B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455" name="Text Box 1">
          <a:extLst>
            <a:ext uri="{FF2B5EF4-FFF2-40B4-BE49-F238E27FC236}">
              <a16:creationId xmlns:a16="http://schemas.microsoft.com/office/drawing/2014/main" id="{CEBDA8EC-3926-43E7-9CD9-8288A67B1586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456" name="Text Box 1">
          <a:extLst>
            <a:ext uri="{FF2B5EF4-FFF2-40B4-BE49-F238E27FC236}">
              <a16:creationId xmlns:a16="http://schemas.microsoft.com/office/drawing/2014/main" id="{05D0CD5D-7FB7-49DC-BC78-DF1044DF4DE0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457" name="Text Box 1">
          <a:extLst>
            <a:ext uri="{FF2B5EF4-FFF2-40B4-BE49-F238E27FC236}">
              <a16:creationId xmlns:a16="http://schemas.microsoft.com/office/drawing/2014/main" id="{A9F820D4-E3A5-4791-A67A-67C3C1D37789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458" name="Text Box 1">
          <a:extLst>
            <a:ext uri="{FF2B5EF4-FFF2-40B4-BE49-F238E27FC236}">
              <a16:creationId xmlns:a16="http://schemas.microsoft.com/office/drawing/2014/main" id="{1F8DC8D3-76D1-4A06-9EB1-9430FCC58F31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459" name="Text Box 1">
          <a:extLst>
            <a:ext uri="{FF2B5EF4-FFF2-40B4-BE49-F238E27FC236}">
              <a16:creationId xmlns:a16="http://schemas.microsoft.com/office/drawing/2014/main" id="{A908CF5A-BA3C-4D88-98DF-3E173D9CFAC1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460" name="Text Box 1">
          <a:extLst>
            <a:ext uri="{FF2B5EF4-FFF2-40B4-BE49-F238E27FC236}">
              <a16:creationId xmlns:a16="http://schemas.microsoft.com/office/drawing/2014/main" id="{E3A0E747-4038-4005-A87C-D5C40D1E9F2A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461" name="Text Box 1">
          <a:extLst>
            <a:ext uri="{FF2B5EF4-FFF2-40B4-BE49-F238E27FC236}">
              <a16:creationId xmlns:a16="http://schemas.microsoft.com/office/drawing/2014/main" id="{B972F827-0905-4FE3-BD02-D6417E789201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462" name="Text Box 1">
          <a:extLst>
            <a:ext uri="{FF2B5EF4-FFF2-40B4-BE49-F238E27FC236}">
              <a16:creationId xmlns:a16="http://schemas.microsoft.com/office/drawing/2014/main" id="{75B20D9A-A8FD-455F-AEBF-2255508D99AE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463" name="Text Box 1">
          <a:extLst>
            <a:ext uri="{FF2B5EF4-FFF2-40B4-BE49-F238E27FC236}">
              <a16:creationId xmlns:a16="http://schemas.microsoft.com/office/drawing/2014/main" id="{44718A71-D680-48F9-8979-867D51EFDF0F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464" name="Text Box 1">
          <a:extLst>
            <a:ext uri="{FF2B5EF4-FFF2-40B4-BE49-F238E27FC236}">
              <a16:creationId xmlns:a16="http://schemas.microsoft.com/office/drawing/2014/main" id="{3AECE458-5330-4B08-8EF7-6D6E9E09F66A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465" name="Text Box 1">
          <a:extLst>
            <a:ext uri="{FF2B5EF4-FFF2-40B4-BE49-F238E27FC236}">
              <a16:creationId xmlns:a16="http://schemas.microsoft.com/office/drawing/2014/main" id="{772468A7-A3A4-4572-8834-36A023E5BFD7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466" name="Text Box 1">
          <a:extLst>
            <a:ext uri="{FF2B5EF4-FFF2-40B4-BE49-F238E27FC236}">
              <a16:creationId xmlns:a16="http://schemas.microsoft.com/office/drawing/2014/main" id="{3CD279E3-D5BC-429A-B9C0-2A92DBB2BA87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467" name="Text Box 1">
          <a:extLst>
            <a:ext uri="{FF2B5EF4-FFF2-40B4-BE49-F238E27FC236}">
              <a16:creationId xmlns:a16="http://schemas.microsoft.com/office/drawing/2014/main" id="{2B44A18F-DC0F-4306-84DE-1FDE90398FBF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468" name="Text Box 1">
          <a:extLst>
            <a:ext uri="{FF2B5EF4-FFF2-40B4-BE49-F238E27FC236}">
              <a16:creationId xmlns:a16="http://schemas.microsoft.com/office/drawing/2014/main" id="{203F0BE4-C580-4069-8ADB-BF048D6983B3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469" name="Text Box 1">
          <a:extLst>
            <a:ext uri="{FF2B5EF4-FFF2-40B4-BE49-F238E27FC236}">
              <a16:creationId xmlns:a16="http://schemas.microsoft.com/office/drawing/2014/main" id="{29F21344-8EBD-408D-B46A-0F2F92381E07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470" name="Text Box 1">
          <a:extLst>
            <a:ext uri="{FF2B5EF4-FFF2-40B4-BE49-F238E27FC236}">
              <a16:creationId xmlns:a16="http://schemas.microsoft.com/office/drawing/2014/main" id="{925D00DD-03D2-4B89-A8F4-412F02D31306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471" name="Text Box 1">
          <a:extLst>
            <a:ext uri="{FF2B5EF4-FFF2-40B4-BE49-F238E27FC236}">
              <a16:creationId xmlns:a16="http://schemas.microsoft.com/office/drawing/2014/main" id="{EB80CAFF-03D0-40F1-A6E8-9F78CECDDDC2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472" name="Text Box 1">
          <a:extLst>
            <a:ext uri="{FF2B5EF4-FFF2-40B4-BE49-F238E27FC236}">
              <a16:creationId xmlns:a16="http://schemas.microsoft.com/office/drawing/2014/main" id="{B965082D-CFDA-4A93-9577-BAD8D4311114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473" name="Text Box 1">
          <a:extLst>
            <a:ext uri="{FF2B5EF4-FFF2-40B4-BE49-F238E27FC236}">
              <a16:creationId xmlns:a16="http://schemas.microsoft.com/office/drawing/2014/main" id="{5F0C4092-E27E-4163-A83F-8B6668FDE451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474" name="Text Box 1">
          <a:extLst>
            <a:ext uri="{FF2B5EF4-FFF2-40B4-BE49-F238E27FC236}">
              <a16:creationId xmlns:a16="http://schemas.microsoft.com/office/drawing/2014/main" id="{07F39DDB-D98D-4F8C-BF7F-BF442121AC78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475" name="Text Box 1">
          <a:extLst>
            <a:ext uri="{FF2B5EF4-FFF2-40B4-BE49-F238E27FC236}">
              <a16:creationId xmlns:a16="http://schemas.microsoft.com/office/drawing/2014/main" id="{DDACCA71-5B96-4DA7-BCF5-BDAB86EF5191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476" name="Text Box 1">
          <a:extLst>
            <a:ext uri="{FF2B5EF4-FFF2-40B4-BE49-F238E27FC236}">
              <a16:creationId xmlns:a16="http://schemas.microsoft.com/office/drawing/2014/main" id="{E3C169B2-7A8A-4672-AAAB-7DA36E142419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477" name="Text Box 1">
          <a:extLst>
            <a:ext uri="{FF2B5EF4-FFF2-40B4-BE49-F238E27FC236}">
              <a16:creationId xmlns:a16="http://schemas.microsoft.com/office/drawing/2014/main" id="{E550F3A5-8574-4581-A6EC-7775B3EF1C6B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478" name="Text Box 1">
          <a:extLst>
            <a:ext uri="{FF2B5EF4-FFF2-40B4-BE49-F238E27FC236}">
              <a16:creationId xmlns:a16="http://schemas.microsoft.com/office/drawing/2014/main" id="{F286F56D-5F4B-4CD9-A87B-4D7091F8064E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479" name="Text Box 1">
          <a:extLst>
            <a:ext uri="{FF2B5EF4-FFF2-40B4-BE49-F238E27FC236}">
              <a16:creationId xmlns:a16="http://schemas.microsoft.com/office/drawing/2014/main" id="{FF235ECD-6419-4046-9BB2-B6DE8D3C5FB1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480" name="Text Box 1">
          <a:extLst>
            <a:ext uri="{FF2B5EF4-FFF2-40B4-BE49-F238E27FC236}">
              <a16:creationId xmlns:a16="http://schemas.microsoft.com/office/drawing/2014/main" id="{416A72A6-102D-4F0C-9C23-D7FD90342A81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481" name="Text Box 1">
          <a:extLst>
            <a:ext uri="{FF2B5EF4-FFF2-40B4-BE49-F238E27FC236}">
              <a16:creationId xmlns:a16="http://schemas.microsoft.com/office/drawing/2014/main" id="{403422D0-885F-43CE-AEA8-D8C4D6AF7FAA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482" name="Text Box 1">
          <a:extLst>
            <a:ext uri="{FF2B5EF4-FFF2-40B4-BE49-F238E27FC236}">
              <a16:creationId xmlns:a16="http://schemas.microsoft.com/office/drawing/2014/main" id="{45EE91F2-4FC0-4AB3-BE80-896923E9B657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483" name="Text Box 1">
          <a:extLst>
            <a:ext uri="{FF2B5EF4-FFF2-40B4-BE49-F238E27FC236}">
              <a16:creationId xmlns:a16="http://schemas.microsoft.com/office/drawing/2014/main" id="{F89B6E3A-00A4-4AA8-97B0-1CBA106BC0E6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484" name="Text Box 1">
          <a:extLst>
            <a:ext uri="{FF2B5EF4-FFF2-40B4-BE49-F238E27FC236}">
              <a16:creationId xmlns:a16="http://schemas.microsoft.com/office/drawing/2014/main" id="{5BAED994-84C1-47E2-BCEB-663F609E9455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485" name="Text Box 1">
          <a:extLst>
            <a:ext uri="{FF2B5EF4-FFF2-40B4-BE49-F238E27FC236}">
              <a16:creationId xmlns:a16="http://schemas.microsoft.com/office/drawing/2014/main" id="{E8B9BF79-B48D-4E82-AB4E-61E87F9A26F8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486" name="Text Box 1">
          <a:extLst>
            <a:ext uri="{FF2B5EF4-FFF2-40B4-BE49-F238E27FC236}">
              <a16:creationId xmlns:a16="http://schemas.microsoft.com/office/drawing/2014/main" id="{F7D23BC6-46AA-466B-8FC1-0C48B91EE08A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487" name="Text Box 1">
          <a:extLst>
            <a:ext uri="{FF2B5EF4-FFF2-40B4-BE49-F238E27FC236}">
              <a16:creationId xmlns:a16="http://schemas.microsoft.com/office/drawing/2014/main" id="{1169B271-0F86-4E81-9CFD-3BC9650E44B9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488" name="Text Box 1">
          <a:extLst>
            <a:ext uri="{FF2B5EF4-FFF2-40B4-BE49-F238E27FC236}">
              <a16:creationId xmlns:a16="http://schemas.microsoft.com/office/drawing/2014/main" id="{1A944A48-B116-4DF0-9254-908256F09A0C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489" name="Text Box 1">
          <a:extLst>
            <a:ext uri="{FF2B5EF4-FFF2-40B4-BE49-F238E27FC236}">
              <a16:creationId xmlns:a16="http://schemas.microsoft.com/office/drawing/2014/main" id="{165D6781-F23A-4137-9F6B-D3A30433BD78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490" name="Text Box 1">
          <a:extLst>
            <a:ext uri="{FF2B5EF4-FFF2-40B4-BE49-F238E27FC236}">
              <a16:creationId xmlns:a16="http://schemas.microsoft.com/office/drawing/2014/main" id="{070C0F40-8733-4EBC-9D74-5E7FC2CF27F1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491" name="Text Box 1">
          <a:extLst>
            <a:ext uri="{FF2B5EF4-FFF2-40B4-BE49-F238E27FC236}">
              <a16:creationId xmlns:a16="http://schemas.microsoft.com/office/drawing/2014/main" id="{9A89C451-24EE-4AA2-8483-509A770DB22A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492" name="Text Box 1">
          <a:extLst>
            <a:ext uri="{FF2B5EF4-FFF2-40B4-BE49-F238E27FC236}">
              <a16:creationId xmlns:a16="http://schemas.microsoft.com/office/drawing/2014/main" id="{13EEF97E-4B91-4992-BE2E-5708CB4A070C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493" name="Text Box 1">
          <a:extLst>
            <a:ext uri="{FF2B5EF4-FFF2-40B4-BE49-F238E27FC236}">
              <a16:creationId xmlns:a16="http://schemas.microsoft.com/office/drawing/2014/main" id="{CA50ABE2-B107-46F1-ABA2-BBD8232D674E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494" name="Text Box 1">
          <a:extLst>
            <a:ext uri="{FF2B5EF4-FFF2-40B4-BE49-F238E27FC236}">
              <a16:creationId xmlns:a16="http://schemas.microsoft.com/office/drawing/2014/main" id="{949EABFF-2ED9-4854-BF05-58732366E704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495" name="Text Box 1">
          <a:extLst>
            <a:ext uri="{FF2B5EF4-FFF2-40B4-BE49-F238E27FC236}">
              <a16:creationId xmlns:a16="http://schemas.microsoft.com/office/drawing/2014/main" id="{E066518F-A2E4-4081-8857-269066A087E2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496" name="Text Box 1">
          <a:extLst>
            <a:ext uri="{FF2B5EF4-FFF2-40B4-BE49-F238E27FC236}">
              <a16:creationId xmlns:a16="http://schemas.microsoft.com/office/drawing/2014/main" id="{F9CB561F-990E-4B34-93B2-2923FF195EFF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497" name="Text Box 1">
          <a:extLst>
            <a:ext uri="{FF2B5EF4-FFF2-40B4-BE49-F238E27FC236}">
              <a16:creationId xmlns:a16="http://schemas.microsoft.com/office/drawing/2014/main" id="{C4F6B884-0B98-49DD-8C43-BD7848749D37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498" name="Text Box 1">
          <a:extLst>
            <a:ext uri="{FF2B5EF4-FFF2-40B4-BE49-F238E27FC236}">
              <a16:creationId xmlns:a16="http://schemas.microsoft.com/office/drawing/2014/main" id="{BDEF9D9A-EA14-466E-B571-E4868A10CE8D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499" name="Text Box 1">
          <a:extLst>
            <a:ext uri="{FF2B5EF4-FFF2-40B4-BE49-F238E27FC236}">
              <a16:creationId xmlns:a16="http://schemas.microsoft.com/office/drawing/2014/main" id="{46F9FC93-2BDF-4A61-8E69-D691C376778D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500" name="Text Box 1">
          <a:extLst>
            <a:ext uri="{FF2B5EF4-FFF2-40B4-BE49-F238E27FC236}">
              <a16:creationId xmlns:a16="http://schemas.microsoft.com/office/drawing/2014/main" id="{7D45C0E0-D922-4DCB-9BCC-A14A636A0B29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501" name="Text Box 1">
          <a:extLst>
            <a:ext uri="{FF2B5EF4-FFF2-40B4-BE49-F238E27FC236}">
              <a16:creationId xmlns:a16="http://schemas.microsoft.com/office/drawing/2014/main" id="{EC18B542-89AB-4984-863C-FC7161ADAB1F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502" name="Text Box 1">
          <a:extLst>
            <a:ext uri="{FF2B5EF4-FFF2-40B4-BE49-F238E27FC236}">
              <a16:creationId xmlns:a16="http://schemas.microsoft.com/office/drawing/2014/main" id="{4A089ADA-15D4-442A-8739-D8817DCEDB94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503" name="Text Box 1">
          <a:extLst>
            <a:ext uri="{FF2B5EF4-FFF2-40B4-BE49-F238E27FC236}">
              <a16:creationId xmlns:a16="http://schemas.microsoft.com/office/drawing/2014/main" id="{A134188B-4365-4C8A-84F5-8B87E1B8ED06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504" name="Text Box 1">
          <a:extLst>
            <a:ext uri="{FF2B5EF4-FFF2-40B4-BE49-F238E27FC236}">
              <a16:creationId xmlns:a16="http://schemas.microsoft.com/office/drawing/2014/main" id="{29F3E075-7D59-4078-98AB-FB25EAC2504E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505" name="Text Box 1">
          <a:extLst>
            <a:ext uri="{FF2B5EF4-FFF2-40B4-BE49-F238E27FC236}">
              <a16:creationId xmlns:a16="http://schemas.microsoft.com/office/drawing/2014/main" id="{45EADDC5-794F-4416-ABC6-65D10E24D3C1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506" name="Text Box 1">
          <a:extLst>
            <a:ext uri="{FF2B5EF4-FFF2-40B4-BE49-F238E27FC236}">
              <a16:creationId xmlns:a16="http://schemas.microsoft.com/office/drawing/2014/main" id="{0772B735-43FA-4684-BC24-BB9FAF773533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507" name="Text Box 1">
          <a:extLst>
            <a:ext uri="{FF2B5EF4-FFF2-40B4-BE49-F238E27FC236}">
              <a16:creationId xmlns:a16="http://schemas.microsoft.com/office/drawing/2014/main" id="{A14F8F17-6A4C-4E42-A0B4-6EBEC2C85D11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508" name="Text Box 1">
          <a:extLst>
            <a:ext uri="{FF2B5EF4-FFF2-40B4-BE49-F238E27FC236}">
              <a16:creationId xmlns:a16="http://schemas.microsoft.com/office/drawing/2014/main" id="{ECCEAD22-FF0A-4224-BDBD-808F005E5130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509" name="Text Box 1">
          <a:extLst>
            <a:ext uri="{FF2B5EF4-FFF2-40B4-BE49-F238E27FC236}">
              <a16:creationId xmlns:a16="http://schemas.microsoft.com/office/drawing/2014/main" id="{49B52381-8ED9-45B2-9302-7212D5D2D700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510" name="Text Box 1">
          <a:extLst>
            <a:ext uri="{FF2B5EF4-FFF2-40B4-BE49-F238E27FC236}">
              <a16:creationId xmlns:a16="http://schemas.microsoft.com/office/drawing/2014/main" id="{6DF96CB0-37A9-4DF1-B849-3130A4E15225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511" name="Text Box 1">
          <a:extLst>
            <a:ext uri="{FF2B5EF4-FFF2-40B4-BE49-F238E27FC236}">
              <a16:creationId xmlns:a16="http://schemas.microsoft.com/office/drawing/2014/main" id="{351853C4-120F-4B92-A581-28C01493B1C1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512" name="Text Box 1">
          <a:extLst>
            <a:ext uri="{FF2B5EF4-FFF2-40B4-BE49-F238E27FC236}">
              <a16:creationId xmlns:a16="http://schemas.microsoft.com/office/drawing/2014/main" id="{4D798E38-C8D6-4F66-B39D-01182651AAF2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513" name="Text Box 1">
          <a:extLst>
            <a:ext uri="{FF2B5EF4-FFF2-40B4-BE49-F238E27FC236}">
              <a16:creationId xmlns:a16="http://schemas.microsoft.com/office/drawing/2014/main" id="{50E8B0FB-0B65-457A-8F6D-61A2C6AAF672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514" name="Text Box 1">
          <a:extLst>
            <a:ext uri="{FF2B5EF4-FFF2-40B4-BE49-F238E27FC236}">
              <a16:creationId xmlns:a16="http://schemas.microsoft.com/office/drawing/2014/main" id="{E55F2E11-3F03-4DF7-BD5F-AA9B8A7A2200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515" name="Text Box 1">
          <a:extLst>
            <a:ext uri="{FF2B5EF4-FFF2-40B4-BE49-F238E27FC236}">
              <a16:creationId xmlns:a16="http://schemas.microsoft.com/office/drawing/2014/main" id="{F87C8F34-796D-4A8E-8711-400500448A41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516" name="Text Box 1">
          <a:extLst>
            <a:ext uri="{FF2B5EF4-FFF2-40B4-BE49-F238E27FC236}">
              <a16:creationId xmlns:a16="http://schemas.microsoft.com/office/drawing/2014/main" id="{3E7E6001-8588-46B3-8E49-4DF7AD65CD63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517" name="Text Box 1">
          <a:extLst>
            <a:ext uri="{FF2B5EF4-FFF2-40B4-BE49-F238E27FC236}">
              <a16:creationId xmlns:a16="http://schemas.microsoft.com/office/drawing/2014/main" id="{070BAD8C-2F20-4A9A-B085-5E2B082C0CE5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518" name="Text Box 1">
          <a:extLst>
            <a:ext uri="{FF2B5EF4-FFF2-40B4-BE49-F238E27FC236}">
              <a16:creationId xmlns:a16="http://schemas.microsoft.com/office/drawing/2014/main" id="{D020D922-F836-46F1-B160-99974E861CC4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519" name="Text Box 1">
          <a:extLst>
            <a:ext uri="{FF2B5EF4-FFF2-40B4-BE49-F238E27FC236}">
              <a16:creationId xmlns:a16="http://schemas.microsoft.com/office/drawing/2014/main" id="{B9D00EA5-0D0D-4DBF-B207-5262E34B018D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520" name="Text Box 1">
          <a:extLst>
            <a:ext uri="{FF2B5EF4-FFF2-40B4-BE49-F238E27FC236}">
              <a16:creationId xmlns:a16="http://schemas.microsoft.com/office/drawing/2014/main" id="{B8ECD3FA-E2CD-4036-9ADD-10F1006EAD34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521" name="Text Box 1">
          <a:extLst>
            <a:ext uri="{FF2B5EF4-FFF2-40B4-BE49-F238E27FC236}">
              <a16:creationId xmlns:a16="http://schemas.microsoft.com/office/drawing/2014/main" id="{B81EDFF6-3320-4221-B517-C939FEB11DAD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522" name="Text Box 1">
          <a:extLst>
            <a:ext uri="{FF2B5EF4-FFF2-40B4-BE49-F238E27FC236}">
              <a16:creationId xmlns:a16="http://schemas.microsoft.com/office/drawing/2014/main" id="{E813CD7A-BA39-4B38-BD8D-651E4490DBEE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523" name="Text Box 1">
          <a:extLst>
            <a:ext uri="{FF2B5EF4-FFF2-40B4-BE49-F238E27FC236}">
              <a16:creationId xmlns:a16="http://schemas.microsoft.com/office/drawing/2014/main" id="{0B5E0F7C-F8CB-46F5-A979-5BDFF47DB95C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524" name="Text Box 1">
          <a:extLst>
            <a:ext uri="{FF2B5EF4-FFF2-40B4-BE49-F238E27FC236}">
              <a16:creationId xmlns:a16="http://schemas.microsoft.com/office/drawing/2014/main" id="{55BE2C2B-FAE9-41DE-A0DD-14A7FB54F852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525" name="Text Box 1">
          <a:extLst>
            <a:ext uri="{FF2B5EF4-FFF2-40B4-BE49-F238E27FC236}">
              <a16:creationId xmlns:a16="http://schemas.microsoft.com/office/drawing/2014/main" id="{F691B0C2-A658-49B2-AB44-C34D5E55542B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526" name="Text Box 1">
          <a:extLst>
            <a:ext uri="{FF2B5EF4-FFF2-40B4-BE49-F238E27FC236}">
              <a16:creationId xmlns:a16="http://schemas.microsoft.com/office/drawing/2014/main" id="{D094E2BE-CB78-433F-BCA1-EC14F9A233B8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527" name="Text Box 1">
          <a:extLst>
            <a:ext uri="{FF2B5EF4-FFF2-40B4-BE49-F238E27FC236}">
              <a16:creationId xmlns:a16="http://schemas.microsoft.com/office/drawing/2014/main" id="{E0500EB1-A57B-4F13-8E60-9D8390C85F6E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528" name="Text Box 1">
          <a:extLst>
            <a:ext uri="{FF2B5EF4-FFF2-40B4-BE49-F238E27FC236}">
              <a16:creationId xmlns:a16="http://schemas.microsoft.com/office/drawing/2014/main" id="{8D8FCD10-C0A8-4217-825E-71351E158BD2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529" name="Text Box 1">
          <a:extLst>
            <a:ext uri="{FF2B5EF4-FFF2-40B4-BE49-F238E27FC236}">
              <a16:creationId xmlns:a16="http://schemas.microsoft.com/office/drawing/2014/main" id="{8A0802EB-52B0-4322-A111-62C73008E240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530" name="Text Box 1">
          <a:extLst>
            <a:ext uri="{FF2B5EF4-FFF2-40B4-BE49-F238E27FC236}">
              <a16:creationId xmlns:a16="http://schemas.microsoft.com/office/drawing/2014/main" id="{06F3FB2C-D2A9-49B5-A2CB-5F1A51572A7A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531" name="Text Box 1">
          <a:extLst>
            <a:ext uri="{FF2B5EF4-FFF2-40B4-BE49-F238E27FC236}">
              <a16:creationId xmlns:a16="http://schemas.microsoft.com/office/drawing/2014/main" id="{3467C848-F83D-4922-8572-10D167CEE6E0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532" name="Text Box 1">
          <a:extLst>
            <a:ext uri="{FF2B5EF4-FFF2-40B4-BE49-F238E27FC236}">
              <a16:creationId xmlns:a16="http://schemas.microsoft.com/office/drawing/2014/main" id="{602B0F32-C39C-4B6E-B398-A0036F48F9B6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533" name="Text Box 1">
          <a:extLst>
            <a:ext uri="{FF2B5EF4-FFF2-40B4-BE49-F238E27FC236}">
              <a16:creationId xmlns:a16="http://schemas.microsoft.com/office/drawing/2014/main" id="{508F393F-1540-47BA-A0BD-BD304DCF8325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534" name="Text Box 1">
          <a:extLst>
            <a:ext uri="{FF2B5EF4-FFF2-40B4-BE49-F238E27FC236}">
              <a16:creationId xmlns:a16="http://schemas.microsoft.com/office/drawing/2014/main" id="{1E764AE2-157B-47BF-936B-A06369150FA1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535" name="Text Box 1">
          <a:extLst>
            <a:ext uri="{FF2B5EF4-FFF2-40B4-BE49-F238E27FC236}">
              <a16:creationId xmlns:a16="http://schemas.microsoft.com/office/drawing/2014/main" id="{9FD5BBF3-3F9B-4789-B838-02125CF7E3A2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536" name="Text Box 1">
          <a:extLst>
            <a:ext uri="{FF2B5EF4-FFF2-40B4-BE49-F238E27FC236}">
              <a16:creationId xmlns:a16="http://schemas.microsoft.com/office/drawing/2014/main" id="{86301F29-D56C-4801-A10D-AABDED19FB85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537" name="Text Box 1">
          <a:extLst>
            <a:ext uri="{FF2B5EF4-FFF2-40B4-BE49-F238E27FC236}">
              <a16:creationId xmlns:a16="http://schemas.microsoft.com/office/drawing/2014/main" id="{56A78CB6-89DC-41C6-9673-73A9150946BD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538" name="Text Box 1">
          <a:extLst>
            <a:ext uri="{FF2B5EF4-FFF2-40B4-BE49-F238E27FC236}">
              <a16:creationId xmlns:a16="http://schemas.microsoft.com/office/drawing/2014/main" id="{2A059DAE-8CB0-4383-B288-3E08E28EF95F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539" name="Text Box 1">
          <a:extLst>
            <a:ext uri="{FF2B5EF4-FFF2-40B4-BE49-F238E27FC236}">
              <a16:creationId xmlns:a16="http://schemas.microsoft.com/office/drawing/2014/main" id="{2EF47347-BE16-4252-820F-3DFAD7AE659D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540" name="Text Box 1">
          <a:extLst>
            <a:ext uri="{FF2B5EF4-FFF2-40B4-BE49-F238E27FC236}">
              <a16:creationId xmlns:a16="http://schemas.microsoft.com/office/drawing/2014/main" id="{AEB619BB-101E-4A34-8F8D-A10D0433CED2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541" name="Text Box 1">
          <a:extLst>
            <a:ext uri="{FF2B5EF4-FFF2-40B4-BE49-F238E27FC236}">
              <a16:creationId xmlns:a16="http://schemas.microsoft.com/office/drawing/2014/main" id="{A023349E-2DEB-450C-B91F-9D910C5E439B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542" name="Text Box 1">
          <a:extLst>
            <a:ext uri="{FF2B5EF4-FFF2-40B4-BE49-F238E27FC236}">
              <a16:creationId xmlns:a16="http://schemas.microsoft.com/office/drawing/2014/main" id="{A0531CCE-FBA7-43A1-B886-B652C37B0D17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543" name="Text Box 1">
          <a:extLst>
            <a:ext uri="{FF2B5EF4-FFF2-40B4-BE49-F238E27FC236}">
              <a16:creationId xmlns:a16="http://schemas.microsoft.com/office/drawing/2014/main" id="{F53485F4-FD3D-431B-AF07-5F25DFB80122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544" name="Text Box 1">
          <a:extLst>
            <a:ext uri="{FF2B5EF4-FFF2-40B4-BE49-F238E27FC236}">
              <a16:creationId xmlns:a16="http://schemas.microsoft.com/office/drawing/2014/main" id="{A0EAD1EB-90D6-43DD-AE23-6259E4C0D5ED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545" name="Text Box 1">
          <a:extLst>
            <a:ext uri="{FF2B5EF4-FFF2-40B4-BE49-F238E27FC236}">
              <a16:creationId xmlns:a16="http://schemas.microsoft.com/office/drawing/2014/main" id="{C0EB41E2-0176-4B4C-BBB6-520AD775F184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546" name="Text Box 1">
          <a:extLst>
            <a:ext uri="{FF2B5EF4-FFF2-40B4-BE49-F238E27FC236}">
              <a16:creationId xmlns:a16="http://schemas.microsoft.com/office/drawing/2014/main" id="{A0F383AF-E102-45F8-A575-F4AC850EE6C2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547" name="Text Box 1">
          <a:extLst>
            <a:ext uri="{FF2B5EF4-FFF2-40B4-BE49-F238E27FC236}">
              <a16:creationId xmlns:a16="http://schemas.microsoft.com/office/drawing/2014/main" id="{BAFCEB51-3668-4D5C-A3CB-FA93A1E6BB61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548" name="Text Box 1">
          <a:extLst>
            <a:ext uri="{FF2B5EF4-FFF2-40B4-BE49-F238E27FC236}">
              <a16:creationId xmlns:a16="http://schemas.microsoft.com/office/drawing/2014/main" id="{9321A840-C213-4959-8E46-96A340FB7C33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549" name="Text Box 1">
          <a:extLst>
            <a:ext uri="{FF2B5EF4-FFF2-40B4-BE49-F238E27FC236}">
              <a16:creationId xmlns:a16="http://schemas.microsoft.com/office/drawing/2014/main" id="{BB646C32-BEAE-4F77-AF20-DF6352AFCC95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550" name="Text Box 1">
          <a:extLst>
            <a:ext uri="{FF2B5EF4-FFF2-40B4-BE49-F238E27FC236}">
              <a16:creationId xmlns:a16="http://schemas.microsoft.com/office/drawing/2014/main" id="{BCA2EC26-AA45-4AB3-950B-35565E0FDFD3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551" name="Text Box 1">
          <a:extLst>
            <a:ext uri="{FF2B5EF4-FFF2-40B4-BE49-F238E27FC236}">
              <a16:creationId xmlns:a16="http://schemas.microsoft.com/office/drawing/2014/main" id="{56D531FD-5618-457B-AD64-E9A8359B61A6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552" name="Text Box 1">
          <a:extLst>
            <a:ext uri="{FF2B5EF4-FFF2-40B4-BE49-F238E27FC236}">
              <a16:creationId xmlns:a16="http://schemas.microsoft.com/office/drawing/2014/main" id="{BB6E267A-0FD9-4088-AEF4-6ABE84CDABF0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553" name="Text Box 1">
          <a:extLst>
            <a:ext uri="{FF2B5EF4-FFF2-40B4-BE49-F238E27FC236}">
              <a16:creationId xmlns:a16="http://schemas.microsoft.com/office/drawing/2014/main" id="{D531B5BA-5C42-4443-8C9D-9970519972B7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554" name="Text Box 1">
          <a:extLst>
            <a:ext uri="{FF2B5EF4-FFF2-40B4-BE49-F238E27FC236}">
              <a16:creationId xmlns:a16="http://schemas.microsoft.com/office/drawing/2014/main" id="{196046DC-4D72-48B9-B158-AA23E9DEE0A2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555" name="Text Box 1">
          <a:extLst>
            <a:ext uri="{FF2B5EF4-FFF2-40B4-BE49-F238E27FC236}">
              <a16:creationId xmlns:a16="http://schemas.microsoft.com/office/drawing/2014/main" id="{8C330B11-A3ED-4CB2-997F-CF0EDEC85401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556" name="Text Box 1">
          <a:extLst>
            <a:ext uri="{FF2B5EF4-FFF2-40B4-BE49-F238E27FC236}">
              <a16:creationId xmlns:a16="http://schemas.microsoft.com/office/drawing/2014/main" id="{9E341F81-DFB3-4D19-BF08-AFAAF541C9B3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557" name="Text Box 1">
          <a:extLst>
            <a:ext uri="{FF2B5EF4-FFF2-40B4-BE49-F238E27FC236}">
              <a16:creationId xmlns:a16="http://schemas.microsoft.com/office/drawing/2014/main" id="{EB4DB292-1955-4435-A5A0-8A4D02671555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558" name="Text Box 1">
          <a:extLst>
            <a:ext uri="{FF2B5EF4-FFF2-40B4-BE49-F238E27FC236}">
              <a16:creationId xmlns:a16="http://schemas.microsoft.com/office/drawing/2014/main" id="{87792084-A5A3-4D51-9698-BB1756CBBED9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559" name="Text Box 1">
          <a:extLst>
            <a:ext uri="{FF2B5EF4-FFF2-40B4-BE49-F238E27FC236}">
              <a16:creationId xmlns:a16="http://schemas.microsoft.com/office/drawing/2014/main" id="{8A85570C-E5B4-49D9-AFAB-3C2FE9F41E10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560" name="Text Box 1">
          <a:extLst>
            <a:ext uri="{FF2B5EF4-FFF2-40B4-BE49-F238E27FC236}">
              <a16:creationId xmlns:a16="http://schemas.microsoft.com/office/drawing/2014/main" id="{5913FA4F-9330-4D43-933A-03CD4AD203EB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561" name="Text Box 1">
          <a:extLst>
            <a:ext uri="{FF2B5EF4-FFF2-40B4-BE49-F238E27FC236}">
              <a16:creationId xmlns:a16="http://schemas.microsoft.com/office/drawing/2014/main" id="{7BA5CAC3-08FB-4BA6-9590-589A36CDCD97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46</xdr:row>
      <xdr:rowOff>0</xdr:rowOff>
    </xdr:from>
    <xdr:ext cx="247650" cy="85725"/>
    <xdr:sp macro="" textlink="">
      <xdr:nvSpPr>
        <xdr:cNvPr id="9562" name="Text Box 1">
          <a:extLst>
            <a:ext uri="{FF2B5EF4-FFF2-40B4-BE49-F238E27FC236}">
              <a16:creationId xmlns:a16="http://schemas.microsoft.com/office/drawing/2014/main" id="{D27CAB7E-1756-4AE1-BCAB-B09DD20A53C8}"/>
            </a:ext>
          </a:extLst>
        </xdr:cNvPr>
        <xdr:cNvSpPr txBox="1">
          <a:spLocks noChangeArrowheads="1"/>
        </xdr:cNvSpPr>
      </xdr:nvSpPr>
      <xdr:spPr bwMode="auto">
        <a:xfrm>
          <a:off x="258762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563" name="Text Box 1">
          <a:extLst>
            <a:ext uri="{FF2B5EF4-FFF2-40B4-BE49-F238E27FC236}">
              <a16:creationId xmlns:a16="http://schemas.microsoft.com/office/drawing/2014/main" id="{938C9E58-C846-4404-8151-8224ADBD0AEB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564" name="Text Box 1">
          <a:extLst>
            <a:ext uri="{FF2B5EF4-FFF2-40B4-BE49-F238E27FC236}">
              <a16:creationId xmlns:a16="http://schemas.microsoft.com/office/drawing/2014/main" id="{F2FE995D-D96B-4800-A574-212A56905D8A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565" name="Text Box 1">
          <a:extLst>
            <a:ext uri="{FF2B5EF4-FFF2-40B4-BE49-F238E27FC236}">
              <a16:creationId xmlns:a16="http://schemas.microsoft.com/office/drawing/2014/main" id="{DB91F0B8-9CE4-41EA-A256-81E0D2D0CA25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566" name="Text Box 1">
          <a:extLst>
            <a:ext uri="{FF2B5EF4-FFF2-40B4-BE49-F238E27FC236}">
              <a16:creationId xmlns:a16="http://schemas.microsoft.com/office/drawing/2014/main" id="{7E1C1357-7B6A-41E0-A235-63203860AA47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567" name="Text Box 1">
          <a:extLst>
            <a:ext uri="{FF2B5EF4-FFF2-40B4-BE49-F238E27FC236}">
              <a16:creationId xmlns:a16="http://schemas.microsoft.com/office/drawing/2014/main" id="{017062D3-8183-4D4C-A030-EC2BA47D8A42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568" name="Text Box 1">
          <a:extLst>
            <a:ext uri="{FF2B5EF4-FFF2-40B4-BE49-F238E27FC236}">
              <a16:creationId xmlns:a16="http://schemas.microsoft.com/office/drawing/2014/main" id="{EC9050FF-30FF-440B-99BB-28B8EF0A7E26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569" name="Text Box 1">
          <a:extLst>
            <a:ext uri="{FF2B5EF4-FFF2-40B4-BE49-F238E27FC236}">
              <a16:creationId xmlns:a16="http://schemas.microsoft.com/office/drawing/2014/main" id="{F423E4E9-E013-42F8-9B35-5AC9C45913AB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570" name="Text Box 1">
          <a:extLst>
            <a:ext uri="{FF2B5EF4-FFF2-40B4-BE49-F238E27FC236}">
              <a16:creationId xmlns:a16="http://schemas.microsoft.com/office/drawing/2014/main" id="{188F9F30-6CE6-43D3-B459-99238A7BC6C4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571" name="Text Box 1">
          <a:extLst>
            <a:ext uri="{FF2B5EF4-FFF2-40B4-BE49-F238E27FC236}">
              <a16:creationId xmlns:a16="http://schemas.microsoft.com/office/drawing/2014/main" id="{DB905E54-DD11-4F3C-BEBC-E0DD44864557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572" name="Text Box 1">
          <a:extLst>
            <a:ext uri="{FF2B5EF4-FFF2-40B4-BE49-F238E27FC236}">
              <a16:creationId xmlns:a16="http://schemas.microsoft.com/office/drawing/2014/main" id="{3B147F7B-8DE2-4029-9B09-71798E8897D1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573" name="Text Box 1">
          <a:extLst>
            <a:ext uri="{FF2B5EF4-FFF2-40B4-BE49-F238E27FC236}">
              <a16:creationId xmlns:a16="http://schemas.microsoft.com/office/drawing/2014/main" id="{9130DD68-177D-49AC-8947-BBD4389AACEB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574" name="Text Box 1">
          <a:extLst>
            <a:ext uri="{FF2B5EF4-FFF2-40B4-BE49-F238E27FC236}">
              <a16:creationId xmlns:a16="http://schemas.microsoft.com/office/drawing/2014/main" id="{07F7BDCD-4A78-4D67-A020-6802C9558731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575" name="Text Box 1">
          <a:extLst>
            <a:ext uri="{FF2B5EF4-FFF2-40B4-BE49-F238E27FC236}">
              <a16:creationId xmlns:a16="http://schemas.microsoft.com/office/drawing/2014/main" id="{7516B2E4-C90D-4FF1-95AB-6B06AD48DF1E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576" name="Text Box 1">
          <a:extLst>
            <a:ext uri="{FF2B5EF4-FFF2-40B4-BE49-F238E27FC236}">
              <a16:creationId xmlns:a16="http://schemas.microsoft.com/office/drawing/2014/main" id="{6D2EA072-74ED-4169-A188-7BE588B0F43B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577" name="Text Box 1">
          <a:extLst>
            <a:ext uri="{FF2B5EF4-FFF2-40B4-BE49-F238E27FC236}">
              <a16:creationId xmlns:a16="http://schemas.microsoft.com/office/drawing/2014/main" id="{46F43519-08E9-4E80-A36E-F59626CB9B91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578" name="Text Box 1">
          <a:extLst>
            <a:ext uri="{FF2B5EF4-FFF2-40B4-BE49-F238E27FC236}">
              <a16:creationId xmlns:a16="http://schemas.microsoft.com/office/drawing/2014/main" id="{3EA936FE-857A-44C6-9DD7-C3F54D606D01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579" name="Text Box 1">
          <a:extLst>
            <a:ext uri="{FF2B5EF4-FFF2-40B4-BE49-F238E27FC236}">
              <a16:creationId xmlns:a16="http://schemas.microsoft.com/office/drawing/2014/main" id="{4B6F5F3A-7C26-426B-A07F-0DA28EDFD914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580" name="Text Box 1">
          <a:extLst>
            <a:ext uri="{FF2B5EF4-FFF2-40B4-BE49-F238E27FC236}">
              <a16:creationId xmlns:a16="http://schemas.microsoft.com/office/drawing/2014/main" id="{50D0A42B-8EC5-4915-B8AE-1366A7AA7740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581" name="Text Box 1">
          <a:extLst>
            <a:ext uri="{FF2B5EF4-FFF2-40B4-BE49-F238E27FC236}">
              <a16:creationId xmlns:a16="http://schemas.microsoft.com/office/drawing/2014/main" id="{F458AFDA-0B72-4C8B-9A36-436A82CB6624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582" name="Text Box 1">
          <a:extLst>
            <a:ext uri="{FF2B5EF4-FFF2-40B4-BE49-F238E27FC236}">
              <a16:creationId xmlns:a16="http://schemas.microsoft.com/office/drawing/2014/main" id="{394787F1-055B-48D7-8D98-D3231BC4630D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583" name="Text Box 1">
          <a:extLst>
            <a:ext uri="{FF2B5EF4-FFF2-40B4-BE49-F238E27FC236}">
              <a16:creationId xmlns:a16="http://schemas.microsoft.com/office/drawing/2014/main" id="{44C88EDB-6D0C-450E-BEEC-DC6427C838A7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584" name="Text Box 1">
          <a:extLst>
            <a:ext uri="{FF2B5EF4-FFF2-40B4-BE49-F238E27FC236}">
              <a16:creationId xmlns:a16="http://schemas.microsoft.com/office/drawing/2014/main" id="{6D6E4BD4-9AFC-4320-BC91-F2288A02EE95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585" name="Text Box 1">
          <a:extLst>
            <a:ext uri="{FF2B5EF4-FFF2-40B4-BE49-F238E27FC236}">
              <a16:creationId xmlns:a16="http://schemas.microsoft.com/office/drawing/2014/main" id="{40DFA671-EAC5-45FD-9771-C80674BAAE16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586" name="Text Box 1">
          <a:extLst>
            <a:ext uri="{FF2B5EF4-FFF2-40B4-BE49-F238E27FC236}">
              <a16:creationId xmlns:a16="http://schemas.microsoft.com/office/drawing/2014/main" id="{8C66F73C-CF8B-4E1B-A374-2ECA71C0CCC4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587" name="Text Box 1">
          <a:extLst>
            <a:ext uri="{FF2B5EF4-FFF2-40B4-BE49-F238E27FC236}">
              <a16:creationId xmlns:a16="http://schemas.microsoft.com/office/drawing/2014/main" id="{E140F02B-F460-4EE2-B849-2960E15A9FDC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588" name="Text Box 1">
          <a:extLst>
            <a:ext uri="{FF2B5EF4-FFF2-40B4-BE49-F238E27FC236}">
              <a16:creationId xmlns:a16="http://schemas.microsoft.com/office/drawing/2014/main" id="{E9DB6100-3FE0-47FC-9F38-98EC64440F4A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589" name="Text Box 1">
          <a:extLst>
            <a:ext uri="{FF2B5EF4-FFF2-40B4-BE49-F238E27FC236}">
              <a16:creationId xmlns:a16="http://schemas.microsoft.com/office/drawing/2014/main" id="{C0A57263-6AF9-4164-807C-4EA044FBA45F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590" name="Text Box 1">
          <a:extLst>
            <a:ext uri="{FF2B5EF4-FFF2-40B4-BE49-F238E27FC236}">
              <a16:creationId xmlns:a16="http://schemas.microsoft.com/office/drawing/2014/main" id="{1F18840D-199A-431E-B2BD-43E58850A367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591" name="Text Box 1">
          <a:extLst>
            <a:ext uri="{FF2B5EF4-FFF2-40B4-BE49-F238E27FC236}">
              <a16:creationId xmlns:a16="http://schemas.microsoft.com/office/drawing/2014/main" id="{0229701F-BF01-4C1E-AF13-F16D09A7A572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0</xdr:rowOff>
    </xdr:from>
    <xdr:ext cx="247650" cy="85725"/>
    <xdr:sp macro="" textlink="">
      <xdr:nvSpPr>
        <xdr:cNvPr id="9592" name="Text Box 1">
          <a:extLst>
            <a:ext uri="{FF2B5EF4-FFF2-40B4-BE49-F238E27FC236}">
              <a16:creationId xmlns:a16="http://schemas.microsoft.com/office/drawing/2014/main" id="{FA3A17C8-BA9D-4940-A708-CD548AA6EA0E}"/>
            </a:ext>
          </a:extLst>
        </xdr:cNvPr>
        <xdr:cNvSpPr txBox="1">
          <a:spLocks noChangeArrowheads="1"/>
        </xdr:cNvSpPr>
      </xdr:nvSpPr>
      <xdr:spPr bwMode="auto">
        <a:xfrm>
          <a:off x="2964815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46</xdr:row>
      <xdr:rowOff>135256</xdr:rowOff>
    </xdr:from>
    <xdr:ext cx="247650" cy="45719"/>
    <xdr:sp macro="" textlink="">
      <xdr:nvSpPr>
        <xdr:cNvPr id="9593" name="Text Box 1">
          <a:extLst>
            <a:ext uri="{FF2B5EF4-FFF2-40B4-BE49-F238E27FC236}">
              <a16:creationId xmlns:a16="http://schemas.microsoft.com/office/drawing/2014/main" id="{123DD40F-CBD2-4D84-9B37-903A106DE588}"/>
            </a:ext>
          </a:extLst>
        </xdr:cNvPr>
        <xdr:cNvSpPr txBox="1">
          <a:spLocks noChangeArrowheads="1"/>
        </xdr:cNvSpPr>
      </xdr:nvSpPr>
      <xdr:spPr bwMode="auto">
        <a:xfrm>
          <a:off x="29648150" y="1183006"/>
          <a:ext cx="247650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594" name="Text Box 1">
          <a:extLst>
            <a:ext uri="{FF2B5EF4-FFF2-40B4-BE49-F238E27FC236}">
              <a16:creationId xmlns:a16="http://schemas.microsoft.com/office/drawing/2014/main" id="{CC9AE42C-2C16-4BC2-A42C-E4EE86EBAE4A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595" name="Text Box 1">
          <a:extLst>
            <a:ext uri="{FF2B5EF4-FFF2-40B4-BE49-F238E27FC236}">
              <a16:creationId xmlns:a16="http://schemas.microsoft.com/office/drawing/2014/main" id="{20F60BC4-1FA9-4694-AA4F-8BB231A53370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596" name="Text Box 1">
          <a:extLst>
            <a:ext uri="{FF2B5EF4-FFF2-40B4-BE49-F238E27FC236}">
              <a16:creationId xmlns:a16="http://schemas.microsoft.com/office/drawing/2014/main" id="{9C46AEC0-E1F1-4C3E-8E96-8E8289A1FCA4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597" name="Text Box 1">
          <a:extLst>
            <a:ext uri="{FF2B5EF4-FFF2-40B4-BE49-F238E27FC236}">
              <a16:creationId xmlns:a16="http://schemas.microsoft.com/office/drawing/2014/main" id="{B28A0673-D49C-4830-8806-E3A0A59030B2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598" name="Text Box 1">
          <a:extLst>
            <a:ext uri="{FF2B5EF4-FFF2-40B4-BE49-F238E27FC236}">
              <a16:creationId xmlns:a16="http://schemas.microsoft.com/office/drawing/2014/main" id="{CEABCC64-9F35-41B6-B2B3-885AF58AE922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599" name="Text Box 1">
          <a:extLst>
            <a:ext uri="{FF2B5EF4-FFF2-40B4-BE49-F238E27FC236}">
              <a16:creationId xmlns:a16="http://schemas.microsoft.com/office/drawing/2014/main" id="{3DC51496-C3ED-4451-8057-4529529C7363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600" name="Text Box 1">
          <a:extLst>
            <a:ext uri="{FF2B5EF4-FFF2-40B4-BE49-F238E27FC236}">
              <a16:creationId xmlns:a16="http://schemas.microsoft.com/office/drawing/2014/main" id="{7EC0D1E6-415F-4431-9F8B-A004AE18A9FF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601" name="Text Box 1">
          <a:extLst>
            <a:ext uri="{FF2B5EF4-FFF2-40B4-BE49-F238E27FC236}">
              <a16:creationId xmlns:a16="http://schemas.microsoft.com/office/drawing/2014/main" id="{57CFDEF7-79C3-41FD-950C-E1BF0BF61449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602" name="Text Box 1">
          <a:extLst>
            <a:ext uri="{FF2B5EF4-FFF2-40B4-BE49-F238E27FC236}">
              <a16:creationId xmlns:a16="http://schemas.microsoft.com/office/drawing/2014/main" id="{E0DD615F-DF7C-459F-A780-A62A02DDA70C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603" name="Text Box 1">
          <a:extLst>
            <a:ext uri="{FF2B5EF4-FFF2-40B4-BE49-F238E27FC236}">
              <a16:creationId xmlns:a16="http://schemas.microsoft.com/office/drawing/2014/main" id="{3F8EB34D-3299-4C19-8851-423E3CCCC310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604" name="Text Box 1">
          <a:extLst>
            <a:ext uri="{FF2B5EF4-FFF2-40B4-BE49-F238E27FC236}">
              <a16:creationId xmlns:a16="http://schemas.microsoft.com/office/drawing/2014/main" id="{8E3B0AB2-BB9B-4EDB-A1F0-B009103F7132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605" name="Text Box 1">
          <a:extLst>
            <a:ext uri="{FF2B5EF4-FFF2-40B4-BE49-F238E27FC236}">
              <a16:creationId xmlns:a16="http://schemas.microsoft.com/office/drawing/2014/main" id="{C6B3CDD0-1C10-4D69-B6BE-86BA773E3799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606" name="Text Box 1">
          <a:extLst>
            <a:ext uri="{FF2B5EF4-FFF2-40B4-BE49-F238E27FC236}">
              <a16:creationId xmlns:a16="http://schemas.microsoft.com/office/drawing/2014/main" id="{B24634AC-1CED-43B1-88A9-DE2CB84BF810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607" name="Text Box 1">
          <a:extLst>
            <a:ext uri="{FF2B5EF4-FFF2-40B4-BE49-F238E27FC236}">
              <a16:creationId xmlns:a16="http://schemas.microsoft.com/office/drawing/2014/main" id="{3784DBD1-3714-4142-AB6D-ECA9A907715F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608" name="Text Box 1">
          <a:extLst>
            <a:ext uri="{FF2B5EF4-FFF2-40B4-BE49-F238E27FC236}">
              <a16:creationId xmlns:a16="http://schemas.microsoft.com/office/drawing/2014/main" id="{82EBFCA2-8583-44D6-BDBE-76FF72FEFFEB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609" name="Text Box 1">
          <a:extLst>
            <a:ext uri="{FF2B5EF4-FFF2-40B4-BE49-F238E27FC236}">
              <a16:creationId xmlns:a16="http://schemas.microsoft.com/office/drawing/2014/main" id="{3C519BF9-A7B7-46EF-B74E-A52AFF80C04E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610" name="Text Box 1">
          <a:extLst>
            <a:ext uri="{FF2B5EF4-FFF2-40B4-BE49-F238E27FC236}">
              <a16:creationId xmlns:a16="http://schemas.microsoft.com/office/drawing/2014/main" id="{FA80A35E-56FC-4349-A204-4891A5275C8B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611" name="Text Box 1">
          <a:extLst>
            <a:ext uri="{FF2B5EF4-FFF2-40B4-BE49-F238E27FC236}">
              <a16:creationId xmlns:a16="http://schemas.microsoft.com/office/drawing/2014/main" id="{F163D916-F476-4150-9E3E-1BC5C354AC58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612" name="Text Box 1">
          <a:extLst>
            <a:ext uri="{FF2B5EF4-FFF2-40B4-BE49-F238E27FC236}">
              <a16:creationId xmlns:a16="http://schemas.microsoft.com/office/drawing/2014/main" id="{37AC3DA7-3A89-484B-8405-309F1CEB0BFD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613" name="Text Box 1">
          <a:extLst>
            <a:ext uri="{FF2B5EF4-FFF2-40B4-BE49-F238E27FC236}">
              <a16:creationId xmlns:a16="http://schemas.microsoft.com/office/drawing/2014/main" id="{1B7A2132-5F63-447C-906C-98F94C44D732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614" name="Text Box 1">
          <a:extLst>
            <a:ext uri="{FF2B5EF4-FFF2-40B4-BE49-F238E27FC236}">
              <a16:creationId xmlns:a16="http://schemas.microsoft.com/office/drawing/2014/main" id="{4026FE05-601D-44D4-93C1-314A05CD5DB8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615" name="Text Box 1">
          <a:extLst>
            <a:ext uri="{FF2B5EF4-FFF2-40B4-BE49-F238E27FC236}">
              <a16:creationId xmlns:a16="http://schemas.microsoft.com/office/drawing/2014/main" id="{4F73D37C-2142-4FF9-8795-F4E01FF181D1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616" name="Text Box 1">
          <a:extLst>
            <a:ext uri="{FF2B5EF4-FFF2-40B4-BE49-F238E27FC236}">
              <a16:creationId xmlns:a16="http://schemas.microsoft.com/office/drawing/2014/main" id="{DFB9D778-E13D-4091-AE92-AB561AAD0803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617" name="Text Box 1">
          <a:extLst>
            <a:ext uri="{FF2B5EF4-FFF2-40B4-BE49-F238E27FC236}">
              <a16:creationId xmlns:a16="http://schemas.microsoft.com/office/drawing/2014/main" id="{9D97CD62-81B3-492D-A444-776642D402A8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618" name="Text Box 1">
          <a:extLst>
            <a:ext uri="{FF2B5EF4-FFF2-40B4-BE49-F238E27FC236}">
              <a16:creationId xmlns:a16="http://schemas.microsoft.com/office/drawing/2014/main" id="{B88CFEB4-BA6B-45E5-8916-D790DC00E6E1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619" name="Text Box 1">
          <a:extLst>
            <a:ext uri="{FF2B5EF4-FFF2-40B4-BE49-F238E27FC236}">
              <a16:creationId xmlns:a16="http://schemas.microsoft.com/office/drawing/2014/main" id="{A4368FD3-E99C-4B8D-8CFB-E7B1C64BD118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620" name="Text Box 1">
          <a:extLst>
            <a:ext uri="{FF2B5EF4-FFF2-40B4-BE49-F238E27FC236}">
              <a16:creationId xmlns:a16="http://schemas.microsoft.com/office/drawing/2014/main" id="{38D0F16F-3E12-426E-8FB7-2EB80A2B6E87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621" name="Text Box 1">
          <a:extLst>
            <a:ext uri="{FF2B5EF4-FFF2-40B4-BE49-F238E27FC236}">
              <a16:creationId xmlns:a16="http://schemas.microsoft.com/office/drawing/2014/main" id="{531ADDD9-760D-4DC0-8114-8A2693B70227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622" name="Text Box 1">
          <a:extLst>
            <a:ext uri="{FF2B5EF4-FFF2-40B4-BE49-F238E27FC236}">
              <a16:creationId xmlns:a16="http://schemas.microsoft.com/office/drawing/2014/main" id="{5F487B06-261C-44A9-99DD-D2E6B4A542E4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623" name="Text Box 1">
          <a:extLst>
            <a:ext uri="{FF2B5EF4-FFF2-40B4-BE49-F238E27FC236}">
              <a16:creationId xmlns:a16="http://schemas.microsoft.com/office/drawing/2014/main" id="{6A80D3A7-5CF6-4541-94BC-44494442CD6A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624" name="Text Box 1">
          <a:extLst>
            <a:ext uri="{FF2B5EF4-FFF2-40B4-BE49-F238E27FC236}">
              <a16:creationId xmlns:a16="http://schemas.microsoft.com/office/drawing/2014/main" id="{C92B40A6-01A7-4D96-A4C6-FD7047CEE7D5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625" name="Text Box 1">
          <a:extLst>
            <a:ext uri="{FF2B5EF4-FFF2-40B4-BE49-F238E27FC236}">
              <a16:creationId xmlns:a16="http://schemas.microsoft.com/office/drawing/2014/main" id="{C5629717-AF85-460E-B594-4E3FA4731B7F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626" name="Text Box 1">
          <a:extLst>
            <a:ext uri="{FF2B5EF4-FFF2-40B4-BE49-F238E27FC236}">
              <a16:creationId xmlns:a16="http://schemas.microsoft.com/office/drawing/2014/main" id="{22881788-FB25-4DD9-8016-2026F985B8C7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627" name="Text Box 1">
          <a:extLst>
            <a:ext uri="{FF2B5EF4-FFF2-40B4-BE49-F238E27FC236}">
              <a16:creationId xmlns:a16="http://schemas.microsoft.com/office/drawing/2014/main" id="{66ACBCF8-DAAD-47BB-8ADF-5C70FC4B30BD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628" name="Text Box 1">
          <a:extLst>
            <a:ext uri="{FF2B5EF4-FFF2-40B4-BE49-F238E27FC236}">
              <a16:creationId xmlns:a16="http://schemas.microsoft.com/office/drawing/2014/main" id="{D7C04BB9-20CD-41DD-B756-A9E876559457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629" name="Text Box 1">
          <a:extLst>
            <a:ext uri="{FF2B5EF4-FFF2-40B4-BE49-F238E27FC236}">
              <a16:creationId xmlns:a16="http://schemas.microsoft.com/office/drawing/2014/main" id="{19931D49-FA40-4E75-BE07-C7824157C211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630" name="Text Box 1">
          <a:extLst>
            <a:ext uri="{FF2B5EF4-FFF2-40B4-BE49-F238E27FC236}">
              <a16:creationId xmlns:a16="http://schemas.microsoft.com/office/drawing/2014/main" id="{DB3A9595-CD9F-44FB-8201-579D71AEE98B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631" name="Text Box 1">
          <a:extLst>
            <a:ext uri="{FF2B5EF4-FFF2-40B4-BE49-F238E27FC236}">
              <a16:creationId xmlns:a16="http://schemas.microsoft.com/office/drawing/2014/main" id="{986C64A9-8CA4-47EB-80E8-435BFE5B26D2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632" name="Text Box 1">
          <a:extLst>
            <a:ext uri="{FF2B5EF4-FFF2-40B4-BE49-F238E27FC236}">
              <a16:creationId xmlns:a16="http://schemas.microsoft.com/office/drawing/2014/main" id="{71CB5FFE-5EA2-4F27-B2A2-E06F867C24EE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633" name="Text Box 1">
          <a:extLst>
            <a:ext uri="{FF2B5EF4-FFF2-40B4-BE49-F238E27FC236}">
              <a16:creationId xmlns:a16="http://schemas.microsoft.com/office/drawing/2014/main" id="{3233E858-BD37-45DE-A86A-943E88A7B977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634" name="Text Box 1">
          <a:extLst>
            <a:ext uri="{FF2B5EF4-FFF2-40B4-BE49-F238E27FC236}">
              <a16:creationId xmlns:a16="http://schemas.microsoft.com/office/drawing/2014/main" id="{0986764D-2865-49C6-B666-AAA8A060C446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635" name="Text Box 1">
          <a:extLst>
            <a:ext uri="{FF2B5EF4-FFF2-40B4-BE49-F238E27FC236}">
              <a16:creationId xmlns:a16="http://schemas.microsoft.com/office/drawing/2014/main" id="{821B9D14-610E-4AE5-A4FC-19528AB92F96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636" name="Text Box 1">
          <a:extLst>
            <a:ext uri="{FF2B5EF4-FFF2-40B4-BE49-F238E27FC236}">
              <a16:creationId xmlns:a16="http://schemas.microsoft.com/office/drawing/2014/main" id="{827560F3-6928-484B-9CFD-940E1DC34171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637" name="Text Box 1">
          <a:extLst>
            <a:ext uri="{FF2B5EF4-FFF2-40B4-BE49-F238E27FC236}">
              <a16:creationId xmlns:a16="http://schemas.microsoft.com/office/drawing/2014/main" id="{870689B5-9A5A-4E5C-99A0-3E1DF2BDDA01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638" name="Text Box 1">
          <a:extLst>
            <a:ext uri="{FF2B5EF4-FFF2-40B4-BE49-F238E27FC236}">
              <a16:creationId xmlns:a16="http://schemas.microsoft.com/office/drawing/2014/main" id="{17524478-BB94-41DC-BAB0-11853C2D54B7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639" name="Text Box 1">
          <a:extLst>
            <a:ext uri="{FF2B5EF4-FFF2-40B4-BE49-F238E27FC236}">
              <a16:creationId xmlns:a16="http://schemas.microsoft.com/office/drawing/2014/main" id="{EC2ADCC2-96EA-40AE-B8A4-CEDF95E7D22B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640" name="Text Box 1">
          <a:extLst>
            <a:ext uri="{FF2B5EF4-FFF2-40B4-BE49-F238E27FC236}">
              <a16:creationId xmlns:a16="http://schemas.microsoft.com/office/drawing/2014/main" id="{D371DD65-5094-4C74-8CC9-5FBD6E888DC8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641" name="Text Box 1">
          <a:extLst>
            <a:ext uri="{FF2B5EF4-FFF2-40B4-BE49-F238E27FC236}">
              <a16:creationId xmlns:a16="http://schemas.microsoft.com/office/drawing/2014/main" id="{55813462-B585-4D93-8D44-1EE8D64C9E8D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642" name="Text Box 1">
          <a:extLst>
            <a:ext uri="{FF2B5EF4-FFF2-40B4-BE49-F238E27FC236}">
              <a16:creationId xmlns:a16="http://schemas.microsoft.com/office/drawing/2014/main" id="{B44DD3D3-DD3B-430F-B85C-93D9CC5416F8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643" name="Text Box 1">
          <a:extLst>
            <a:ext uri="{FF2B5EF4-FFF2-40B4-BE49-F238E27FC236}">
              <a16:creationId xmlns:a16="http://schemas.microsoft.com/office/drawing/2014/main" id="{9CCE0671-96D5-4D21-9406-A64B5B4084F3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644" name="Text Box 1">
          <a:extLst>
            <a:ext uri="{FF2B5EF4-FFF2-40B4-BE49-F238E27FC236}">
              <a16:creationId xmlns:a16="http://schemas.microsoft.com/office/drawing/2014/main" id="{8909704B-CE34-4B8C-9564-D52050AD24D9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645" name="Text Box 1">
          <a:extLst>
            <a:ext uri="{FF2B5EF4-FFF2-40B4-BE49-F238E27FC236}">
              <a16:creationId xmlns:a16="http://schemas.microsoft.com/office/drawing/2014/main" id="{34E21F3D-4E1B-4444-A5DC-BAC6EAC0CF97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646" name="Text Box 1">
          <a:extLst>
            <a:ext uri="{FF2B5EF4-FFF2-40B4-BE49-F238E27FC236}">
              <a16:creationId xmlns:a16="http://schemas.microsoft.com/office/drawing/2014/main" id="{CBCF3819-3E08-4922-A0A2-ACC7F793E3EA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647" name="Text Box 1">
          <a:extLst>
            <a:ext uri="{FF2B5EF4-FFF2-40B4-BE49-F238E27FC236}">
              <a16:creationId xmlns:a16="http://schemas.microsoft.com/office/drawing/2014/main" id="{834289B0-01AF-49B1-A185-700980208C49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648" name="Text Box 1">
          <a:extLst>
            <a:ext uri="{FF2B5EF4-FFF2-40B4-BE49-F238E27FC236}">
              <a16:creationId xmlns:a16="http://schemas.microsoft.com/office/drawing/2014/main" id="{4CACE616-6567-4537-8190-0DF17796976C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649" name="Text Box 1">
          <a:extLst>
            <a:ext uri="{FF2B5EF4-FFF2-40B4-BE49-F238E27FC236}">
              <a16:creationId xmlns:a16="http://schemas.microsoft.com/office/drawing/2014/main" id="{7DA474A9-86C5-48C8-A9C9-8C04FE2B1AFE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650" name="Text Box 1">
          <a:extLst>
            <a:ext uri="{FF2B5EF4-FFF2-40B4-BE49-F238E27FC236}">
              <a16:creationId xmlns:a16="http://schemas.microsoft.com/office/drawing/2014/main" id="{4139EED2-221D-4F37-B571-72240FAE336F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651" name="Text Box 1">
          <a:extLst>
            <a:ext uri="{FF2B5EF4-FFF2-40B4-BE49-F238E27FC236}">
              <a16:creationId xmlns:a16="http://schemas.microsoft.com/office/drawing/2014/main" id="{C0DC049A-1D56-45CD-BA90-681B75554799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652" name="Text Box 1">
          <a:extLst>
            <a:ext uri="{FF2B5EF4-FFF2-40B4-BE49-F238E27FC236}">
              <a16:creationId xmlns:a16="http://schemas.microsoft.com/office/drawing/2014/main" id="{C7B02794-F759-4854-9FC0-ED2ED9F1BB9C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653" name="Text Box 1">
          <a:extLst>
            <a:ext uri="{FF2B5EF4-FFF2-40B4-BE49-F238E27FC236}">
              <a16:creationId xmlns:a16="http://schemas.microsoft.com/office/drawing/2014/main" id="{22E722AA-FBEB-4764-8D34-08BAE8B55405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654" name="Text Box 1">
          <a:extLst>
            <a:ext uri="{FF2B5EF4-FFF2-40B4-BE49-F238E27FC236}">
              <a16:creationId xmlns:a16="http://schemas.microsoft.com/office/drawing/2014/main" id="{11364BD9-8CDB-4DC1-8620-9E013346C595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655" name="Text Box 1">
          <a:extLst>
            <a:ext uri="{FF2B5EF4-FFF2-40B4-BE49-F238E27FC236}">
              <a16:creationId xmlns:a16="http://schemas.microsoft.com/office/drawing/2014/main" id="{FD844418-1B48-44F4-AD11-01EEB610B009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656" name="Text Box 1">
          <a:extLst>
            <a:ext uri="{FF2B5EF4-FFF2-40B4-BE49-F238E27FC236}">
              <a16:creationId xmlns:a16="http://schemas.microsoft.com/office/drawing/2014/main" id="{CD4A9DDB-192D-44EE-BCCE-59A19DE10619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657" name="Text Box 1">
          <a:extLst>
            <a:ext uri="{FF2B5EF4-FFF2-40B4-BE49-F238E27FC236}">
              <a16:creationId xmlns:a16="http://schemas.microsoft.com/office/drawing/2014/main" id="{DE40D427-DE17-4EF2-9BA5-6CE422CB5A92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658" name="Text Box 1">
          <a:extLst>
            <a:ext uri="{FF2B5EF4-FFF2-40B4-BE49-F238E27FC236}">
              <a16:creationId xmlns:a16="http://schemas.microsoft.com/office/drawing/2014/main" id="{217F6BB3-36D3-4D23-8A2B-4549E22CBBFF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659" name="Text Box 1">
          <a:extLst>
            <a:ext uri="{FF2B5EF4-FFF2-40B4-BE49-F238E27FC236}">
              <a16:creationId xmlns:a16="http://schemas.microsoft.com/office/drawing/2014/main" id="{8A0202EC-F745-45FF-AA39-35470A0116D8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660" name="Text Box 1">
          <a:extLst>
            <a:ext uri="{FF2B5EF4-FFF2-40B4-BE49-F238E27FC236}">
              <a16:creationId xmlns:a16="http://schemas.microsoft.com/office/drawing/2014/main" id="{A4DC996E-B28D-4FFB-868E-DCD50F760E50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661" name="Text Box 1">
          <a:extLst>
            <a:ext uri="{FF2B5EF4-FFF2-40B4-BE49-F238E27FC236}">
              <a16:creationId xmlns:a16="http://schemas.microsoft.com/office/drawing/2014/main" id="{5D20CD36-0EC2-4BDF-8B59-2A3DC736F6FF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662" name="Text Box 1">
          <a:extLst>
            <a:ext uri="{FF2B5EF4-FFF2-40B4-BE49-F238E27FC236}">
              <a16:creationId xmlns:a16="http://schemas.microsoft.com/office/drawing/2014/main" id="{EC46E8C4-1D8D-426E-9CB4-D71CEFE355ED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663" name="Text Box 1">
          <a:extLst>
            <a:ext uri="{FF2B5EF4-FFF2-40B4-BE49-F238E27FC236}">
              <a16:creationId xmlns:a16="http://schemas.microsoft.com/office/drawing/2014/main" id="{5AACF951-3612-4CBF-A5BF-B015E5247A63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664" name="Text Box 1">
          <a:extLst>
            <a:ext uri="{FF2B5EF4-FFF2-40B4-BE49-F238E27FC236}">
              <a16:creationId xmlns:a16="http://schemas.microsoft.com/office/drawing/2014/main" id="{70000BAF-2F1A-494C-B040-8186719B3733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665" name="Text Box 1">
          <a:extLst>
            <a:ext uri="{FF2B5EF4-FFF2-40B4-BE49-F238E27FC236}">
              <a16:creationId xmlns:a16="http://schemas.microsoft.com/office/drawing/2014/main" id="{5F64BAC1-A08D-44EC-A97E-1633E2874E25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666" name="Text Box 1">
          <a:extLst>
            <a:ext uri="{FF2B5EF4-FFF2-40B4-BE49-F238E27FC236}">
              <a16:creationId xmlns:a16="http://schemas.microsoft.com/office/drawing/2014/main" id="{C4D1BAEF-4AC0-4765-AB3D-FCC8E9EC5FB6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667" name="Text Box 1">
          <a:extLst>
            <a:ext uri="{FF2B5EF4-FFF2-40B4-BE49-F238E27FC236}">
              <a16:creationId xmlns:a16="http://schemas.microsoft.com/office/drawing/2014/main" id="{CE1C4BA3-51AC-4603-983C-AC8FF93C2E6A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668" name="Text Box 1">
          <a:extLst>
            <a:ext uri="{FF2B5EF4-FFF2-40B4-BE49-F238E27FC236}">
              <a16:creationId xmlns:a16="http://schemas.microsoft.com/office/drawing/2014/main" id="{9D4E8331-4156-4766-A689-82EF1D2E9BBA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669" name="Text Box 1">
          <a:extLst>
            <a:ext uri="{FF2B5EF4-FFF2-40B4-BE49-F238E27FC236}">
              <a16:creationId xmlns:a16="http://schemas.microsoft.com/office/drawing/2014/main" id="{4D04F067-C314-4404-A2BA-F7A72BA9336A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670" name="Text Box 1">
          <a:extLst>
            <a:ext uri="{FF2B5EF4-FFF2-40B4-BE49-F238E27FC236}">
              <a16:creationId xmlns:a16="http://schemas.microsoft.com/office/drawing/2014/main" id="{C96E59D6-2F39-4323-882C-34003DB5BDA6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671" name="Text Box 1">
          <a:extLst>
            <a:ext uri="{FF2B5EF4-FFF2-40B4-BE49-F238E27FC236}">
              <a16:creationId xmlns:a16="http://schemas.microsoft.com/office/drawing/2014/main" id="{83FCAAF7-D46F-4EA6-B751-339FAFBB6313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672" name="Text Box 1">
          <a:extLst>
            <a:ext uri="{FF2B5EF4-FFF2-40B4-BE49-F238E27FC236}">
              <a16:creationId xmlns:a16="http://schemas.microsoft.com/office/drawing/2014/main" id="{FC9FFE5F-0736-411B-A7E8-7531384855B8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673" name="Text Box 1">
          <a:extLst>
            <a:ext uri="{FF2B5EF4-FFF2-40B4-BE49-F238E27FC236}">
              <a16:creationId xmlns:a16="http://schemas.microsoft.com/office/drawing/2014/main" id="{6AFE1E86-2AE3-4C10-B80F-20B72AA4A004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674" name="Text Box 1">
          <a:extLst>
            <a:ext uri="{FF2B5EF4-FFF2-40B4-BE49-F238E27FC236}">
              <a16:creationId xmlns:a16="http://schemas.microsoft.com/office/drawing/2014/main" id="{418488EE-EB79-4BA3-A6E3-2ADF97D929FC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675" name="Text Box 1">
          <a:extLst>
            <a:ext uri="{FF2B5EF4-FFF2-40B4-BE49-F238E27FC236}">
              <a16:creationId xmlns:a16="http://schemas.microsoft.com/office/drawing/2014/main" id="{7B44A9FC-4454-4E04-8930-DB412ADEFC51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676" name="Text Box 1">
          <a:extLst>
            <a:ext uri="{FF2B5EF4-FFF2-40B4-BE49-F238E27FC236}">
              <a16:creationId xmlns:a16="http://schemas.microsoft.com/office/drawing/2014/main" id="{70CAFC68-1F9B-4ED1-907C-6E6236937841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677" name="Text Box 1">
          <a:extLst>
            <a:ext uri="{FF2B5EF4-FFF2-40B4-BE49-F238E27FC236}">
              <a16:creationId xmlns:a16="http://schemas.microsoft.com/office/drawing/2014/main" id="{F12DE86E-6E4C-49D1-B8AD-A621C56D622E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678" name="Text Box 1">
          <a:extLst>
            <a:ext uri="{FF2B5EF4-FFF2-40B4-BE49-F238E27FC236}">
              <a16:creationId xmlns:a16="http://schemas.microsoft.com/office/drawing/2014/main" id="{BA71A781-C56B-4BE0-A2F5-BE138809983F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679" name="Text Box 1">
          <a:extLst>
            <a:ext uri="{FF2B5EF4-FFF2-40B4-BE49-F238E27FC236}">
              <a16:creationId xmlns:a16="http://schemas.microsoft.com/office/drawing/2014/main" id="{29B42089-0572-4EBD-AA4B-89BF183746A3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680" name="Text Box 1">
          <a:extLst>
            <a:ext uri="{FF2B5EF4-FFF2-40B4-BE49-F238E27FC236}">
              <a16:creationId xmlns:a16="http://schemas.microsoft.com/office/drawing/2014/main" id="{BB54244B-CAE0-4E5F-9D8B-B28ACA19D7EB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681" name="Text Box 1">
          <a:extLst>
            <a:ext uri="{FF2B5EF4-FFF2-40B4-BE49-F238E27FC236}">
              <a16:creationId xmlns:a16="http://schemas.microsoft.com/office/drawing/2014/main" id="{EBB07684-03E9-43E0-ADE4-00FC86797F82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682" name="Text Box 1">
          <a:extLst>
            <a:ext uri="{FF2B5EF4-FFF2-40B4-BE49-F238E27FC236}">
              <a16:creationId xmlns:a16="http://schemas.microsoft.com/office/drawing/2014/main" id="{E56EEE0B-AB02-47E9-B6B6-932F9CF6915F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683" name="Text Box 1">
          <a:extLst>
            <a:ext uri="{FF2B5EF4-FFF2-40B4-BE49-F238E27FC236}">
              <a16:creationId xmlns:a16="http://schemas.microsoft.com/office/drawing/2014/main" id="{F5F81D55-98C3-43A7-AADB-E469D20F6CA7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684" name="Text Box 1">
          <a:extLst>
            <a:ext uri="{FF2B5EF4-FFF2-40B4-BE49-F238E27FC236}">
              <a16:creationId xmlns:a16="http://schemas.microsoft.com/office/drawing/2014/main" id="{12F7E424-DE74-4BB2-9D19-7DA693DC0A5D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685" name="Text Box 1">
          <a:extLst>
            <a:ext uri="{FF2B5EF4-FFF2-40B4-BE49-F238E27FC236}">
              <a16:creationId xmlns:a16="http://schemas.microsoft.com/office/drawing/2014/main" id="{4EAACDE9-B263-4F0A-8BA3-C2F95B2704F7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686" name="Text Box 1">
          <a:extLst>
            <a:ext uri="{FF2B5EF4-FFF2-40B4-BE49-F238E27FC236}">
              <a16:creationId xmlns:a16="http://schemas.microsoft.com/office/drawing/2014/main" id="{AFF3C75C-5E05-4D0E-8BFA-EC1EF01C3D03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687" name="Text Box 1">
          <a:extLst>
            <a:ext uri="{FF2B5EF4-FFF2-40B4-BE49-F238E27FC236}">
              <a16:creationId xmlns:a16="http://schemas.microsoft.com/office/drawing/2014/main" id="{AC4BD470-0206-4E8C-86EE-878DA36207B8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688" name="Text Box 1">
          <a:extLst>
            <a:ext uri="{FF2B5EF4-FFF2-40B4-BE49-F238E27FC236}">
              <a16:creationId xmlns:a16="http://schemas.microsoft.com/office/drawing/2014/main" id="{1F2E6194-ED53-40E9-B9E7-15AE1895C54A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689" name="Text Box 1">
          <a:extLst>
            <a:ext uri="{FF2B5EF4-FFF2-40B4-BE49-F238E27FC236}">
              <a16:creationId xmlns:a16="http://schemas.microsoft.com/office/drawing/2014/main" id="{7EB398D3-FB9E-4A60-9928-82DD39A0738F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690" name="Text Box 1">
          <a:extLst>
            <a:ext uri="{FF2B5EF4-FFF2-40B4-BE49-F238E27FC236}">
              <a16:creationId xmlns:a16="http://schemas.microsoft.com/office/drawing/2014/main" id="{FDA303A2-B361-4932-8D8E-A3F450FAF17A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691" name="Text Box 1">
          <a:extLst>
            <a:ext uri="{FF2B5EF4-FFF2-40B4-BE49-F238E27FC236}">
              <a16:creationId xmlns:a16="http://schemas.microsoft.com/office/drawing/2014/main" id="{9D14F318-6FE5-400D-8AEE-4B8DCF76BEC7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692" name="Text Box 1">
          <a:extLst>
            <a:ext uri="{FF2B5EF4-FFF2-40B4-BE49-F238E27FC236}">
              <a16:creationId xmlns:a16="http://schemas.microsoft.com/office/drawing/2014/main" id="{E9CF3A01-8AAD-4595-BE42-1ABB012B7AD2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693" name="Text Box 1">
          <a:extLst>
            <a:ext uri="{FF2B5EF4-FFF2-40B4-BE49-F238E27FC236}">
              <a16:creationId xmlns:a16="http://schemas.microsoft.com/office/drawing/2014/main" id="{8B286868-8752-4E68-AD52-027FB8D8E9B1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694" name="Text Box 1">
          <a:extLst>
            <a:ext uri="{FF2B5EF4-FFF2-40B4-BE49-F238E27FC236}">
              <a16:creationId xmlns:a16="http://schemas.microsoft.com/office/drawing/2014/main" id="{BD3DBA98-5079-441D-B371-2198C664C9FE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695" name="Text Box 1">
          <a:extLst>
            <a:ext uri="{FF2B5EF4-FFF2-40B4-BE49-F238E27FC236}">
              <a16:creationId xmlns:a16="http://schemas.microsoft.com/office/drawing/2014/main" id="{92954AD4-CC67-4656-9D0F-503717A6B60E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696" name="Text Box 1">
          <a:extLst>
            <a:ext uri="{FF2B5EF4-FFF2-40B4-BE49-F238E27FC236}">
              <a16:creationId xmlns:a16="http://schemas.microsoft.com/office/drawing/2014/main" id="{8D3EC2C2-3C29-40AA-A0F9-CA8A3F8760B8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697" name="Text Box 1">
          <a:extLst>
            <a:ext uri="{FF2B5EF4-FFF2-40B4-BE49-F238E27FC236}">
              <a16:creationId xmlns:a16="http://schemas.microsoft.com/office/drawing/2014/main" id="{40E5555A-2EC4-4D8A-BD8A-CD87BF40B8E9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698" name="Text Box 1">
          <a:extLst>
            <a:ext uri="{FF2B5EF4-FFF2-40B4-BE49-F238E27FC236}">
              <a16:creationId xmlns:a16="http://schemas.microsoft.com/office/drawing/2014/main" id="{5266EE21-30F1-4A89-8DDC-15A42BB974FF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699" name="Text Box 1">
          <a:extLst>
            <a:ext uri="{FF2B5EF4-FFF2-40B4-BE49-F238E27FC236}">
              <a16:creationId xmlns:a16="http://schemas.microsoft.com/office/drawing/2014/main" id="{C9F52908-ADD1-48DA-B0E0-878AA28AE910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700" name="Text Box 1">
          <a:extLst>
            <a:ext uri="{FF2B5EF4-FFF2-40B4-BE49-F238E27FC236}">
              <a16:creationId xmlns:a16="http://schemas.microsoft.com/office/drawing/2014/main" id="{E9D59B07-01F5-4F62-92DD-A23371604C7C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701" name="Text Box 1">
          <a:extLst>
            <a:ext uri="{FF2B5EF4-FFF2-40B4-BE49-F238E27FC236}">
              <a16:creationId xmlns:a16="http://schemas.microsoft.com/office/drawing/2014/main" id="{118B341A-1F86-49EB-9773-710A4565611F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702" name="Text Box 1">
          <a:extLst>
            <a:ext uri="{FF2B5EF4-FFF2-40B4-BE49-F238E27FC236}">
              <a16:creationId xmlns:a16="http://schemas.microsoft.com/office/drawing/2014/main" id="{778D4A41-761D-4D56-BBFF-F6D3B0345AAE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703" name="Text Box 1">
          <a:extLst>
            <a:ext uri="{FF2B5EF4-FFF2-40B4-BE49-F238E27FC236}">
              <a16:creationId xmlns:a16="http://schemas.microsoft.com/office/drawing/2014/main" id="{A1297464-2559-4188-BBEF-309AEB3C781B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704" name="Text Box 1">
          <a:extLst>
            <a:ext uri="{FF2B5EF4-FFF2-40B4-BE49-F238E27FC236}">
              <a16:creationId xmlns:a16="http://schemas.microsoft.com/office/drawing/2014/main" id="{67152716-C0F2-41C9-8EC8-E757F18A8CA3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705" name="Text Box 1">
          <a:extLst>
            <a:ext uri="{FF2B5EF4-FFF2-40B4-BE49-F238E27FC236}">
              <a16:creationId xmlns:a16="http://schemas.microsoft.com/office/drawing/2014/main" id="{1E326AF5-74D7-42B8-AD56-908FE5C9CC82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706" name="Text Box 1">
          <a:extLst>
            <a:ext uri="{FF2B5EF4-FFF2-40B4-BE49-F238E27FC236}">
              <a16:creationId xmlns:a16="http://schemas.microsoft.com/office/drawing/2014/main" id="{A0AD5995-B53D-4C8D-A6DD-4B57E122594E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707" name="Text Box 1">
          <a:extLst>
            <a:ext uri="{FF2B5EF4-FFF2-40B4-BE49-F238E27FC236}">
              <a16:creationId xmlns:a16="http://schemas.microsoft.com/office/drawing/2014/main" id="{FD65AFEE-C040-4820-B015-09E011BF32BB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708" name="Text Box 1">
          <a:extLst>
            <a:ext uri="{FF2B5EF4-FFF2-40B4-BE49-F238E27FC236}">
              <a16:creationId xmlns:a16="http://schemas.microsoft.com/office/drawing/2014/main" id="{2D6FB687-160C-46EB-99D2-7B8912FA9839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709" name="Text Box 1">
          <a:extLst>
            <a:ext uri="{FF2B5EF4-FFF2-40B4-BE49-F238E27FC236}">
              <a16:creationId xmlns:a16="http://schemas.microsoft.com/office/drawing/2014/main" id="{6651CF4E-93C9-42BE-9918-8F7469352787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710" name="Text Box 1">
          <a:extLst>
            <a:ext uri="{FF2B5EF4-FFF2-40B4-BE49-F238E27FC236}">
              <a16:creationId xmlns:a16="http://schemas.microsoft.com/office/drawing/2014/main" id="{8F0D564B-7896-42BD-B121-550E9B13A874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711" name="Text Box 1">
          <a:extLst>
            <a:ext uri="{FF2B5EF4-FFF2-40B4-BE49-F238E27FC236}">
              <a16:creationId xmlns:a16="http://schemas.microsoft.com/office/drawing/2014/main" id="{74CF01C8-9C3A-42AF-A4C3-427B7EA0555B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712" name="Text Box 1">
          <a:extLst>
            <a:ext uri="{FF2B5EF4-FFF2-40B4-BE49-F238E27FC236}">
              <a16:creationId xmlns:a16="http://schemas.microsoft.com/office/drawing/2014/main" id="{557A3D2C-893E-4CD8-93DC-49DF2E196335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713" name="Text Box 1">
          <a:extLst>
            <a:ext uri="{FF2B5EF4-FFF2-40B4-BE49-F238E27FC236}">
              <a16:creationId xmlns:a16="http://schemas.microsoft.com/office/drawing/2014/main" id="{433B24E5-143C-4839-A899-38C16412BE70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714" name="Text Box 1">
          <a:extLst>
            <a:ext uri="{FF2B5EF4-FFF2-40B4-BE49-F238E27FC236}">
              <a16:creationId xmlns:a16="http://schemas.microsoft.com/office/drawing/2014/main" id="{7712DE20-A2E2-4B77-9272-74257AF32C9F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715" name="Text Box 1">
          <a:extLst>
            <a:ext uri="{FF2B5EF4-FFF2-40B4-BE49-F238E27FC236}">
              <a16:creationId xmlns:a16="http://schemas.microsoft.com/office/drawing/2014/main" id="{D8F00F41-43A4-4CF8-B4E8-2EDAD40B5E95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716" name="Text Box 1">
          <a:extLst>
            <a:ext uri="{FF2B5EF4-FFF2-40B4-BE49-F238E27FC236}">
              <a16:creationId xmlns:a16="http://schemas.microsoft.com/office/drawing/2014/main" id="{1A73D47D-2E0E-4285-9E82-664494FBC2F9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717" name="Text Box 1">
          <a:extLst>
            <a:ext uri="{FF2B5EF4-FFF2-40B4-BE49-F238E27FC236}">
              <a16:creationId xmlns:a16="http://schemas.microsoft.com/office/drawing/2014/main" id="{C62B7B30-522F-4A2F-BD28-E549C158D9C9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718" name="Text Box 1">
          <a:extLst>
            <a:ext uri="{FF2B5EF4-FFF2-40B4-BE49-F238E27FC236}">
              <a16:creationId xmlns:a16="http://schemas.microsoft.com/office/drawing/2014/main" id="{7CC64FAA-BDEC-49AD-AAA4-5569F207F0E0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719" name="Text Box 1">
          <a:extLst>
            <a:ext uri="{FF2B5EF4-FFF2-40B4-BE49-F238E27FC236}">
              <a16:creationId xmlns:a16="http://schemas.microsoft.com/office/drawing/2014/main" id="{10EC8107-3E57-41B2-B833-63E8C24F12A2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720" name="Text Box 1">
          <a:extLst>
            <a:ext uri="{FF2B5EF4-FFF2-40B4-BE49-F238E27FC236}">
              <a16:creationId xmlns:a16="http://schemas.microsoft.com/office/drawing/2014/main" id="{80F9FBAD-5AD4-45D9-9694-5070545A53E0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721" name="Text Box 1">
          <a:extLst>
            <a:ext uri="{FF2B5EF4-FFF2-40B4-BE49-F238E27FC236}">
              <a16:creationId xmlns:a16="http://schemas.microsoft.com/office/drawing/2014/main" id="{3DF458A0-761E-4C4C-B2B1-B22EA839447F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722" name="Text Box 1">
          <a:extLst>
            <a:ext uri="{FF2B5EF4-FFF2-40B4-BE49-F238E27FC236}">
              <a16:creationId xmlns:a16="http://schemas.microsoft.com/office/drawing/2014/main" id="{9CB7624A-1553-46AD-BFEB-2E2F261C095F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723" name="Text Box 1">
          <a:extLst>
            <a:ext uri="{FF2B5EF4-FFF2-40B4-BE49-F238E27FC236}">
              <a16:creationId xmlns:a16="http://schemas.microsoft.com/office/drawing/2014/main" id="{4896B5D7-10A7-468E-AE8E-4EC4C670C782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724" name="Text Box 1">
          <a:extLst>
            <a:ext uri="{FF2B5EF4-FFF2-40B4-BE49-F238E27FC236}">
              <a16:creationId xmlns:a16="http://schemas.microsoft.com/office/drawing/2014/main" id="{FF126791-90B9-4971-B5A4-BA03CE63B7A2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725" name="Text Box 1">
          <a:extLst>
            <a:ext uri="{FF2B5EF4-FFF2-40B4-BE49-F238E27FC236}">
              <a16:creationId xmlns:a16="http://schemas.microsoft.com/office/drawing/2014/main" id="{3843DDE0-8A1E-4AFD-8A4A-BA672B4571A5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726" name="Text Box 1">
          <a:extLst>
            <a:ext uri="{FF2B5EF4-FFF2-40B4-BE49-F238E27FC236}">
              <a16:creationId xmlns:a16="http://schemas.microsoft.com/office/drawing/2014/main" id="{A78424C9-E494-4716-A3F1-6C9B2E1EC869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727" name="Text Box 1">
          <a:extLst>
            <a:ext uri="{FF2B5EF4-FFF2-40B4-BE49-F238E27FC236}">
              <a16:creationId xmlns:a16="http://schemas.microsoft.com/office/drawing/2014/main" id="{B7BDC4DC-DB9C-41CE-99FB-7CE96643690F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728" name="Text Box 1">
          <a:extLst>
            <a:ext uri="{FF2B5EF4-FFF2-40B4-BE49-F238E27FC236}">
              <a16:creationId xmlns:a16="http://schemas.microsoft.com/office/drawing/2014/main" id="{F40444AE-2DAA-4F3F-8540-957A46D86E0A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729" name="Text Box 1">
          <a:extLst>
            <a:ext uri="{FF2B5EF4-FFF2-40B4-BE49-F238E27FC236}">
              <a16:creationId xmlns:a16="http://schemas.microsoft.com/office/drawing/2014/main" id="{EF62398D-8AAC-460C-AB95-B1782C03BA4A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730" name="Text Box 1">
          <a:extLst>
            <a:ext uri="{FF2B5EF4-FFF2-40B4-BE49-F238E27FC236}">
              <a16:creationId xmlns:a16="http://schemas.microsoft.com/office/drawing/2014/main" id="{BB97D341-BE7F-422E-8852-84668484CD25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731" name="Text Box 1">
          <a:extLst>
            <a:ext uri="{FF2B5EF4-FFF2-40B4-BE49-F238E27FC236}">
              <a16:creationId xmlns:a16="http://schemas.microsoft.com/office/drawing/2014/main" id="{28FB8972-2055-4B04-9E18-FA5292CB3CAE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732" name="Text Box 1">
          <a:extLst>
            <a:ext uri="{FF2B5EF4-FFF2-40B4-BE49-F238E27FC236}">
              <a16:creationId xmlns:a16="http://schemas.microsoft.com/office/drawing/2014/main" id="{E469E3AC-9D14-4B54-B510-4C422F5B5FC8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733" name="Text Box 1">
          <a:extLst>
            <a:ext uri="{FF2B5EF4-FFF2-40B4-BE49-F238E27FC236}">
              <a16:creationId xmlns:a16="http://schemas.microsoft.com/office/drawing/2014/main" id="{21870F43-A843-4B03-AE21-44BAA97DB2F4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734" name="Text Box 1">
          <a:extLst>
            <a:ext uri="{FF2B5EF4-FFF2-40B4-BE49-F238E27FC236}">
              <a16:creationId xmlns:a16="http://schemas.microsoft.com/office/drawing/2014/main" id="{449D186E-497F-4AE3-8646-3483EF828F35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735" name="Text Box 1">
          <a:extLst>
            <a:ext uri="{FF2B5EF4-FFF2-40B4-BE49-F238E27FC236}">
              <a16:creationId xmlns:a16="http://schemas.microsoft.com/office/drawing/2014/main" id="{69E46980-55DE-4124-8830-364DBA4E528B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736" name="Text Box 1">
          <a:extLst>
            <a:ext uri="{FF2B5EF4-FFF2-40B4-BE49-F238E27FC236}">
              <a16:creationId xmlns:a16="http://schemas.microsoft.com/office/drawing/2014/main" id="{05A3A082-BB98-4C58-8264-5CEA72B6A1AC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737" name="Text Box 1">
          <a:extLst>
            <a:ext uri="{FF2B5EF4-FFF2-40B4-BE49-F238E27FC236}">
              <a16:creationId xmlns:a16="http://schemas.microsoft.com/office/drawing/2014/main" id="{C986C9F8-92A4-4808-A7D5-C1C53E724E86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738" name="Text Box 1">
          <a:extLst>
            <a:ext uri="{FF2B5EF4-FFF2-40B4-BE49-F238E27FC236}">
              <a16:creationId xmlns:a16="http://schemas.microsoft.com/office/drawing/2014/main" id="{0943C165-1884-4F49-955C-AB473768D740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739" name="Text Box 1">
          <a:extLst>
            <a:ext uri="{FF2B5EF4-FFF2-40B4-BE49-F238E27FC236}">
              <a16:creationId xmlns:a16="http://schemas.microsoft.com/office/drawing/2014/main" id="{D2F257CB-68D1-4E49-A28B-E8435CA24952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740" name="Text Box 1">
          <a:extLst>
            <a:ext uri="{FF2B5EF4-FFF2-40B4-BE49-F238E27FC236}">
              <a16:creationId xmlns:a16="http://schemas.microsoft.com/office/drawing/2014/main" id="{747F86F2-DD0B-4485-BC41-EE1BD9C59EC8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741" name="Text Box 1">
          <a:extLst>
            <a:ext uri="{FF2B5EF4-FFF2-40B4-BE49-F238E27FC236}">
              <a16:creationId xmlns:a16="http://schemas.microsoft.com/office/drawing/2014/main" id="{BEA56EC5-AB23-404E-A7FA-B1A37D7ED053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742" name="Text Box 1">
          <a:extLst>
            <a:ext uri="{FF2B5EF4-FFF2-40B4-BE49-F238E27FC236}">
              <a16:creationId xmlns:a16="http://schemas.microsoft.com/office/drawing/2014/main" id="{43C2BE29-5DBB-46E1-AAD3-62515978A6FE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743" name="Text Box 1">
          <a:extLst>
            <a:ext uri="{FF2B5EF4-FFF2-40B4-BE49-F238E27FC236}">
              <a16:creationId xmlns:a16="http://schemas.microsoft.com/office/drawing/2014/main" id="{3FFFE582-A83B-40E3-857A-3A9092E58E45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744" name="Text Box 1">
          <a:extLst>
            <a:ext uri="{FF2B5EF4-FFF2-40B4-BE49-F238E27FC236}">
              <a16:creationId xmlns:a16="http://schemas.microsoft.com/office/drawing/2014/main" id="{FC12681E-4F66-475B-8B4D-302B47AFD34C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745" name="Text Box 1">
          <a:extLst>
            <a:ext uri="{FF2B5EF4-FFF2-40B4-BE49-F238E27FC236}">
              <a16:creationId xmlns:a16="http://schemas.microsoft.com/office/drawing/2014/main" id="{B99CA53C-5EBB-4CE6-8FC4-6EA53C37BD82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746" name="Text Box 1">
          <a:extLst>
            <a:ext uri="{FF2B5EF4-FFF2-40B4-BE49-F238E27FC236}">
              <a16:creationId xmlns:a16="http://schemas.microsoft.com/office/drawing/2014/main" id="{4C29830A-2021-4760-A362-C3B7460F28BF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747" name="Text Box 1">
          <a:extLst>
            <a:ext uri="{FF2B5EF4-FFF2-40B4-BE49-F238E27FC236}">
              <a16:creationId xmlns:a16="http://schemas.microsoft.com/office/drawing/2014/main" id="{53BBD80B-CBE7-4975-B3A5-153CF49640F8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748" name="Text Box 1">
          <a:extLst>
            <a:ext uri="{FF2B5EF4-FFF2-40B4-BE49-F238E27FC236}">
              <a16:creationId xmlns:a16="http://schemas.microsoft.com/office/drawing/2014/main" id="{746BD0AA-3E05-4D8D-A336-5C8DEE338A86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749" name="Text Box 1">
          <a:extLst>
            <a:ext uri="{FF2B5EF4-FFF2-40B4-BE49-F238E27FC236}">
              <a16:creationId xmlns:a16="http://schemas.microsoft.com/office/drawing/2014/main" id="{8B69A531-C1CE-4AD9-9405-9FBF79EFF3BB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750" name="Text Box 1">
          <a:extLst>
            <a:ext uri="{FF2B5EF4-FFF2-40B4-BE49-F238E27FC236}">
              <a16:creationId xmlns:a16="http://schemas.microsoft.com/office/drawing/2014/main" id="{84A2DDC4-EA6E-467A-A749-10DA9EA7453C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751" name="Text Box 1">
          <a:extLst>
            <a:ext uri="{FF2B5EF4-FFF2-40B4-BE49-F238E27FC236}">
              <a16:creationId xmlns:a16="http://schemas.microsoft.com/office/drawing/2014/main" id="{F6515377-A304-49E9-921D-152F5C6C2320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752" name="Text Box 1">
          <a:extLst>
            <a:ext uri="{FF2B5EF4-FFF2-40B4-BE49-F238E27FC236}">
              <a16:creationId xmlns:a16="http://schemas.microsoft.com/office/drawing/2014/main" id="{1DFA823C-FF69-4693-A8AA-71D99204CA57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753" name="Text Box 1">
          <a:extLst>
            <a:ext uri="{FF2B5EF4-FFF2-40B4-BE49-F238E27FC236}">
              <a16:creationId xmlns:a16="http://schemas.microsoft.com/office/drawing/2014/main" id="{AF39E25F-A9FB-47BB-AEE1-243D5F058D4F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754" name="Text Box 1">
          <a:extLst>
            <a:ext uri="{FF2B5EF4-FFF2-40B4-BE49-F238E27FC236}">
              <a16:creationId xmlns:a16="http://schemas.microsoft.com/office/drawing/2014/main" id="{D05B075E-F664-4EC2-9767-14FC5B9B6B47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755" name="Text Box 1">
          <a:extLst>
            <a:ext uri="{FF2B5EF4-FFF2-40B4-BE49-F238E27FC236}">
              <a16:creationId xmlns:a16="http://schemas.microsoft.com/office/drawing/2014/main" id="{ECCDD1D0-5E31-40BE-94AF-F7B659249A6D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756" name="Text Box 1">
          <a:extLst>
            <a:ext uri="{FF2B5EF4-FFF2-40B4-BE49-F238E27FC236}">
              <a16:creationId xmlns:a16="http://schemas.microsoft.com/office/drawing/2014/main" id="{860C2D3D-8F15-4F98-9FCC-F2EF4BE62E0A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757" name="Text Box 1">
          <a:extLst>
            <a:ext uri="{FF2B5EF4-FFF2-40B4-BE49-F238E27FC236}">
              <a16:creationId xmlns:a16="http://schemas.microsoft.com/office/drawing/2014/main" id="{2C928B6F-DBAB-4A42-BAB4-78A5F43CF459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758" name="Text Box 1">
          <a:extLst>
            <a:ext uri="{FF2B5EF4-FFF2-40B4-BE49-F238E27FC236}">
              <a16:creationId xmlns:a16="http://schemas.microsoft.com/office/drawing/2014/main" id="{B3B88863-A724-45C5-AD1F-BC2AAC808B1D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759" name="Text Box 1">
          <a:extLst>
            <a:ext uri="{FF2B5EF4-FFF2-40B4-BE49-F238E27FC236}">
              <a16:creationId xmlns:a16="http://schemas.microsoft.com/office/drawing/2014/main" id="{35C91665-E604-4B33-9A35-36BDC420568F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760" name="Text Box 1">
          <a:extLst>
            <a:ext uri="{FF2B5EF4-FFF2-40B4-BE49-F238E27FC236}">
              <a16:creationId xmlns:a16="http://schemas.microsoft.com/office/drawing/2014/main" id="{50A8D3DC-7282-42D2-AFB2-4A10A96E4298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761" name="Text Box 1">
          <a:extLst>
            <a:ext uri="{FF2B5EF4-FFF2-40B4-BE49-F238E27FC236}">
              <a16:creationId xmlns:a16="http://schemas.microsoft.com/office/drawing/2014/main" id="{9B7987C3-FF87-479F-88BA-4F0657F53D11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762" name="Text Box 1">
          <a:extLst>
            <a:ext uri="{FF2B5EF4-FFF2-40B4-BE49-F238E27FC236}">
              <a16:creationId xmlns:a16="http://schemas.microsoft.com/office/drawing/2014/main" id="{7AFD579D-39E5-4636-9484-79166A0F605C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763" name="Text Box 1">
          <a:extLst>
            <a:ext uri="{FF2B5EF4-FFF2-40B4-BE49-F238E27FC236}">
              <a16:creationId xmlns:a16="http://schemas.microsoft.com/office/drawing/2014/main" id="{0A2CEC5A-33DA-4F94-9AC1-DC8E39B82483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764" name="Text Box 1">
          <a:extLst>
            <a:ext uri="{FF2B5EF4-FFF2-40B4-BE49-F238E27FC236}">
              <a16:creationId xmlns:a16="http://schemas.microsoft.com/office/drawing/2014/main" id="{8772D0E9-C7D4-444D-8881-781C4E858CBD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765" name="Text Box 1">
          <a:extLst>
            <a:ext uri="{FF2B5EF4-FFF2-40B4-BE49-F238E27FC236}">
              <a16:creationId xmlns:a16="http://schemas.microsoft.com/office/drawing/2014/main" id="{665825FE-88EB-4C83-94D7-74C9BEF17E11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766" name="Text Box 1">
          <a:extLst>
            <a:ext uri="{FF2B5EF4-FFF2-40B4-BE49-F238E27FC236}">
              <a16:creationId xmlns:a16="http://schemas.microsoft.com/office/drawing/2014/main" id="{241839C5-C764-47FB-992B-7A63497BBDBE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767" name="Text Box 1">
          <a:extLst>
            <a:ext uri="{FF2B5EF4-FFF2-40B4-BE49-F238E27FC236}">
              <a16:creationId xmlns:a16="http://schemas.microsoft.com/office/drawing/2014/main" id="{83198556-4BED-42B1-88AA-529F7F0A0A1D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768" name="Text Box 1">
          <a:extLst>
            <a:ext uri="{FF2B5EF4-FFF2-40B4-BE49-F238E27FC236}">
              <a16:creationId xmlns:a16="http://schemas.microsoft.com/office/drawing/2014/main" id="{2555C903-DBFC-48E6-9A0C-DF403B08DDF0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769" name="Text Box 1">
          <a:extLst>
            <a:ext uri="{FF2B5EF4-FFF2-40B4-BE49-F238E27FC236}">
              <a16:creationId xmlns:a16="http://schemas.microsoft.com/office/drawing/2014/main" id="{AC976654-F503-4C8D-980D-619E163B1C0E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770" name="Text Box 1">
          <a:extLst>
            <a:ext uri="{FF2B5EF4-FFF2-40B4-BE49-F238E27FC236}">
              <a16:creationId xmlns:a16="http://schemas.microsoft.com/office/drawing/2014/main" id="{F6E64579-284C-41E9-B03A-74F554F13C36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771" name="Text Box 1">
          <a:extLst>
            <a:ext uri="{FF2B5EF4-FFF2-40B4-BE49-F238E27FC236}">
              <a16:creationId xmlns:a16="http://schemas.microsoft.com/office/drawing/2014/main" id="{BDE331B2-5144-4A4B-871C-A71ABFFC36BC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772" name="Text Box 1">
          <a:extLst>
            <a:ext uri="{FF2B5EF4-FFF2-40B4-BE49-F238E27FC236}">
              <a16:creationId xmlns:a16="http://schemas.microsoft.com/office/drawing/2014/main" id="{62711DE1-FC51-48E1-8BDD-6C938D02A3AD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773" name="Text Box 1">
          <a:extLst>
            <a:ext uri="{FF2B5EF4-FFF2-40B4-BE49-F238E27FC236}">
              <a16:creationId xmlns:a16="http://schemas.microsoft.com/office/drawing/2014/main" id="{2EE717F9-651E-4142-952B-5C808C1FE51D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774" name="Text Box 1">
          <a:extLst>
            <a:ext uri="{FF2B5EF4-FFF2-40B4-BE49-F238E27FC236}">
              <a16:creationId xmlns:a16="http://schemas.microsoft.com/office/drawing/2014/main" id="{B2446283-4228-466A-9A2B-E15D6B0990EE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775" name="Text Box 1">
          <a:extLst>
            <a:ext uri="{FF2B5EF4-FFF2-40B4-BE49-F238E27FC236}">
              <a16:creationId xmlns:a16="http://schemas.microsoft.com/office/drawing/2014/main" id="{9B2692EE-B353-4732-AE0C-FD3050FBA8AA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776" name="Text Box 1">
          <a:extLst>
            <a:ext uri="{FF2B5EF4-FFF2-40B4-BE49-F238E27FC236}">
              <a16:creationId xmlns:a16="http://schemas.microsoft.com/office/drawing/2014/main" id="{A92B7F53-61F6-4170-8227-B6655E0EFD6A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777" name="Text Box 1">
          <a:extLst>
            <a:ext uri="{FF2B5EF4-FFF2-40B4-BE49-F238E27FC236}">
              <a16:creationId xmlns:a16="http://schemas.microsoft.com/office/drawing/2014/main" id="{DFEB9DB0-7B13-48BC-BF72-7F2D3EECC340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778" name="Text Box 1">
          <a:extLst>
            <a:ext uri="{FF2B5EF4-FFF2-40B4-BE49-F238E27FC236}">
              <a16:creationId xmlns:a16="http://schemas.microsoft.com/office/drawing/2014/main" id="{6D9F592C-C0E3-4C2D-90E9-A525540D4F00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779" name="Text Box 1">
          <a:extLst>
            <a:ext uri="{FF2B5EF4-FFF2-40B4-BE49-F238E27FC236}">
              <a16:creationId xmlns:a16="http://schemas.microsoft.com/office/drawing/2014/main" id="{CCE0D416-FBFC-4191-961E-DDD38FD33723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780" name="Text Box 1">
          <a:extLst>
            <a:ext uri="{FF2B5EF4-FFF2-40B4-BE49-F238E27FC236}">
              <a16:creationId xmlns:a16="http://schemas.microsoft.com/office/drawing/2014/main" id="{51B9EE8A-7C15-426A-A466-E6D7934A3AE1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781" name="Text Box 1">
          <a:extLst>
            <a:ext uri="{FF2B5EF4-FFF2-40B4-BE49-F238E27FC236}">
              <a16:creationId xmlns:a16="http://schemas.microsoft.com/office/drawing/2014/main" id="{F0C7EF55-EB7B-4790-ACBE-4A1AEC3AF87D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782" name="Text Box 1">
          <a:extLst>
            <a:ext uri="{FF2B5EF4-FFF2-40B4-BE49-F238E27FC236}">
              <a16:creationId xmlns:a16="http://schemas.microsoft.com/office/drawing/2014/main" id="{10F03D38-A161-47B8-83C3-EF84E1B1F509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783" name="Text Box 1">
          <a:extLst>
            <a:ext uri="{FF2B5EF4-FFF2-40B4-BE49-F238E27FC236}">
              <a16:creationId xmlns:a16="http://schemas.microsoft.com/office/drawing/2014/main" id="{B7E043FC-CED8-4846-92E2-05D33E474106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784" name="Text Box 1">
          <a:extLst>
            <a:ext uri="{FF2B5EF4-FFF2-40B4-BE49-F238E27FC236}">
              <a16:creationId xmlns:a16="http://schemas.microsoft.com/office/drawing/2014/main" id="{DDF9A577-C0ED-4BC8-8865-6B2800136D65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785" name="Text Box 1">
          <a:extLst>
            <a:ext uri="{FF2B5EF4-FFF2-40B4-BE49-F238E27FC236}">
              <a16:creationId xmlns:a16="http://schemas.microsoft.com/office/drawing/2014/main" id="{3A11B68B-BEE0-406A-9AD6-ADD2E1F603AA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786" name="Text Box 1">
          <a:extLst>
            <a:ext uri="{FF2B5EF4-FFF2-40B4-BE49-F238E27FC236}">
              <a16:creationId xmlns:a16="http://schemas.microsoft.com/office/drawing/2014/main" id="{B8AE8DD2-4123-4512-90B0-D57CF678A0CF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787" name="Text Box 1">
          <a:extLst>
            <a:ext uri="{FF2B5EF4-FFF2-40B4-BE49-F238E27FC236}">
              <a16:creationId xmlns:a16="http://schemas.microsoft.com/office/drawing/2014/main" id="{FC729972-E9CA-4386-A5AD-55BF855121A8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788" name="Text Box 1">
          <a:extLst>
            <a:ext uri="{FF2B5EF4-FFF2-40B4-BE49-F238E27FC236}">
              <a16:creationId xmlns:a16="http://schemas.microsoft.com/office/drawing/2014/main" id="{60B2ED4F-CBCE-4D06-89EB-EC70A7A1F75A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789" name="Text Box 1">
          <a:extLst>
            <a:ext uri="{FF2B5EF4-FFF2-40B4-BE49-F238E27FC236}">
              <a16:creationId xmlns:a16="http://schemas.microsoft.com/office/drawing/2014/main" id="{B8F41611-186D-4424-B001-1FD486FB1CBE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790" name="Text Box 1">
          <a:extLst>
            <a:ext uri="{FF2B5EF4-FFF2-40B4-BE49-F238E27FC236}">
              <a16:creationId xmlns:a16="http://schemas.microsoft.com/office/drawing/2014/main" id="{A94C6F9E-7740-41A6-A215-E76F9505461F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791" name="Text Box 1">
          <a:extLst>
            <a:ext uri="{FF2B5EF4-FFF2-40B4-BE49-F238E27FC236}">
              <a16:creationId xmlns:a16="http://schemas.microsoft.com/office/drawing/2014/main" id="{5AE979D6-80E8-4191-ACE4-3D7130182553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792" name="Text Box 1">
          <a:extLst>
            <a:ext uri="{FF2B5EF4-FFF2-40B4-BE49-F238E27FC236}">
              <a16:creationId xmlns:a16="http://schemas.microsoft.com/office/drawing/2014/main" id="{43C1B5D4-58A3-4646-AF79-BE22439AF329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793" name="Text Box 1">
          <a:extLst>
            <a:ext uri="{FF2B5EF4-FFF2-40B4-BE49-F238E27FC236}">
              <a16:creationId xmlns:a16="http://schemas.microsoft.com/office/drawing/2014/main" id="{090307F0-D147-4B29-A2AF-E29AF6F8C3C4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794" name="Text Box 1">
          <a:extLst>
            <a:ext uri="{FF2B5EF4-FFF2-40B4-BE49-F238E27FC236}">
              <a16:creationId xmlns:a16="http://schemas.microsoft.com/office/drawing/2014/main" id="{9CE777CB-36B8-44EB-AC02-E2280B5868D0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795" name="Text Box 1">
          <a:extLst>
            <a:ext uri="{FF2B5EF4-FFF2-40B4-BE49-F238E27FC236}">
              <a16:creationId xmlns:a16="http://schemas.microsoft.com/office/drawing/2014/main" id="{EBD01180-FBAF-47E1-BF56-54A1A09E23E6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796" name="Text Box 1">
          <a:extLst>
            <a:ext uri="{FF2B5EF4-FFF2-40B4-BE49-F238E27FC236}">
              <a16:creationId xmlns:a16="http://schemas.microsoft.com/office/drawing/2014/main" id="{C10B4E7F-6DAB-4CB0-B304-15791A0A758D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797" name="Text Box 1">
          <a:extLst>
            <a:ext uri="{FF2B5EF4-FFF2-40B4-BE49-F238E27FC236}">
              <a16:creationId xmlns:a16="http://schemas.microsoft.com/office/drawing/2014/main" id="{6C2ADE6A-0BEC-4B51-9C23-27CA1AF78EDB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798" name="Text Box 1">
          <a:extLst>
            <a:ext uri="{FF2B5EF4-FFF2-40B4-BE49-F238E27FC236}">
              <a16:creationId xmlns:a16="http://schemas.microsoft.com/office/drawing/2014/main" id="{8EB5D0C6-14E9-4739-B40E-618FB3CAA4E4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799" name="Text Box 1">
          <a:extLst>
            <a:ext uri="{FF2B5EF4-FFF2-40B4-BE49-F238E27FC236}">
              <a16:creationId xmlns:a16="http://schemas.microsoft.com/office/drawing/2014/main" id="{A5ECD092-46FA-4CC4-A0AC-D7BB18FD9BCC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800" name="Text Box 1">
          <a:extLst>
            <a:ext uri="{FF2B5EF4-FFF2-40B4-BE49-F238E27FC236}">
              <a16:creationId xmlns:a16="http://schemas.microsoft.com/office/drawing/2014/main" id="{B353F99F-FEB0-4EFE-BFD4-7CCA02D535FD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801" name="Text Box 1">
          <a:extLst>
            <a:ext uri="{FF2B5EF4-FFF2-40B4-BE49-F238E27FC236}">
              <a16:creationId xmlns:a16="http://schemas.microsoft.com/office/drawing/2014/main" id="{B2A2EB96-AFEC-4D96-9AC9-6881D74E5F58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802" name="Text Box 1">
          <a:extLst>
            <a:ext uri="{FF2B5EF4-FFF2-40B4-BE49-F238E27FC236}">
              <a16:creationId xmlns:a16="http://schemas.microsoft.com/office/drawing/2014/main" id="{1E7045C4-6FFE-4A68-AA6F-4504075539BC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803" name="Text Box 1">
          <a:extLst>
            <a:ext uri="{FF2B5EF4-FFF2-40B4-BE49-F238E27FC236}">
              <a16:creationId xmlns:a16="http://schemas.microsoft.com/office/drawing/2014/main" id="{0E42907D-FE01-4D61-9CE2-9666CE6E4465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804" name="Text Box 1">
          <a:extLst>
            <a:ext uri="{FF2B5EF4-FFF2-40B4-BE49-F238E27FC236}">
              <a16:creationId xmlns:a16="http://schemas.microsoft.com/office/drawing/2014/main" id="{817FC894-1BDC-493C-99F3-25116266964D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805" name="Text Box 1">
          <a:extLst>
            <a:ext uri="{FF2B5EF4-FFF2-40B4-BE49-F238E27FC236}">
              <a16:creationId xmlns:a16="http://schemas.microsoft.com/office/drawing/2014/main" id="{64524C76-EB5B-4ED7-8BAF-0C586ACF8017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806" name="Text Box 1">
          <a:extLst>
            <a:ext uri="{FF2B5EF4-FFF2-40B4-BE49-F238E27FC236}">
              <a16:creationId xmlns:a16="http://schemas.microsoft.com/office/drawing/2014/main" id="{CCE43D1E-DEB2-420F-BCDA-794825657A98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807" name="Text Box 1">
          <a:extLst>
            <a:ext uri="{FF2B5EF4-FFF2-40B4-BE49-F238E27FC236}">
              <a16:creationId xmlns:a16="http://schemas.microsoft.com/office/drawing/2014/main" id="{3F30342C-BFD5-4401-8344-900ED47251A4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808" name="Text Box 1">
          <a:extLst>
            <a:ext uri="{FF2B5EF4-FFF2-40B4-BE49-F238E27FC236}">
              <a16:creationId xmlns:a16="http://schemas.microsoft.com/office/drawing/2014/main" id="{603D2422-FFB4-46C0-974D-94F6252088A5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809" name="Text Box 1">
          <a:extLst>
            <a:ext uri="{FF2B5EF4-FFF2-40B4-BE49-F238E27FC236}">
              <a16:creationId xmlns:a16="http://schemas.microsoft.com/office/drawing/2014/main" id="{5D25B379-5288-4768-ACEA-596DD344C740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810" name="Text Box 1">
          <a:extLst>
            <a:ext uri="{FF2B5EF4-FFF2-40B4-BE49-F238E27FC236}">
              <a16:creationId xmlns:a16="http://schemas.microsoft.com/office/drawing/2014/main" id="{3D908D5F-E310-482C-AE8C-C6EE0FB9E60C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811" name="Text Box 1">
          <a:extLst>
            <a:ext uri="{FF2B5EF4-FFF2-40B4-BE49-F238E27FC236}">
              <a16:creationId xmlns:a16="http://schemas.microsoft.com/office/drawing/2014/main" id="{08CEF6BD-6CDE-41FC-8A77-9DB274045AC1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812" name="Text Box 1">
          <a:extLst>
            <a:ext uri="{FF2B5EF4-FFF2-40B4-BE49-F238E27FC236}">
              <a16:creationId xmlns:a16="http://schemas.microsoft.com/office/drawing/2014/main" id="{E59EE010-D73E-484E-B7B2-4A141FD90A12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813" name="Text Box 1">
          <a:extLst>
            <a:ext uri="{FF2B5EF4-FFF2-40B4-BE49-F238E27FC236}">
              <a16:creationId xmlns:a16="http://schemas.microsoft.com/office/drawing/2014/main" id="{272D2C79-C295-46FE-8ABF-7F6B464A3755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814" name="Text Box 1">
          <a:extLst>
            <a:ext uri="{FF2B5EF4-FFF2-40B4-BE49-F238E27FC236}">
              <a16:creationId xmlns:a16="http://schemas.microsoft.com/office/drawing/2014/main" id="{A26CBAF8-D4C8-49CF-9C34-E482746E48EE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815" name="Text Box 1">
          <a:extLst>
            <a:ext uri="{FF2B5EF4-FFF2-40B4-BE49-F238E27FC236}">
              <a16:creationId xmlns:a16="http://schemas.microsoft.com/office/drawing/2014/main" id="{5BE3DA2E-B462-4150-8593-C407E995823B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816" name="Text Box 1">
          <a:extLst>
            <a:ext uri="{FF2B5EF4-FFF2-40B4-BE49-F238E27FC236}">
              <a16:creationId xmlns:a16="http://schemas.microsoft.com/office/drawing/2014/main" id="{E48E216D-1647-403B-9C88-B3B3429F0C58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817" name="Text Box 1">
          <a:extLst>
            <a:ext uri="{FF2B5EF4-FFF2-40B4-BE49-F238E27FC236}">
              <a16:creationId xmlns:a16="http://schemas.microsoft.com/office/drawing/2014/main" id="{A1310BB3-8246-4FC2-87F5-3CB5CA421C82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818" name="Text Box 1">
          <a:extLst>
            <a:ext uri="{FF2B5EF4-FFF2-40B4-BE49-F238E27FC236}">
              <a16:creationId xmlns:a16="http://schemas.microsoft.com/office/drawing/2014/main" id="{5B0108F0-7B67-48E0-ACDA-3FF1A3C75B4E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819" name="Text Box 1">
          <a:extLst>
            <a:ext uri="{FF2B5EF4-FFF2-40B4-BE49-F238E27FC236}">
              <a16:creationId xmlns:a16="http://schemas.microsoft.com/office/drawing/2014/main" id="{A4D9B683-060F-4983-89E4-3AC76B453C7A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820" name="Text Box 1">
          <a:extLst>
            <a:ext uri="{FF2B5EF4-FFF2-40B4-BE49-F238E27FC236}">
              <a16:creationId xmlns:a16="http://schemas.microsoft.com/office/drawing/2014/main" id="{558087DC-24D4-44AD-9E61-2D793340AF76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821" name="Text Box 1">
          <a:extLst>
            <a:ext uri="{FF2B5EF4-FFF2-40B4-BE49-F238E27FC236}">
              <a16:creationId xmlns:a16="http://schemas.microsoft.com/office/drawing/2014/main" id="{2B69AB00-185F-4B81-B1CF-E09C6D80036A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822" name="Text Box 1">
          <a:extLst>
            <a:ext uri="{FF2B5EF4-FFF2-40B4-BE49-F238E27FC236}">
              <a16:creationId xmlns:a16="http://schemas.microsoft.com/office/drawing/2014/main" id="{C09CF0EF-E5F7-4A91-996C-7877AD18F988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823" name="Text Box 1">
          <a:extLst>
            <a:ext uri="{FF2B5EF4-FFF2-40B4-BE49-F238E27FC236}">
              <a16:creationId xmlns:a16="http://schemas.microsoft.com/office/drawing/2014/main" id="{0F394987-E0A8-404C-B157-B5EABB26D856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824" name="Text Box 1">
          <a:extLst>
            <a:ext uri="{FF2B5EF4-FFF2-40B4-BE49-F238E27FC236}">
              <a16:creationId xmlns:a16="http://schemas.microsoft.com/office/drawing/2014/main" id="{29F3861D-D30E-411D-8AEB-2E027A3E799E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825" name="Text Box 1">
          <a:extLst>
            <a:ext uri="{FF2B5EF4-FFF2-40B4-BE49-F238E27FC236}">
              <a16:creationId xmlns:a16="http://schemas.microsoft.com/office/drawing/2014/main" id="{4B9C0C9E-271A-4371-AAF8-09ADC886662D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826" name="Text Box 1">
          <a:extLst>
            <a:ext uri="{FF2B5EF4-FFF2-40B4-BE49-F238E27FC236}">
              <a16:creationId xmlns:a16="http://schemas.microsoft.com/office/drawing/2014/main" id="{87CEA0F6-0D20-4938-BF25-5D439B8170CD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827" name="Text Box 1">
          <a:extLst>
            <a:ext uri="{FF2B5EF4-FFF2-40B4-BE49-F238E27FC236}">
              <a16:creationId xmlns:a16="http://schemas.microsoft.com/office/drawing/2014/main" id="{EF243BA8-0531-49A5-9D0C-DA83EB5E3D81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828" name="Text Box 1">
          <a:extLst>
            <a:ext uri="{FF2B5EF4-FFF2-40B4-BE49-F238E27FC236}">
              <a16:creationId xmlns:a16="http://schemas.microsoft.com/office/drawing/2014/main" id="{E19B7422-42AE-4B4D-AF3A-93611EC109F8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829" name="Text Box 1">
          <a:extLst>
            <a:ext uri="{FF2B5EF4-FFF2-40B4-BE49-F238E27FC236}">
              <a16:creationId xmlns:a16="http://schemas.microsoft.com/office/drawing/2014/main" id="{256CBF46-D6DC-46B7-B9EE-2A119ABB0604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830" name="Text Box 1">
          <a:extLst>
            <a:ext uri="{FF2B5EF4-FFF2-40B4-BE49-F238E27FC236}">
              <a16:creationId xmlns:a16="http://schemas.microsoft.com/office/drawing/2014/main" id="{A16738EE-02D0-498B-9C88-D7177628D26C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831" name="Text Box 1">
          <a:extLst>
            <a:ext uri="{FF2B5EF4-FFF2-40B4-BE49-F238E27FC236}">
              <a16:creationId xmlns:a16="http://schemas.microsoft.com/office/drawing/2014/main" id="{8C28D783-E0A4-4C41-B297-F69B21B81472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832" name="Text Box 1">
          <a:extLst>
            <a:ext uri="{FF2B5EF4-FFF2-40B4-BE49-F238E27FC236}">
              <a16:creationId xmlns:a16="http://schemas.microsoft.com/office/drawing/2014/main" id="{CEAFD786-5C46-4BC3-9A2F-01B1FD442044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833" name="Text Box 1">
          <a:extLst>
            <a:ext uri="{FF2B5EF4-FFF2-40B4-BE49-F238E27FC236}">
              <a16:creationId xmlns:a16="http://schemas.microsoft.com/office/drawing/2014/main" id="{A54C1993-69B8-4499-8224-8DC09FB6D416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834" name="Text Box 1">
          <a:extLst>
            <a:ext uri="{FF2B5EF4-FFF2-40B4-BE49-F238E27FC236}">
              <a16:creationId xmlns:a16="http://schemas.microsoft.com/office/drawing/2014/main" id="{23A33DB7-2D85-401E-ACF1-F1876C4A8CA6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835" name="Text Box 1">
          <a:extLst>
            <a:ext uri="{FF2B5EF4-FFF2-40B4-BE49-F238E27FC236}">
              <a16:creationId xmlns:a16="http://schemas.microsoft.com/office/drawing/2014/main" id="{DD3B2D85-DD73-4658-B284-22543551C582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836" name="Text Box 1">
          <a:extLst>
            <a:ext uri="{FF2B5EF4-FFF2-40B4-BE49-F238E27FC236}">
              <a16:creationId xmlns:a16="http://schemas.microsoft.com/office/drawing/2014/main" id="{6C5BA263-EE10-49AA-AAAF-7A32B9C3AF4F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837" name="Text Box 1">
          <a:extLst>
            <a:ext uri="{FF2B5EF4-FFF2-40B4-BE49-F238E27FC236}">
              <a16:creationId xmlns:a16="http://schemas.microsoft.com/office/drawing/2014/main" id="{ADD240BB-1D1C-406E-8A6F-9E6FBE967654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838" name="Text Box 1">
          <a:extLst>
            <a:ext uri="{FF2B5EF4-FFF2-40B4-BE49-F238E27FC236}">
              <a16:creationId xmlns:a16="http://schemas.microsoft.com/office/drawing/2014/main" id="{7FD3FC41-5087-413F-A7E6-7D62848504C4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839" name="Text Box 1">
          <a:extLst>
            <a:ext uri="{FF2B5EF4-FFF2-40B4-BE49-F238E27FC236}">
              <a16:creationId xmlns:a16="http://schemas.microsoft.com/office/drawing/2014/main" id="{DCA6ABB3-C356-4B40-B14B-F9227DECE783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840" name="Text Box 1">
          <a:extLst>
            <a:ext uri="{FF2B5EF4-FFF2-40B4-BE49-F238E27FC236}">
              <a16:creationId xmlns:a16="http://schemas.microsoft.com/office/drawing/2014/main" id="{CBF785D7-517F-4B70-BC1D-020DE03A4100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841" name="Text Box 1">
          <a:extLst>
            <a:ext uri="{FF2B5EF4-FFF2-40B4-BE49-F238E27FC236}">
              <a16:creationId xmlns:a16="http://schemas.microsoft.com/office/drawing/2014/main" id="{5AC60EDC-D899-4E26-9102-6C29A674DCD9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842" name="Text Box 1">
          <a:extLst>
            <a:ext uri="{FF2B5EF4-FFF2-40B4-BE49-F238E27FC236}">
              <a16:creationId xmlns:a16="http://schemas.microsoft.com/office/drawing/2014/main" id="{98600A2A-6EC7-4CD4-ABBF-8499675654B8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843" name="Text Box 1">
          <a:extLst>
            <a:ext uri="{FF2B5EF4-FFF2-40B4-BE49-F238E27FC236}">
              <a16:creationId xmlns:a16="http://schemas.microsoft.com/office/drawing/2014/main" id="{E6B8A9F0-A940-4417-BE9E-BDB8FFB6CCF5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844" name="Text Box 1">
          <a:extLst>
            <a:ext uri="{FF2B5EF4-FFF2-40B4-BE49-F238E27FC236}">
              <a16:creationId xmlns:a16="http://schemas.microsoft.com/office/drawing/2014/main" id="{48ED5C8A-EED4-4EE0-951F-E4DDDD012E4D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845" name="Text Box 1">
          <a:extLst>
            <a:ext uri="{FF2B5EF4-FFF2-40B4-BE49-F238E27FC236}">
              <a16:creationId xmlns:a16="http://schemas.microsoft.com/office/drawing/2014/main" id="{132CB146-E619-4C1D-B842-2BDE191A4597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846" name="Text Box 1">
          <a:extLst>
            <a:ext uri="{FF2B5EF4-FFF2-40B4-BE49-F238E27FC236}">
              <a16:creationId xmlns:a16="http://schemas.microsoft.com/office/drawing/2014/main" id="{5FDE466F-3166-4090-BD28-4621EAFF37EF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847" name="Text Box 1">
          <a:extLst>
            <a:ext uri="{FF2B5EF4-FFF2-40B4-BE49-F238E27FC236}">
              <a16:creationId xmlns:a16="http://schemas.microsoft.com/office/drawing/2014/main" id="{00790DEB-FF0F-4747-9CD4-7A928C25311E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848" name="Text Box 1">
          <a:extLst>
            <a:ext uri="{FF2B5EF4-FFF2-40B4-BE49-F238E27FC236}">
              <a16:creationId xmlns:a16="http://schemas.microsoft.com/office/drawing/2014/main" id="{AB5687A2-5253-424A-99AE-13810E4000D1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849" name="Text Box 1">
          <a:extLst>
            <a:ext uri="{FF2B5EF4-FFF2-40B4-BE49-F238E27FC236}">
              <a16:creationId xmlns:a16="http://schemas.microsoft.com/office/drawing/2014/main" id="{CFF460E3-7AB6-4C06-BDDF-30E53EFA1193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850" name="Text Box 1">
          <a:extLst>
            <a:ext uri="{FF2B5EF4-FFF2-40B4-BE49-F238E27FC236}">
              <a16:creationId xmlns:a16="http://schemas.microsoft.com/office/drawing/2014/main" id="{998371BF-AC20-4D8E-A72E-DF73106CB488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851" name="Text Box 1">
          <a:extLst>
            <a:ext uri="{FF2B5EF4-FFF2-40B4-BE49-F238E27FC236}">
              <a16:creationId xmlns:a16="http://schemas.microsoft.com/office/drawing/2014/main" id="{8771013E-F789-4568-BE5C-DC469478C95A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852" name="Text Box 1">
          <a:extLst>
            <a:ext uri="{FF2B5EF4-FFF2-40B4-BE49-F238E27FC236}">
              <a16:creationId xmlns:a16="http://schemas.microsoft.com/office/drawing/2014/main" id="{FD8CFF35-249E-4BCE-8062-964987BDBA83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853" name="Text Box 1">
          <a:extLst>
            <a:ext uri="{FF2B5EF4-FFF2-40B4-BE49-F238E27FC236}">
              <a16:creationId xmlns:a16="http://schemas.microsoft.com/office/drawing/2014/main" id="{AE61ED7C-7854-4B71-8DE3-73AC84488DAE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854" name="Text Box 1">
          <a:extLst>
            <a:ext uri="{FF2B5EF4-FFF2-40B4-BE49-F238E27FC236}">
              <a16:creationId xmlns:a16="http://schemas.microsoft.com/office/drawing/2014/main" id="{C8655F54-1AB0-456B-9397-7B6BAF0C072D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855" name="Text Box 1">
          <a:extLst>
            <a:ext uri="{FF2B5EF4-FFF2-40B4-BE49-F238E27FC236}">
              <a16:creationId xmlns:a16="http://schemas.microsoft.com/office/drawing/2014/main" id="{D544718F-57DC-497E-9F21-A16F06D152EE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856" name="Text Box 1">
          <a:extLst>
            <a:ext uri="{FF2B5EF4-FFF2-40B4-BE49-F238E27FC236}">
              <a16:creationId xmlns:a16="http://schemas.microsoft.com/office/drawing/2014/main" id="{B7D61B2A-1430-4A8B-98B0-9A85DF13DD1B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857" name="Text Box 1">
          <a:extLst>
            <a:ext uri="{FF2B5EF4-FFF2-40B4-BE49-F238E27FC236}">
              <a16:creationId xmlns:a16="http://schemas.microsoft.com/office/drawing/2014/main" id="{AA3E6041-7EB9-4E2F-8FC3-1303E40410FE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858" name="Text Box 1">
          <a:extLst>
            <a:ext uri="{FF2B5EF4-FFF2-40B4-BE49-F238E27FC236}">
              <a16:creationId xmlns:a16="http://schemas.microsoft.com/office/drawing/2014/main" id="{87F3D577-1141-44F3-9B70-18F050BFFD07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859" name="Text Box 1">
          <a:extLst>
            <a:ext uri="{FF2B5EF4-FFF2-40B4-BE49-F238E27FC236}">
              <a16:creationId xmlns:a16="http://schemas.microsoft.com/office/drawing/2014/main" id="{1F2C6862-8BB7-4AEF-8A9C-17B15D332558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860" name="Text Box 1">
          <a:extLst>
            <a:ext uri="{FF2B5EF4-FFF2-40B4-BE49-F238E27FC236}">
              <a16:creationId xmlns:a16="http://schemas.microsoft.com/office/drawing/2014/main" id="{30C53EBD-5219-49E7-B965-3798F286F2C6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861" name="Text Box 1">
          <a:extLst>
            <a:ext uri="{FF2B5EF4-FFF2-40B4-BE49-F238E27FC236}">
              <a16:creationId xmlns:a16="http://schemas.microsoft.com/office/drawing/2014/main" id="{65D5E3BA-3299-4436-B831-A234D6A71E33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862" name="Text Box 1">
          <a:extLst>
            <a:ext uri="{FF2B5EF4-FFF2-40B4-BE49-F238E27FC236}">
              <a16:creationId xmlns:a16="http://schemas.microsoft.com/office/drawing/2014/main" id="{12697080-67AE-4FB4-B86B-8B298661D96D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863" name="Text Box 1">
          <a:extLst>
            <a:ext uri="{FF2B5EF4-FFF2-40B4-BE49-F238E27FC236}">
              <a16:creationId xmlns:a16="http://schemas.microsoft.com/office/drawing/2014/main" id="{7026E466-7B3C-48A1-899B-C65C824FCE77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864" name="Text Box 1">
          <a:extLst>
            <a:ext uri="{FF2B5EF4-FFF2-40B4-BE49-F238E27FC236}">
              <a16:creationId xmlns:a16="http://schemas.microsoft.com/office/drawing/2014/main" id="{452E0AB6-825C-4CE7-9ECD-F9D778FA957A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865" name="Text Box 1">
          <a:extLst>
            <a:ext uri="{FF2B5EF4-FFF2-40B4-BE49-F238E27FC236}">
              <a16:creationId xmlns:a16="http://schemas.microsoft.com/office/drawing/2014/main" id="{2FABAC47-C9B8-48C4-9A34-8C2357FEC6E1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866" name="Text Box 1">
          <a:extLst>
            <a:ext uri="{FF2B5EF4-FFF2-40B4-BE49-F238E27FC236}">
              <a16:creationId xmlns:a16="http://schemas.microsoft.com/office/drawing/2014/main" id="{FA50F002-F4C3-4313-BA34-5E7361985FF0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867" name="Text Box 1">
          <a:extLst>
            <a:ext uri="{FF2B5EF4-FFF2-40B4-BE49-F238E27FC236}">
              <a16:creationId xmlns:a16="http://schemas.microsoft.com/office/drawing/2014/main" id="{FDA96868-36E6-4E85-90F5-0329116F00A7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868" name="Text Box 1">
          <a:extLst>
            <a:ext uri="{FF2B5EF4-FFF2-40B4-BE49-F238E27FC236}">
              <a16:creationId xmlns:a16="http://schemas.microsoft.com/office/drawing/2014/main" id="{125BFE6F-B5D4-4564-B5D3-A2DB67AD0C1A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869" name="Text Box 1">
          <a:extLst>
            <a:ext uri="{FF2B5EF4-FFF2-40B4-BE49-F238E27FC236}">
              <a16:creationId xmlns:a16="http://schemas.microsoft.com/office/drawing/2014/main" id="{B89FF39F-25DC-44BF-B27B-F5D68FE58F58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870" name="Text Box 1">
          <a:extLst>
            <a:ext uri="{FF2B5EF4-FFF2-40B4-BE49-F238E27FC236}">
              <a16:creationId xmlns:a16="http://schemas.microsoft.com/office/drawing/2014/main" id="{08F37052-4F5A-4EC6-A99A-FC5D303B3348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871" name="Text Box 1">
          <a:extLst>
            <a:ext uri="{FF2B5EF4-FFF2-40B4-BE49-F238E27FC236}">
              <a16:creationId xmlns:a16="http://schemas.microsoft.com/office/drawing/2014/main" id="{6C1CD691-FBE8-4137-ABF6-693BC59815B6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872" name="Text Box 1">
          <a:extLst>
            <a:ext uri="{FF2B5EF4-FFF2-40B4-BE49-F238E27FC236}">
              <a16:creationId xmlns:a16="http://schemas.microsoft.com/office/drawing/2014/main" id="{600D19B4-F2FA-48B6-8AE5-A050C7FF368C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873" name="Text Box 1">
          <a:extLst>
            <a:ext uri="{FF2B5EF4-FFF2-40B4-BE49-F238E27FC236}">
              <a16:creationId xmlns:a16="http://schemas.microsoft.com/office/drawing/2014/main" id="{C2FC689D-56B8-4359-945B-E79DEC12570B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874" name="Text Box 1">
          <a:extLst>
            <a:ext uri="{FF2B5EF4-FFF2-40B4-BE49-F238E27FC236}">
              <a16:creationId xmlns:a16="http://schemas.microsoft.com/office/drawing/2014/main" id="{35C0FC8B-C970-46D2-836F-65B9AB04CF42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875" name="Text Box 1">
          <a:extLst>
            <a:ext uri="{FF2B5EF4-FFF2-40B4-BE49-F238E27FC236}">
              <a16:creationId xmlns:a16="http://schemas.microsoft.com/office/drawing/2014/main" id="{16794B28-B568-4283-B5FB-2E538790D2AD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876" name="Text Box 1">
          <a:extLst>
            <a:ext uri="{FF2B5EF4-FFF2-40B4-BE49-F238E27FC236}">
              <a16:creationId xmlns:a16="http://schemas.microsoft.com/office/drawing/2014/main" id="{96E4286B-FF56-4051-BFBF-C07FBB3BC0F9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877" name="Text Box 1">
          <a:extLst>
            <a:ext uri="{FF2B5EF4-FFF2-40B4-BE49-F238E27FC236}">
              <a16:creationId xmlns:a16="http://schemas.microsoft.com/office/drawing/2014/main" id="{A0DAB984-282E-4912-86B6-DC2F514B2A4C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878" name="Text Box 1">
          <a:extLst>
            <a:ext uri="{FF2B5EF4-FFF2-40B4-BE49-F238E27FC236}">
              <a16:creationId xmlns:a16="http://schemas.microsoft.com/office/drawing/2014/main" id="{292ECBB7-96B2-4E1F-BE16-C0C698C78AF2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879" name="Text Box 1">
          <a:extLst>
            <a:ext uri="{FF2B5EF4-FFF2-40B4-BE49-F238E27FC236}">
              <a16:creationId xmlns:a16="http://schemas.microsoft.com/office/drawing/2014/main" id="{922F051D-1BB0-4351-B29F-1C0A55AEC95C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880" name="Text Box 1">
          <a:extLst>
            <a:ext uri="{FF2B5EF4-FFF2-40B4-BE49-F238E27FC236}">
              <a16:creationId xmlns:a16="http://schemas.microsoft.com/office/drawing/2014/main" id="{209A0219-0D67-444C-A658-41A8BC641F59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881" name="Text Box 1">
          <a:extLst>
            <a:ext uri="{FF2B5EF4-FFF2-40B4-BE49-F238E27FC236}">
              <a16:creationId xmlns:a16="http://schemas.microsoft.com/office/drawing/2014/main" id="{80DA6DC3-1B14-46B5-8B04-3E72ADDDF84B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882" name="Text Box 1">
          <a:extLst>
            <a:ext uri="{FF2B5EF4-FFF2-40B4-BE49-F238E27FC236}">
              <a16:creationId xmlns:a16="http://schemas.microsoft.com/office/drawing/2014/main" id="{A8AC2AAF-6948-49EA-AC66-B119CE4AC65B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883" name="Text Box 1">
          <a:extLst>
            <a:ext uri="{FF2B5EF4-FFF2-40B4-BE49-F238E27FC236}">
              <a16:creationId xmlns:a16="http://schemas.microsoft.com/office/drawing/2014/main" id="{E60A96EA-3ED0-4E36-B8F4-F6A7740C78F9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884" name="Text Box 1">
          <a:extLst>
            <a:ext uri="{FF2B5EF4-FFF2-40B4-BE49-F238E27FC236}">
              <a16:creationId xmlns:a16="http://schemas.microsoft.com/office/drawing/2014/main" id="{B9004B23-7BEC-47D1-B8BE-88061D2B8D13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885" name="Text Box 1">
          <a:extLst>
            <a:ext uri="{FF2B5EF4-FFF2-40B4-BE49-F238E27FC236}">
              <a16:creationId xmlns:a16="http://schemas.microsoft.com/office/drawing/2014/main" id="{6FBE4B4B-C72C-4AF8-8FCB-76EA813C3DE5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886" name="Text Box 1">
          <a:extLst>
            <a:ext uri="{FF2B5EF4-FFF2-40B4-BE49-F238E27FC236}">
              <a16:creationId xmlns:a16="http://schemas.microsoft.com/office/drawing/2014/main" id="{09AF0E8A-8FF4-42A1-920C-3288406BED40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887" name="Text Box 1">
          <a:extLst>
            <a:ext uri="{FF2B5EF4-FFF2-40B4-BE49-F238E27FC236}">
              <a16:creationId xmlns:a16="http://schemas.microsoft.com/office/drawing/2014/main" id="{6E80FB4B-6327-4C08-A70C-E88BD4809F57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888" name="Text Box 1">
          <a:extLst>
            <a:ext uri="{FF2B5EF4-FFF2-40B4-BE49-F238E27FC236}">
              <a16:creationId xmlns:a16="http://schemas.microsoft.com/office/drawing/2014/main" id="{E4B261C8-2AF6-453D-9679-6575CAC45D05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889" name="Text Box 1">
          <a:extLst>
            <a:ext uri="{FF2B5EF4-FFF2-40B4-BE49-F238E27FC236}">
              <a16:creationId xmlns:a16="http://schemas.microsoft.com/office/drawing/2014/main" id="{D2FD0E66-2DB1-4C73-AD3F-2DDF9F7571DD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890" name="Text Box 1">
          <a:extLst>
            <a:ext uri="{FF2B5EF4-FFF2-40B4-BE49-F238E27FC236}">
              <a16:creationId xmlns:a16="http://schemas.microsoft.com/office/drawing/2014/main" id="{144327E3-B915-4EFB-B4B4-5ACF1461E8AD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891" name="Text Box 1">
          <a:extLst>
            <a:ext uri="{FF2B5EF4-FFF2-40B4-BE49-F238E27FC236}">
              <a16:creationId xmlns:a16="http://schemas.microsoft.com/office/drawing/2014/main" id="{91BA2ACE-CCE3-4444-89EB-0DC09C431BF0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892" name="Text Box 1">
          <a:extLst>
            <a:ext uri="{FF2B5EF4-FFF2-40B4-BE49-F238E27FC236}">
              <a16:creationId xmlns:a16="http://schemas.microsoft.com/office/drawing/2014/main" id="{E0698895-9BFE-4B58-A7B1-DA3A5CB5E5A7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893" name="Text Box 1">
          <a:extLst>
            <a:ext uri="{FF2B5EF4-FFF2-40B4-BE49-F238E27FC236}">
              <a16:creationId xmlns:a16="http://schemas.microsoft.com/office/drawing/2014/main" id="{A5303BB1-1F89-4AF0-93E3-18B3CDD00F55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894" name="Text Box 1">
          <a:extLst>
            <a:ext uri="{FF2B5EF4-FFF2-40B4-BE49-F238E27FC236}">
              <a16:creationId xmlns:a16="http://schemas.microsoft.com/office/drawing/2014/main" id="{DAE2E23B-CED0-4BFF-9589-CFBB277A5C18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895" name="Text Box 1">
          <a:extLst>
            <a:ext uri="{FF2B5EF4-FFF2-40B4-BE49-F238E27FC236}">
              <a16:creationId xmlns:a16="http://schemas.microsoft.com/office/drawing/2014/main" id="{E205EDB8-937B-46DF-A16B-B0B2946388DA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896" name="Text Box 1">
          <a:extLst>
            <a:ext uri="{FF2B5EF4-FFF2-40B4-BE49-F238E27FC236}">
              <a16:creationId xmlns:a16="http://schemas.microsoft.com/office/drawing/2014/main" id="{E3F73668-94E7-4958-90F7-EED77C17A0C3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897" name="Text Box 1">
          <a:extLst>
            <a:ext uri="{FF2B5EF4-FFF2-40B4-BE49-F238E27FC236}">
              <a16:creationId xmlns:a16="http://schemas.microsoft.com/office/drawing/2014/main" id="{649E9E96-CD9A-48FC-A687-5F2BB9F3FE4F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898" name="Text Box 1">
          <a:extLst>
            <a:ext uri="{FF2B5EF4-FFF2-40B4-BE49-F238E27FC236}">
              <a16:creationId xmlns:a16="http://schemas.microsoft.com/office/drawing/2014/main" id="{CACF89AF-3B35-4735-A558-722FC28086CD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899" name="Text Box 1">
          <a:extLst>
            <a:ext uri="{FF2B5EF4-FFF2-40B4-BE49-F238E27FC236}">
              <a16:creationId xmlns:a16="http://schemas.microsoft.com/office/drawing/2014/main" id="{91247C18-8D25-4E8E-A9A8-3F36426C896A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900" name="Text Box 1">
          <a:extLst>
            <a:ext uri="{FF2B5EF4-FFF2-40B4-BE49-F238E27FC236}">
              <a16:creationId xmlns:a16="http://schemas.microsoft.com/office/drawing/2014/main" id="{E486F2E8-9053-40F4-93DD-B2DD13AAABB8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901" name="Text Box 1">
          <a:extLst>
            <a:ext uri="{FF2B5EF4-FFF2-40B4-BE49-F238E27FC236}">
              <a16:creationId xmlns:a16="http://schemas.microsoft.com/office/drawing/2014/main" id="{373501D8-3FEE-46C8-AA70-BE4220D84EDE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902" name="Text Box 1">
          <a:extLst>
            <a:ext uri="{FF2B5EF4-FFF2-40B4-BE49-F238E27FC236}">
              <a16:creationId xmlns:a16="http://schemas.microsoft.com/office/drawing/2014/main" id="{46BFF85D-E357-4471-B05B-516950F77B2F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903" name="Text Box 1">
          <a:extLst>
            <a:ext uri="{FF2B5EF4-FFF2-40B4-BE49-F238E27FC236}">
              <a16:creationId xmlns:a16="http://schemas.microsoft.com/office/drawing/2014/main" id="{63588BEC-D739-427F-B20E-35C8458CECBA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904" name="Text Box 1">
          <a:extLst>
            <a:ext uri="{FF2B5EF4-FFF2-40B4-BE49-F238E27FC236}">
              <a16:creationId xmlns:a16="http://schemas.microsoft.com/office/drawing/2014/main" id="{02BB2B9C-11AF-4F3E-B497-777C638B0D9C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905" name="Text Box 1">
          <a:extLst>
            <a:ext uri="{FF2B5EF4-FFF2-40B4-BE49-F238E27FC236}">
              <a16:creationId xmlns:a16="http://schemas.microsoft.com/office/drawing/2014/main" id="{FDE3CEA1-8D0D-4F39-8F1F-4C59E128734E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906" name="Text Box 1">
          <a:extLst>
            <a:ext uri="{FF2B5EF4-FFF2-40B4-BE49-F238E27FC236}">
              <a16:creationId xmlns:a16="http://schemas.microsoft.com/office/drawing/2014/main" id="{CAC0DA76-B3B6-43C8-A2E3-E9106E73EF52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907" name="Text Box 1">
          <a:extLst>
            <a:ext uri="{FF2B5EF4-FFF2-40B4-BE49-F238E27FC236}">
              <a16:creationId xmlns:a16="http://schemas.microsoft.com/office/drawing/2014/main" id="{94C0ACF5-7B9A-4DB0-AB78-9BDEF2583AC4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908" name="Text Box 1">
          <a:extLst>
            <a:ext uri="{FF2B5EF4-FFF2-40B4-BE49-F238E27FC236}">
              <a16:creationId xmlns:a16="http://schemas.microsoft.com/office/drawing/2014/main" id="{81900272-09A7-4FB6-8B62-EA0469C73FF4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909" name="Text Box 1">
          <a:extLst>
            <a:ext uri="{FF2B5EF4-FFF2-40B4-BE49-F238E27FC236}">
              <a16:creationId xmlns:a16="http://schemas.microsoft.com/office/drawing/2014/main" id="{C5AB5544-F8E9-4197-AE88-814FC2323D65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910" name="Text Box 1">
          <a:extLst>
            <a:ext uri="{FF2B5EF4-FFF2-40B4-BE49-F238E27FC236}">
              <a16:creationId xmlns:a16="http://schemas.microsoft.com/office/drawing/2014/main" id="{3AE9D1F4-5F28-4334-9289-19F4FBCCB437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911" name="Text Box 1">
          <a:extLst>
            <a:ext uri="{FF2B5EF4-FFF2-40B4-BE49-F238E27FC236}">
              <a16:creationId xmlns:a16="http://schemas.microsoft.com/office/drawing/2014/main" id="{C750CECE-13AB-415B-9E67-23FCC6066E64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912" name="Text Box 1">
          <a:extLst>
            <a:ext uri="{FF2B5EF4-FFF2-40B4-BE49-F238E27FC236}">
              <a16:creationId xmlns:a16="http://schemas.microsoft.com/office/drawing/2014/main" id="{9DB66728-B8A5-4727-B705-9B6D8150713D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913" name="Text Box 1">
          <a:extLst>
            <a:ext uri="{FF2B5EF4-FFF2-40B4-BE49-F238E27FC236}">
              <a16:creationId xmlns:a16="http://schemas.microsoft.com/office/drawing/2014/main" id="{B702D0B6-2054-4C20-88F9-19CAC9C6CE2B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914" name="Text Box 1">
          <a:extLst>
            <a:ext uri="{FF2B5EF4-FFF2-40B4-BE49-F238E27FC236}">
              <a16:creationId xmlns:a16="http://schemas.microsoft.com/office/drawing/2014/main" id="{AB2793CE-3918-41B1-A7C5-F3653D8A5B1E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915" name="Text Box 1">
          <a:extLst>
            <a:ext uri="{FF2B5EF4-FFF2-40B4-BE49-F238E27FC236}">
              <a16:creationId xmlns:a16="http://schemas.microsoft.com/office/drawing/2014/main" id="{9C4DF408-A298-4A7F-8ADB-CD840D26BF4C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916" name="Text Box 1">
          <a:extLst>
            <a:ext uri="{FF2B5EF4-FFF2-40B4-BE49-F238E27FC236}">
              <a16:creationId xmlns:a16="http://schemas.microsoft.com/office/drawing/2014/main" id="{00DE3779-0043-4B7A-8036-3A6EF98EA4F4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917" name="Text Box 1">
          <a:extLst>
            <a:ext uri="{FF2B5EF4-FFF2-40B4-BE49-F238E27FC236}">
              <a16:creationId xmlns:a16="http://schemas.microsoft.com/office/drawing/2014/main" id="{A7FD9122-3263-4757-AC80-16192C249383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918" name="Text Box 1">
          <a:extLst>
            <a:ext uri="{FF2B5EF4-FFF2-40B4-BE49-F238E27FC236}">
              <a16:creationId xmlns:a16="http://schemas.microsoft.com/office/drawing/2014/main" id="{3D474DA1-AD30-46AC-8A81-1FF42B04BF5C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919" name="Text Box 1">
          <a:extLst>
            <a:ext uri="{FF2B5EF4-FFF2-40B4-BE49-F238E27FC236}">
              <a16:creationId xmlns:a16="http://schemas.microsoft.com/office/drawing/2014/main" id="{AB7B0A5B-A51D-45EB-9762-119CC3A6C410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920" name="Text Box 1">
          <a:extLst>
            <a:ext uri="{FF2B5EF4-FFF2-40B4-BE49-F238E27FC236}">
              <a16:creationId xmlns:a16="http://schemas.microsoft.com/office/drawing/2014/main" id="{6EF312ED-D3D9-4973-A6DA-96CA6CA5289E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921" name="Text Box 1">
          <a:extLst>
            <a:ext uri="{FF2B5EF4-FFF2-40B4-BE49-F238E27FC236}">
              <a16:creationId xmlns:a16="http://schemas.microsoft.com/office/drawing/2014/main" id="{09CAF431-7148-41EF-9B1B-48D832926820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922" name="Text Box 1">
          <a:extLst>
            <a:ext uri="{FF2B5EF4-FFF2-40B4-BE49-F238E27FC236}">
              <a16:creationId xmlns:a16="http://schemas.microsoft.com/office/drawing/2014/main" id="{2A74A934-A34C-43E1-85A7-A92DDA358E47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923" name="Text Box 1">
          <a:extLst>
            <a:ext uri="{FF2B5EF4-FFF2-40B4-BE49-F238E27FC236}">
              <a16:creationId xmlns:a16="http://schemas.microsoft.com/office/drawing/2014/main" id="{44723299-0828-488F-9B5F-45F24942061E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924" name="Text Box 1">
          <a:extLst>
            <a:ext uri="{FF2B5EF4-FFF2-40B4-BE49-F238E27FC236}">
              <a16:creationId xmlns:a16="http://schemas.microsoft.com/office/drawing/2014/main" id="{1FDC28A9-F778-479A-89E3-D0EF96D2A80A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925" name="Text Box 1">
          <a:extLst>
            <a:ext uri="{FF2B5EF4-FFF2-40B4-BE49-F238E27FC236}">
              <a16:creationId xmlns:a16="http://schemas.microsoft.com/office/drawing/2014/main" id="{764A8DBD-2DC2-4E36-91CC-9CC0411C95EF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926" name="Text Box 1">
          <a:extLst>
            <a:ext uri="{FF2B5EF4-FFF2-40B4-BE49-F238E27FC236}">
              <a16:creationId xmlns:a16="http://schemas.microsoft.com/office/drawing/2014/main" id="{E40397E2-34DC-4C14-AF55-4A7F7C6C32DB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927" name="Text Box 1">
          <a:extLst>
            <a:ext uri="{FF2B5EF4-FFF2-40B4-BE49-F238E27FC236}">
              <a16:creationId xmlns:a16="http://schemas.microsoft.com/office/drawing/2014/main" id="{E379B0A0-2D5D-4965-A1E1-ED079BE64F0C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928" name="Text Box 1">
          <a:extLst>
            <a:ext uri="{FF2B5EF4-FFF2-40B4-BE49-F238E27FC236}">
              <a16:creationId xmlns:a16="http://schemas.microsoft.com/office/drawing/2014/main" id="{A4892BEC-E1BB-4971-87D2-5623000CDF8F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929" name="Text Box 1">
          <a:extLst>
            <a:ext uri="{FF2B5EF4-FFF2-40B4-BE49-F238E27FC236}">
              <a16:creationId xmlns:a16="http://schemas.microsoft.com/office/drawing/2014/main" id="{CA349C6B-CD59-41A4-ACF9-88042F8139EC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930" name="Text Box 1">
          <a:extLst>
            <a:ext uri="{FF2B5EF4-FFF2-40B4-BE49-F238E27FC236}">
              <a16:creationId xmlns:a16="http://schemas.microsoft.com/office/drawing/2014/main" id="{5F28A24A-3DDE-467F-92EE-BD7C38A21ACE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931" name="Text Box 1">
          <a:extLst>
            <a:ext uri="{FF2B5EF4-FFF2-40B4-BE49-F238E27FC236}">
              <a16:creationId xmlns:a16="http://schemas.microsoft.com/office/drawing/2014/main" id="{31DC51E1-6475-4E46-B316-951BEE39531B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932" name="Text Box 1">
          <a:extLst>
            <a:ext uri="{FF2B5EF4-FFF2-40B4-BE49-F238E27FC236}">
              <a16:creationId xmlns:a16="http://schemas.microsoft.com/office/drawing/2014/main" id="{F2F8DF57-F1D8-4AA3-A119-6D0A919FEE71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933" name="Text Box 1">
          <a:extLst>
            <a:ext uri="{FF2B5EF4-FFF2-40B4-BE49-F238E27FC236}">
              <a16:creationId xmlns:a16="http://schemas.microsoft.com/office/drawing/2014/main" id="{A9E3CBA7-7232-43BD-964C-B995970CEEEA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934" name="Text Box 1">
          <a:extLst>
            <a:ext uri="{FF2B5EF4-FFF2-40B4-BE49-F238E27FC236}">
              <a16:creationId xmlns:a16="http://schemas.microsoft.com/office/drawing/2014/main" id="{30E51663-2F6B-4E01-9841-81F581D33D17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935" name="Text Box 1">
          <a:extLst>
            <a:ext uri="{FF2B5EF4-FFF2-40B4-BE49-F238E27FC236}">
              <a16:creationId xmlns:a16="http://schemas.microsoft.com/office/drawing/2014/main" id="{9ADF97CF-1EA3-4ADA-ACBE-9E427DBB07B7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936" name="Text Box 1">
          <a:extLst>
            <a:ext uri="{FF2B5EF4-FFF2-40B4-BE49-F238E27FC236}">
              <a16:creationId xmlns:a16="http://schemas.microsoft.com/office/drawing/2014/main" id="{E3316D36-990E-42B1-A2AE-C8916051BF86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937" name="Text Box 1">
          <a:extLst>
            <a:ext uri="{FF2B5EF4-FFF2-40B4-BE49-F238E27FC236}">
              <a16:creationId xmlns:a16="http://schemas.microsoft.com/office/drawing/2014/main" id="{4B0FD1F0-6C4B-4EDF-AACF-C75E255E4765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938" name="Text Box 1">
          <a:extLst>
            <a:ext uri="{FF2B5EF4-FFF2-40B4-BE49-F238E27FC236}">
              <a16:creationId xmlns:a16="http://schemas.microsoft.com/office/drawing/2014/main" id="{883F4A56-48F6-4606-B5A7-C6939F5CB355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939" name="Text Box 1">
          <a:extLst>
            <a:ext uri="{FF2B5EF4-FFF2-40B4-BE49-F238E27FC236}">
              <a16:creationId xmlns:a16="http://schemas.microsoft.com/office/drawing/2014/main" id="{614A32A8-E649-48B3-ABA4-239103E21567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940" name="Text Box 1">
          <a:extLst>
            <a:ext uri="{FF2B5EF4-FFF2-40B4-BE49-F238E27FC236}">
              <a16:creationId xmlns:a16="http://schemas.microsoft.com/office/drawing/2014/main" id="{5A8AC2C8-34D2-44DC-98BA-2BFECC2D2442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941" name="Text Box 1">
          <a:extLst>
            <a:ext uri="{FF2B5EF4-FFF2-40B4-BE49-F238E27FC236}">
              <a16:creationId xmlns:a16="http://schemas.microsoft.com/office/drawing/2014/main" id="{C30134CA-E59A-4DCC-A70C-244C97939B83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942" name="Text Box 1">
          <a:extLst>
            <a:ext uri="{FF2B5EF4-FFF2-40B4-BE49-F238E27FC236}">
              <a16:creationId xmlns:a16="http://schemas.microsoft.com/office/drawing/2014/main" id="{CF1C8161-3F2B-47CC-8ED2-76ADC81C3970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943" name="Text Box 1">
          <a:extLst>
            <a:ext uri="{FF2B5EF4-FFF2-40B4-BE49-F238E27FC236}">
              <a16:creationId xmlns:a16="http://schemas.microsoft.com/office/drawing/2014/main" id="{15E437ED-7539-4F82-B74D-05C7E67EF20B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944" name="Text Box 1">
          <a:extLst>
            <a:ext uri="{FF2B5EF4-FFF2-40B4-BE49-F238E27FC236}">
              <a16:creationId xmlns:a16="http://schemas.microsoft.com/office/drawing/2014/main" id="{FDC80973-CB4F-45B8-9C35-1FE7E4BF9D8D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945" name="Text Box 1">
          <a:extLst>
            <a:ext uri="{FF2B5EF4-FFF2-40B4-BE49-F238E27FC236}">
              <a16:creationId xmlns:a16="http://schemas.microsoft.com/office/drawing/2014/main" id="{DE910DFD-F88A-41C9-9606-47AB20BFC11F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946" name="Text Box 1">
          <a:extLst>
            <a:ext uri="{FF2B5EF4-FFF2-40B4-BE49-F238E27FC236}">
              <a16:creationId xmlns:a16="http://schemas.microsoft.com/office/drawing/2014/main" id="{2BF07EA8-404A-48F0-AEAB-D452AD98BBB3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947" name="Text Box 1">
          <a:extLst>
            <a:ext uri="{FF2B5EF4-FFF2-40B4-BE49-F238E27FC236}">
              <a16:creationId xmlns:a16="http://schemas.microsoft.com/office/drawing/2014/main" id="{5C6A5FDB-34CE-4655-AC3D-AE4C2A4D8865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948" name="Text Box 1">
          <a:extLst>
            <a:ext uri="{FF2B5EF4-FFF2-40B4-BE49-F238E27FC236}">
              <a16:creationId xmlns:a16="http://schemas.microsoft.com/office/drawing/2014/main" id="{E30993FD-B7A1-4776-A6C1-B935EFDF5B19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949" name="Text Box 1">
          <a:extLst>
            <a:ext uri="{FF2B5EF4-FFF2-40B4-BE49-F238E27FC236}">
              <a16:creationId xmlns:a16="http://schemas.microsoft.com/office/drawing/2014/main" id="{35500FD9-6138-45FC-82F4-71E30E39CB88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950" name="Text Box 1">
          <a:extLst>
            <a:ext uri="{FF2B5EF4-FFF2-40B4-BE49-F238E27FC236}">
              <a16:creationId xmlns:a16="http://schemas.microsoft.com/office/drawing/2014/main" id="{0635C92D-91F9-486C-85C0-25C9CA7A637A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951" name="Text Box 1">
          <a:extLst>
            <a:ext uri="{FF2B5EF4-FFF2-40B4-BE49-F238E27FC236}">
              <a16:creationId xmlns:a16="http://schemas.microsoft.com/office/drawing/2014/main" id="{35F234FB-451A-4002-85ED-53A9D18F0550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952" name="Text Box 1">
          <a:extLst>
            <a:ext uri="{FF2B5EF4-FFF2-40B4-BE49-F238E27FC236}">
              <a16:creationId xmlns:a16="http://schemas.microsoft.com/office/drawing/2014/main" id="{EFC35ADB-A639-4699-BBBB-EFFBE8447963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953" name="Text Box 1">
          <a:extLst>
            <a:ext uri="{FF2B5EF4-FFF2-40B4-BE49-F238E27FC236}">
              <a16:creationId xmlns:a16="http://schemas.microsoft.com/office/drawing/2014/main" id="{55215234-4311-4436-B28E-237AE8DD50CA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954" name="Text Box 1">
          <a:extLst>
            <a:ext uri="{FF2B5EF4-FFF2-40B4-BE49-F238E27FC236}">
              <a16:creationId xmlns:a16="http://schemas.microsoft.com/office/drawing/2014/main" id="{0696676E-FC30-4371-A12B-BC5D68FA8705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955" name="Text Box 1">
          <a:extLst>
            <a:ext uri="{FF2B5EF4-FFF2-40B4-BE49-F238E27FC236}">
              <a16:creationId xmlns:a16="http://schemas.microsoft.com/office/drawing/2014/main" id="{A81A9CEE-506A-46EF-89DB-20A621D0B0B6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956" name="Text Box 1">
          <a:extLst>
            <a:ext uri="{FF2B5EF4-FFF2-40B4-BE49-F238E27FC236}">
              <a16:creationId xmlns:a16="http://schemas.microsoft.com/office/drawing/2014/main" id="{DCDE4524-460A-4A8A-A4CD-F36E2E534401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957" name="Text Box 1">
          <a:extLst>
            <a:ext uri="{FF2B5EF4-FFF2-40B4-BE49-F238E27FC236}">
              <a16:creationId xmlns:a16="http://schemas.microsoft.com/office/drawing/2014/main" id="{946C6168-3120-4CCD-B2CE-C30B2465781E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958" name="Text Box 1">
          <a:extLst>
            <a:ext uri="{FF2B5EF4-FFF2-40B4-BE49-F238E27FC236}">
              <a16:creationId xmlns:a16="http://schemas.microsoft.com/office/drawing/2014/main" id="{46E48165-486A-4255-AF99-94C32944D366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959" name="Text Box 1">
          <a:extLst>
            <a:ext uri="{FF2B5EF4-FFF2-40B4-BE49-F238E27FC236}">
              <a16:creationId xmlns:a16="http://schemas.microsoft.com/office/drawing/2014/main" id="{5EC58DF2-B999-43AB-9869-4317C27EB7B1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960" name="Text Box 1">
          <a:extLst>
            <a:ext uri="{FF2B5EF4-FFF2-40B4-BE49-F238E27FC236}">
              <a16:creationId xmlns:a16="http://schemas.microsoft.com/office/drawing/2014/main" id="{349D5AAE-FB5A-40EB-A879-725970E2C780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961" name="Text Box 1">
          <a:extLst>
            <a:ext uri="{FF2B5EF4-FFF2-40B4-BE49-F238E27FC236}">
              <a16:creationId xmlns:a16="http://schemas.microsoft.com/office/drawing/2014/main" id="{03231D8D-B377-4555-ADF9-D8865497991F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962" name="Text Box 1">
          <a:extLst>
            <a:ext uri="{FF2B5EF4-FFF2-40B4-BE49-F238E27FC236}">
              <a16:creationId xmlns:a16="http://schemas.microsoft.com/office/drawing/2014/main" id="{81C5EACE-F390-4878-A134-716D77334092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963" name="Text Box 1">
          <a:extLst>
            <a:ext uri="{FF2B5EF4-FFF2-40B4-BE49-F238E27FC236}">
              <a16:creationId xmlns:a16="http://schemas.microsoft.com/office/drawing/2014/main" id="{8A32E558-CF78-479B-AC2D-1F3C32C2B833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964" name="Text Box 1">
          <a:extLst>
            <a:ext uri="{FF2B5EF4-FFF2-40B4-BE49-F238E27FC236}">
              <a16:creationId xmlns:a16="http://schemas.microsoft.com/office/drawing/2014/main" id="{BE66998D-733E-4EA1-98AC-3D1158F25964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965" name="Text Box 1">
          <a:extLst>
            <a:ext uri="{FF2B5EF4-FFF2-40B4-BE49-F238E27FC236}">
              <a16:creationId xmlns:a16="http://schemas.microsoft.com/office/drawing/2014/main" id="{9D57F7A2-6C0E-46A5-9168-3D7D1A016C84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966" name="Text Box 1">
          <a:extLst>
            <a:ext uri="{FF2B5EF4-FFF2-40B4-BE49-F238E27FC236}">
              <a16:creationId xmlns:a16="http://schemas.microsoft.com/office/drawing/2014/main" id="{20EA4568-277E-4B46-A22A-B7C97E9EC412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967" name="Text Box 1">
          <a:extLst>
            <a:ext uri="{FF2B5EF4-FFF2-40B4-BE49-F238E27FC236}">
              <a16:creationId xmlns:a16="http://schemas.microsoft.com/office/drawing/2014/main" id="{64FCE2FB-74E7-48B7-A243-18EC97F50E52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968" name="Text Box 1">
          <a:extLst>
            <a:ext uri="{FF2B5EF4-FFF2-40B4-BE49-F238E27FC236}">
              <a16:creationId xmlns:a16="http://schemas.microsoft.com/office/drawing/2014/main" id="{728338B8-8D03-481D-A259-2800F8ED4B41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969" name="Text Box 1">
          <a:extLst>
            <a:ext uri="{FF2B5EF4-FFF2-40B4-BE49-F238E27FC236}">
              <a16:creationId xmlns:a16="http://schemas.microsoft.com/office/drawing/2014/main" id="{021B5982-A595-4C10-B55B-D3B8E8954DED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970" name="Text Box 1">
          <a:extLst>
            <a:ext uri="{FF2B5EF4-FFF2-40B4-BE49-F238E27FC236}">
              <a16:creationId xmlns:a16="http://schemas.microsoft.com/office/drawing/2014/main" id="{0578D086-5A93-4DB8-A773-16006E99BD2B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971" name="Text Box 1">
          <a:extLst>
            <a:ext uri="{FF2B5EF4-FFF2-40B4-BE49-F238E27FC236}">
              <a16:creationId xmlns:a16="http://schemas.microsoft.com/office/drawing/2014/main" id="{8FE57271-293D-4F1F-B912-560C2D9A2BD5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972" name="Text Box 1">
          <a:extLst>
            <a:ext uri="{FF2B5EF4-FFF2-40B4-BE49-F238E27FC236}">
              <a16:creationId xmlns:a16="http://schemas.microsoft.com/office/drawing/2014/main" id="{609F9AF9-FEC1-4AE8-A3B0-D91CA78223CE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973" name="Text Box 1">
          <a:extLst>
            <a:ext uri="{FF2B5EF4-FFF2-40B4-BE49-F238E27FC236}">
              <a16:creationId xmlns:a16="http://schemas.microsoft.com/office/drawing/2014/main" id="{F60603DF-7EC4-46ED-BBD6-CD5E65872CFB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974" name="Text Box 1">
          <a:extLst>
            <a:ext uri="{FF2B5EF4-FFF2-40B4-BE49-F238E27FC236}">
              <a16:creationId xmlns:a16="http://schemas.microsoft.com/office/drawing/2014/main" id="{BA80E0D2-085E-4A75-84E8-9665C8D51D7C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975" name="Text Box 1">
          <a:extLst>
            <a:ext uri="{FF2B5EF4-FFF2-40B4-BE49-F238E27FC236}">
              <a16:creationId xmlns:a16="http://schemas.microsoft.com/office/drawing/2014/main" id="{F8884053-B3F0-44D1-B371-E1F37B9DD0E9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976" name="Text Box 1">
          <a:extLst>
            <a:ext uri="{FF2B5EF4-FFF2-40B4-BE49-F238E27FC236}">
              <a16:creationId xmlns:a16="http://schemas.microsoft.com/office/drawing/2014/main" id="{D789EFD8-C3D4-409F-AF66-0410C7EFC191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977" name="Text Box 1">
          <a:extLst>
            <a:ext uri="{FF2B5EF4-FFF2-40B4-BE49-F238E27FC236}">
              <a16:creationId xmlns:a16="http://schemas.microsoft.com/office/drawing/2014/main" id="{A4A68C89-F38C-49A5-A8E5-D6A3F2684480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978" name="Text Box 1">
          <a:extLst>
            <a:ext uri="{FF2B5EF4-FFF2-40B4-BE49-F238E27FC236}">
              <a16:creationId xmlns:a16="http://schemas.microsoft.com/office/drawing/2014/main" id="{61A4EFF6-171C-4639-A4C3-7BD73EA4D41D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979" name="Text Box 1">
          <a:extLst>
            <a:ext uri="{FF2B5EF4-FFF2-40B4-BE49-F238E27FC236}">
              <a16:creationId xmlns:a16="http://schemas.microsoft.com/office/drawing/2014/main" id="{49A888A0-6ECA-442A-8C7F-112308F01DB1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980" name="Text Box 1">
          <a:extLst>
            <a:ext uri="{FF2B5EF4-FFF2-40B4-BE49-F238E27FC236}">
              <a16:creationId xmlns:a16="http://schemas.microsoft.com/office/drawing/2014/main" id="{416C8F91-41FF-4383-B288-BACE92E6B747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981" name="Text Box 1">
          <a:extLst>
            <a:ext uri="{FF2B5EF4-FFF2-40B4-BE49-F238E27FC236}">
              <a16:creationId xmlns:a16="http://schemas.microsoft.com/office/drawing/2014/main" id="{A14B996C-1081-4DEA-B8F4-59FB838C35DF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982" name="Text Box 1">
          <a:extLst>
            <a:ext uri="{FF2B5EF4-FFF2-40B4-BE49-F238E27FC236}">
              <a16:creationId xmlns:a16="http://schemas.microsoft.com/office/drawing/2014/main" id="{B5186CBB-2DE9-4F35-BE2C-5AA562943520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983" name="Text Box 1">
          <a:extLst>
            <a:ext uri="{FF2B5EF4-FFF2-40B4-BE49-F238E27FC236}">
              <a16:creationId xmlns:a16="http://schemas.microsoft.com/office/drawing/2014/main" id="{69CDE674-A965-4CB5-9406-AF3C0351DB18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984" name="Text Box 1">
          <a:extLst>
            <a:ext uri="{FF2B5EF4-FFF2-40B4-BE49-F238E27FC236}">
              <a16:creationId xmlns:a16="http://schemas.microsoft.com/office/drawing/2014/main" id="{A76964BB-AC46-4A84-89E9-9E4E9726CCB6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9985" name="Text Box 1">
          <a:extLst>
            <a:ext uri="{FF2B5EF4-FFF2-40B4-BE49-F238E27FC236}">
              <a16:creationId xmlns:a16="http://schemas.microsoft.com/office/drawing/2014/main" id="{CC252A1D-265E-4EBC-B27F-93DE5F371238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986" name="Text Box 1">
          <a:extLst>
            <a:ext uri="{FF2B5EF4-FFF2-40B4-BE49-F238E27FC236}">
              <a16:creationId xmlns:a16="http://schemas.microsoft.com/office/drawing/2014/main" id="{7937A02E-6D09-4C68-82C8-5CB0FAF4132F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987" name="Text Box 1">
          <a:extLst>
            <a:ext uri="{FF2B5EF4-FFF2-40B4-BE49-F238E27FC236}">
              <a16:creationId xmlns:a16="http://schemas.microsoft.com/office/drawing/2014/main" id="{6F3A2DBD-9310-4A7E-B2F2-D4A11B991E98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988" name="Text Box 1">
          <a:extLst>
            <a:ext uri="{FF2B5EF4-FFF2-40B4-BE49-F238E27FC236}">
              <a16:creationId xmlns:a16="http://schemas.microsoft.com/office/drawing/2014/main" id="{C864CD55-B300-46E5-A7A6-AD66D84F7AC7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989" name="Text Box 1">
          <a:extLst>
            <a:ext uri="{FF2B5EF4-FFF2-40B4-BE49-F238E27FC236}">
              <a16:creationId xmlns:a16="http://schemas.microsoft.com/office/drawing/2014/main" id="{83774A96-DD8E-4314-B99D-3EBF679B1254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990" name="Text Box 1">
          <a:extLst>
            <a:ext uri="{FF2B5EF4-FFF2-40B4-BE49-F238E27FC236}">
              <a16:creationId xmlns:a16="http://schemas.microsoft.com/office/drawing/2014/main" id="{672CD4EB-42B6-4AD7-883D-0297636D49B8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991" name="Text Box 1">
          <a:extLst>
            <a:ext uri="{FF2B5EF4-FFF2-40B4-BE49-F238E27FC236}">
              <a16:creationId xmlns:a16="http://schemas.microsoft.com/office/drawing/2014/main" id="{17FE7888-5F62-48E5-9D7A-9E535338D15B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992" name="Text Box 1">
          <a:extLst>
            <a:ext uri="{FF2B5EF4-FFF2-40B4-BE49-F238E27FC236}">
              <a16:creationId xmlns:a16="http://schemas.microsoft.com/office/drawing/2014/main" id="{508076E8-E83E-4A7A-83D0-9FB159E3B98C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993" name="Text Box 1">
          <a:extLst>
            <a:ext uri="{FF2B5EF4-FFF2-40B4-BE49-F238E27FC236}">
              <a16:creationId xmlns:a16="http://schemas.microsoft.com/office/drawing/2014/main" id="{9CE53148-E4F5-4C11-89EE-694745514D1D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994" name="Text Box 1">
          <a:extLst>
            <a:ext uri="{FF2B5EF4-FFF2-40B4-BE49-F238E27FC236}">
              <a16:creationId xmlns:a16="http://schemas.microsoft.com/office/drawing/2014/main" id="{5E6C4DC2-049D-43B5-B11E-15B68249FE3B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995" name="Text Box 1">
          <a:extLst>
            <a:ext uri="{FF2B5EF4-FFF2-40B4-BE49-F238E27FC236}">
              <a16:creationId xmlns:a16="http://schemas.microsoft.com/office/drawing/2014/main" id="{F5100EA7-712A-4C56-AC0B-0E023975772B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996" name="Text Box 1">
          <a:extLst>
            <a:ext uri="{FF2B5EF4-FFF2-40B4-BE49-F238E27FC236}">
              <a16:creationId xmlns:a16="http://schemas.microsoft.com/office/drawing/2014/main" id="{6BE00D12-1B34-46FC-86C0-2D0C7A73301E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997" name="Text Box 1">
          <a:extLst>
            <a:ext uri="{FF2B5EF4-FFF2-40B4-BE49-F238E27FC236}">
              <a16:creationId xmlns:a16="http://schemas.microsoft.com/office/drawing/2014/main" id="{27008037-C38C-42CC-A107-7E75FDD88EE3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998" name="Text Box 1">
          <a:extLst>
            <a:ext uri="{FF2B5EF4-FFF2-40B4-BE49-F238E27FC236}">
              <a16:creationId xmlns:a16="http://schemas.microsoft.com/office/drawing/2014/main" id="{832E9300-62B2-4A97-AD8E-D1F7A7B56E74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9999" name="Text Box 1">
          <a:extLst>
            <a:ext uri="{FF2B5EF4-FFF2-40B4-BE49-F238E27FC236}">
              <a16:creationId xmlns:a16="http://schemas.microsoft.com/office/drawing/2014/main" id="{493C80B1-A44A-407B-802A-5AB8F386F82F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000" name="Text Box 1">
          <a:extLst>
            <a:ext uri="{FF2B5EF4-FFF2-40B4-BE49-F238E27FC236}">
              <a16:creationId xmlns:a16="http://schemas.microsoft.com/office/drawing/2014/main" id="{55AD23BC-28F0-4E84-81C2-25CCB30B24A0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001" name="Text Box 1">
          <a:extLst>
            <a:ext uri="{FF2B5EF4-FFF2-40B4-BE49-F238E27FC236}">
              <a16:creationId xmlns:a16="http://schemas.microsoft.com/office/drawing/2014/main" id="{0ECFBB74-9184-4E08-BABD-DFE02A6A9C83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002" name="Text Box 1">
          <a:extLst>
            <a:ext uri="{FF2B5EF4-FFF2-40B4-BE49-F238E27FC236}">
              <a16:creationId xmlns:a16="http://schemas.microsoft.com/office/drawing/2014/main" id="{A53C6F2C-2CF3-4085-94FA-6C71B90DAE9E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003" name="Text Box 1">
          <a:extLst>
            <a:ext uri="{FF2B5EF4-FFF2-40B4-BE49-F238E27FC236}">
              <a16:creationId xmlns:a16="http://schemas.microsoft.com/office/drawing/2014/main" id="{E14DCE4F-18D5-4147-A1BF-68B5DCDF7846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004" name="Text Box 1">
          <a:extLst>
            <a:ext uri="{FF2B5EF4-FFF2-40B4-BE49-F238E27FC236}">
              <a16:creationId xmlns:a16="http://schemas.microsoft.com/office/drawing/2014/main" id="{0D6B355A-A2A3-4D6E-A659-ABDC5AD9B098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005" name="Text Box 1">
          <a:extLst>
            <a:ext uri="{FF2B5EF4-FFF2-40B4-BE49-F238E27FC236}">
              <a16:creationId xmlns:a16="http://schemas.microsoft.com/office/drawing/2014/main" id="{DE013F26-92FD-44F4-B2E2-CF6B647F2C5B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006" name="Text Box 1">
          <a:extLst>
            <a:ext uri="{FF2B5EF4-FFF2-40B4-BE49-F238E27FC236}">
              <a16:creationId xmlns:a16="http://schemas.microsoft.com/office/drawing/2014/main" id="{7DB1857D-110F-4D6B-BE9B-9F2448F0B677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007" name="Text Box 1">
          <a:extLst>
            <a:ext uri="{FF2B5EF4-FFF2-40B4-BE49-F238E27FC236}">
              <a16:creationId xmlns:a16="http://schemas.microsoft.com/office/drawing/2014/main" id="{4B0CFBF3-3EF2-4049-9C7D-17A6E871B993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008" name="Text Box 1">
          <a:extLst>
            <a:ext uri="{FF2B5EF4-FFF2-40B4-BE49-F238E27FC236}">
              <a16:creationId xmlns:a16="http://schemas.microsoft.com/office/drawing/2014/main" id="{E95F92DD-E663-4F8E-8E2B-565F2F3BAC67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009" name="Text Box 1">
          <a:extLst>
            <a:ext uri="{FF2B5EF4-FFF2-40B4-BE49-F238E27FC236}">
              <a16:creationId xmlns:a16="http://schemas.microsoft.com/office/drawing/2014/main" id="{8345F512-AB30-41E3-A1D7-69865BF2C2BA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010" name="Text Box 1">
          <a:extLst>
            <a:ext uri="{FF2B5EF4-FFF2-40B4-BE49-F238E27FC236}">
              <a16:creationId xmlns:a16="http://schemas.microsoft.com/office/drawing/2014/main" id="{6C59CAB2-0EB1-4C6A-A173-35189D170C87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011" name="Text Box 1">
          <a:extLst>
            <a:ext uri="{FF2B5EF4-FFF2-40B4-BE49-F238E27FC236}">
              <a16:creationId xmlns:a16="http://schemas.microsoft.com/office/drawing/2014/main" id="{0900BAC5-C648-484B-9320-6FC4BC68A4D5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012" name="Text Box 1">
          <a:extLst>
            <a:ext uri="{FF2B5EF4-FFF2-40B4-BE49-F238E27FC236}">
              <a16:creationId xmlns:a16="http://schemas.microsoft.com/office/drawing/2014/main" id="{5BBCB0B7-A99A-47D4-893E-676113C720F5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013" name="Text Box 1">
          <a:extLst>
            <a:ext uri="{FF2B5EF4-FFF2-40B4-BE49-F238E27FC236}">
              <a16:creationId xmlns:a16="http://schemas.microsoft.com/office/drawing/2014/main" id="{44A3E9C1-7C9D-4031-AD76-BAB863493CBE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014" name="Text Box 1">
          <a:extLst>
            <a:ext uri="{FF2B5EF4-FFF2-40B4-BE49-F238E27FC236}">
              <a16:creationId xmlns:a16="http://schemas.microsoft.com/office/drawing/2014/main" id="{529F352A-2DF1-4E09-8CB8-93E77B24F699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015" name="Text Box 1">
          <a:extLst>
            <a:ext uri="{FF2B5EF4-FFF2-40B4-BE49-F238E27FC236}">
              <a16:creationId xmlns:a16="http://schemas.microsoft.com/office/drawing/2014/main" id="{99960EDA-C121-4828-B9F5-BD20A7101836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016" name="Text Box 1">
          <a:extLst>
            <a:ext uri="{FF2B5EF4-FFF2-40B4-BE49-F238E27FC236}">
              <a16:creationId xmlns:a16="http://schemas.microsoft.com/office/drawing/2014/main" id="{46447C14-F5A7-4D3C-BB71-CD3AF96F0677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017" name="Text Box 1">
          <a:extLst>
            <a:ext uri="{FF2B5EF4-FFF2-40B4-BE49-F238E27FC236}">
              <a16:creationId xmlns:a16="http://schemas.microsoft.com/office/drawing/2014/main" id="{ABD6FDCF-4742-4476-8B7B-607FD0E15102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018" name="Text Box 1">
          <a:extLst>
            <a:ext uri="{FF2B5EF4-FFF2-40B4-BE49-F238E27FC236}">
              <a16:creationId xmlns:a16="http://schemas.microsoft.com/office/drawing/2014/main" id="{05392529-8F6D-400B-9F77-83C2B338E3A4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019" name="Text Box 1">
          <a:extLst>
            <a:ext uri="{FF2B5EF4-FFF2-40B4-BE49-F238E27FC236}">
              <a16:creationId xmlns:a16="http://schemas.microsoft.com/office/drawing/2014/main" id="{8DD95A4C-8133-4CDF-A078-09BFC7D5BBBC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020" name="Text Box 1">
          <a:extLst>
            <a:ext uri="{FF2B5EF4-FFF2-40B4-BE49-F238E27FC236}">
              <a16:creationId xmlns:a16="http://schemas.microsoft.com/office/drawing/2014/main" id="{701BBF4F-4BDD-414B-A287-983A734DF5BE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021" name="Text Box 1">
          <a:extLst>
            <a:ext uri="{FF2B5EF4-FFF2-40B4-BE49-F238E27FC236}">
              <a16:creationId xmlns:a16="http://schemas.microsoft.com/office/drawing/2014/main" id="{14A1ED45-0F89-4EEB-B9A1-98EB37937FD2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022" name="Text Box 1">
          <a:extLst>
            <a:ext uri="{FF2B5EF4-FFF2-40B4-BE49-F238E27FC236}">
              <a16:creationId xmlns:a16="http://schemas.microsoft.com/office/drawing/2014/main" id="{FDE762ED-1E3C-4FF6-8BFE-15B3CB519D8B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023" name="Text Box 1">
          <a:extLst>
            <a:ext uri="{FF2B5EF4-FFF2-40B4-BE49-F238E27FC236}">
              <a16:creationId xmlns:a16="http://schemas.microsoft.com/office/drawing/2014/main" id="{5CC51F91-7346-457A-9AAA-90885985B588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024" name="Text Box 1">
          <a:extLst>
            <a:ext uri="{FF2B5EF4-FFF2-40B4-BE49-F238E27FC236}">
              <a16:creationId xmlns:a16="http://schemas.microsoft.com/office/drawing/2014/main" id="{1F84E21C-2F1F-4E57-ADB1-762F0C2174B5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025" name="Text Box 1">
          <a:extLst>
            <a:ext uri="{FF2B5EF4-FFF2-40B4-BE49-F238E27FC236}">
              <a16:creationId xmlns:a16="http://schemas.microsoft.com/office/drawing/2014/main" id="{F33D4E28-ED14-46F9-B474-C25B9C355B88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026" name="Text Box 1">
          <a:extLst>
            <a:ext uri="{FF2B5EF4-FFF2-40B4-BE49-F238E27FC236}">
              <a16:creationId xmlns:a16="http://schemas.microsoft.com/office/drawing/2014/main" id="{EF015B90-DB94-4A1C-A546-75FC28988B2F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027" name="Text Box 1">
          <a:extLst>
            <a:ext uri="{FF2B5EF4-FFF2-40B4-BE49-F238E27FC236}">
              <a16:creationId xmlns:a16="http://schemas.microsoft.com/office/drawing/2014/main" id="{76BBECF0-5454-4F6F-8801-70393922B2E7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028" name="Text Box 1">
          <a:extLst>
            <a:ext uri="{FF2B5EF4-FFF2-40B4-BE49-F238E27FC236}">
              <a16:creationId xmlns:a16="http://schemas.microsoft.com/office/drawing/2014/main" id="{AA0E159B-A15E-4B88-B049-B35DED9B8A83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029" name="Text Box 1">
          <a:extLst>
            <a:ext uri="{FF2B5EF4-FFF2-40B4-BE49-F238E27FC236}">
              <a16:creationId xmlns:a16="http://schemas.microsoft.com/office/drawing/2014/main" id="{F04DF20F-072E-46BA-83A4-87CF0F21BD5F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030" name="Text Box 1">
          <a:extLst>
            <a:ext uri="{FF2B5EF4-FFF2-40B4-BE49-F238E27FC236}">
              <a16:creationId xmlns:a16="http://schemas.microsoft.com/office/drawing/2014/main" id="{D3FEF91A-4E5F-413C-9DBE-34B5FA7D39EB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031" name="Text Box 1">
          <a:extLst>
            <a:ext uri="{FF2B5EF4-FFF2-40B4-BE49-F238E27FC236}">
              <a16:creationId xmlns:a16="http://schemas.microsoft.com/office/drawing/2014/main" id="{6BCAB6C0-6494-4CD7-8961-FDAF8E59C52E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032" name="Text Box 1">
          <a:extLst>
            <a:ext uri="{FF2B5EF4-FFF2-40B4-BE49-F238E27FC236}">
              <a16:creationId xmlns:a16="http://schemas.microsoft.com/office/drawing/2014/main" id="{05D7FFE9-CEDA-4A76-9411-4A33B2E554AC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033" name="Text Box 1">
          <a:extLst>
            <a:ext uri="{FF2B5EF4-FFF2-40B4-BE49-F238E27FC236}">
              <a16:creationId xmlns:a16="http://schemas.microsoft.com/office/drawing/2014/main" id="{F01BDE74-EB96-4AD2-93C6-AFDC056539AB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034" name="Text Box 1">
          <a:extLst>
            <a:ext uri="{FF2B5EF4-FFF2-40B4-BE49-F238E27FC236}">
              <a16:creationId xmlns:a16="http://schemas.microsoft.com/office/drawing/2014/main" id="{FF0B6983-0C07-4F65-8125-6B65133A31D2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035" name="Text Box 1">
          <a:extLst>
            <a:ext uri="{FF2B5EF4-FFF2-40B4-BE49-F238E27FC236}">
              <a16:creationId xmlns:a16="http://schemas.microsoft.com/office/drawing/2014/main" id="{CF1B1777-94F5-4E03-9BB9-2DB9EFF7AF5A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036" name="Text Box 1">
          <a:extLst>
            <a:ext uri="{FF2B5EF4-FFF2-40B4-BE49-F238E27FC236}">
              <a16:creationId xmlns:a16="http://schemas.microsoft.com/office/drawing/2014/main" id="{658716C3-806B-47B3-9C76-C0DC0893BEB8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037" name="Text Box 1">
          <a:extLst>
            <a:ext uri="{FF2B5EF4-FFF2-40B4-BE49-F238E27FC236}">
              <a16:creationId xmlns:a16="http://schemas.microsoft.com/office/drawing/2014/main" id="{92140C76-DD93-451F-89C9-D073A37955C1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038" name="Text Box 1">
          <a:extLst>
            <a:ext uri="{FF2B5EF4-FFF2-40B4-BE49-F238E27FC236}">
              <a16:creationId xmlns:a16="http://schemas.microsoft.com/office/drawing/2014/main" id="{B26FB5AA-E9C8-455A-9A1A-3B58B51EF477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039" name="Text Box 1">
          <a:extLst>
            <a:ext uri="{FF2B5EF4-FFF2-40B4-BE49-F238E27FC236}">
              <a16:creationId xmlns:a16="http://schemas.microsoft.com/office/drawing/2014/main" id="{34941F04-107C-46D5-B9C4-7F1FD78AC75D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040" name="Text Box 1">
          <a:extLst>
            <a:ext uri="{FF2B5EF4-FFF2-40B4-BE49-F238E27FC236}">
              <a16:creationId xmlns:a16="http://schemas.microsoft.com/office/drawing/2014/main" id="{2775740C-3725-4F8E-BA9F-7996CCDE4C1F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041" name="Text Box 1">
          <a:extLst>
            <a:ext uri="{FF2B5EF4-FFF2-40B4-BE49-F238E27FC236}">
              <a16:creationId xmlns:a16="http://schemas.microsoft.com/office/drawing/2014/main" id="{8A18FCAB-542D-4141-931F-26A3C7E0559C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042" name="Text Box 1">
          <a:extLst>
            <a:ext uri="{FF2B5EF4-FFF2-40B4-BE49-F238E27FC236}">
              <a16:creationId xmlns:a16="http://schemas.microsoft.com/office/drawing/2014/main" id="{E0B1E495-6061-4C85-A7FB-27E7A60E7B94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043" name="Text Box 1">
          <a:extLst>
            <a:ext uri="{FF2B5EF4-FFF2-40B4-BE49-F238E27FC236}">
              <a16:creationId xmlns:a16="http://schemas.microsoft.com/office/drawing/2014/main" id="{E87D88BD-411D-4B88-BBF5-714C11C04D54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044" name="Text Box 1">
          <a:extLst>
            <a:ext uri="{FF2B5EF4-FFF2-40B4-BE49-F238E27FC236}">
              <a16:creationId xmlns:a16="http://schemas.microsoft.com/office/drawing/2014/main" id="{CE586F48-66AF-4345-B191-F541B460ACAC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045" name="Text Box 1">
          <a:extLst>
            <a:ext uri="{FF2B5EF4-FFF2-40B4-BE49-F238E27FC236}">
              <a16:creationId xmlns:a16="http://schemas.microsoft.com/office/drawing/2014/main" id="{153B6B30-2A9E-43A8-99D1-2EC92BE81D1B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046" name="Text Box 1">
          <a:extLst>
            <a:ext uri="{FF2B5EF4-FFF2-40B4-BE49-F238E27FC236}">
              <a16:creationId xmlns:a16="http://schemas.microsoft.com/office/drawing/2014/main" id="{93203B12-DEE6-4B65-A312-B40009CAB8AC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047" name="Text Box 1">
          <a:extLst>
            <a:ext uri="{FF2B5EF4-FFF2-40B4-BE49-F238E27FC236}">
              <a16:creationId xmlns:a16="http://schemas.microsoft.com/office/drawing/2014/main" id="{DC5AB1E8-A3E1-45ED-AEF5-71BC6972EACA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048" name="Text Box 1">
          <a:extLst>
            <a:ext uri="{FF2B5EF4-FFF2-40B4-BE49-F238E27FC236}">
              <a16:creationId xmlns:a16="http://schemas.microsoft.com/office/drawing/2014/main" id="{6E6A4413-2246-4B4C-B22C-A828B623D584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049" name="Text Box 1">
          <a:extLst>
            <a:ext uri="{FF2B5EF4-FFF2-40B4-BE49-F238E27FC236}">
              <a16:creationId xmlns:a16="http://schemas.microsoft.com/office/drawing/2014/main" id="{B4488007-C985-46CF-AEF0-C1F8C71792EE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050" name="Text Box 1">
          <a:extLst>
            <a:ext uri="{FF2B5EF4-FFF2-40B4-BE49-F238E27FC236}">
              <a16:creationId xmlns:a16="http://schemas.microsoft.com/office/drawing/2014/main" id="{9F0612E0-6F2A-4901-9D31-A7E85FB8703B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051" name="Text Box 1">
          <a:extLst>
            <a:ext uri="{FF2B5EF4-FFF2-40B4-BE49-F238E27FC236}">
              <a16:creationId xmlns:a16="http://schemas.microsoft.com/office/drawing/2014/main" id="{4BB9F676-1E9A-4A31-B64C-5BDAEF992649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10052" name="Text Box 1">
          <a:extLst>
            <a:ext uri="{FF2B5EF4-FFF2-40B4-BE49-F238E27FC236}">
              <a16:creationId xmlns:a16="http://schemas.microsoft.com/office/drawing/2014/main" id="{48901C34-7F8F-4A3E-984C-26BEE983AFBE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10053" name="Text Box 1">
          <a:extLst>
            <a:ext uri="{FF2B5EF4-FFF2-40B4-BE49-F238E27FC236}">
              <a16:creationId xmlns:a16="http://schemas.microsoft.com/office/drawing/2014/main" id="{4895F0CA-13AE-4EA9-B465-3F9D9650BD6A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10054" name="Text Box 1">
          <a:extLst>
            <a:ext uri="{FF2B5EF4-FFF2-40B4-BE49-F238E27FC236}">
              <a16:creationId xmlns:a16="http://schemas.microsoft.com/office/drawing/2014/main" id="{F307076E-75D0-4478-982A-85986F717D79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10055" name="Text Box 1">
          <a:extLst>
            <a:ext uri="{FF2B5EF4-FFF2-40B4-BE49-F238E27FC236}">
              <a16:creationId xmlns:a16="http://schemas.microsoft.com/office/drawing/2014/main" id="{43203DBC-C08E-468F-B60C-D70172D3DB17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10056" name="Text Box 1">
          <a:extLst>
            <a:ext uri="{FF2B5EF4-FFF2-40B4-BE49-F238E27FC236}">
              <a16:creationId xmlns:a16="http://schemas.microsoft.com/office/drawing/2014/main" id="{FF338DEB-F69A-48EC-A4F4-77BBA496BAB7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10057" name="Text Box 1">
          <a:extLst>
            <a:ext uri="{FF2B5EF4-FFF2-40B4-BE49-F238E27FC236}">
              <a16:creationId xmlns:a16="http://schemas.microsoft.com/office/drawing/2014/main" id="{FDC37740-7018-480E-A00F-B4552EF026F3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10058" name="Text Box 1">
          <a:extLst>
            <a:ext uri="{FF2B5EF4-FFF2-40B4-BE49-F238E27FC236}">
              <a16:creationId xmlns:a16="http://schemas.microsoft.com/office/drawing/2014/main" id="{D2B85CC6-0261-48CF-93CA-9266923AADBF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10059" name="Text Box 1">
          <a:extLst>
            <a:ext uri="{FF2B5EF4-FFF2-40B4-BE49-F238E27FC236}">
              <a16:creationId xmlns:a16="http://schemas.microsoft.com/office/drawing/2014/main" id="{DC13846A-7C93-44BC-A455-A7DCA720B3A9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10060" name="Text Box 1">
          <a:extLst>
            <a:ext uri="{FF2B5EF4-FFF2-40B4-BE49-F238E27FC236}">
              <a16:creationId xmlns:a16="http://schemas.microsoft.com/office/drawing/2014/main" id="{52EB2F9A-32AA-4689-9DBC-1E9F96BB7942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10061" name="Text Box 1">
          <a:extLst>
            <a:ext uri="{FF2B5EF4-FFF2-40B4-BE49-F238E27FC236}">
              <a16:creationId xmlns:a16="http://schemas.microsoft.com/office/drawing/2014/main" id="{540D6348-9CFB-4A43-B415-6DFEFF5FB798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10062" name="Text Box 1">
          <a:extLst>
            <a:ext uri="{FF2B5EF4-FFF2-40B4-BE49-F238E27FC236}">
              <a16:creationId xmlns:a16="http://schemas.microsoft.com/office/drawing/2014/main" id="{AE257E80-48BE-48E0-9898-ECF8B5A40731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10063" name="Text Box 1">
          <a:extLst>
            <a:ext uri="{FF2B5EF4-FFF2-40B4-BE49-F238E27FC236}">
              <a16:creationId xmlns:a16="http://schemas.microsoft.com/office/drawing/2014/main" id="{BDC78B33-896F-4C7D-9A5F-B61E5A67D911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10064" name="Text Box 1">
          <a:extLst>
            <a:ext uri="{FF2B5EF4-FFF2-40B4-BE49-F238E27FC236}">
              <a16:creationId xmlns:a16="http://schemas.microsoft.com/office/drawing/2014/main" id="{96646227-94F5-4879-A2AD-8675AFC1ECA4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10065" name="Text Box 1">
          <a:extLst>
            <a:ext uri="{FF2B5EF4-FFF2-40B4-BE49-F238E27FC236}">
              <a16:creationId xmlns:a16="http://schemas.microsoft.com/office/drawing/2014/main" id="{AD18123A-B5D2-4142-9242-FC54E6FF72FC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10066" name="Text Box 1">
          <a:extLst>
            <a:ext uri="{FF2B5EF4-FFF2-40B4-BE49-F238E27FC236}">
              <a16:creationId xmlns:a16="http://schemas.microsoft.com/office/drawing/2014/main" id="{DFD2488A-82DC-4D34-A8D0-8F98038E1E62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10067" name="Text Box 1">
          <a:extLst>
            <a:ext uri="{FF2B5EF4-FFF2-40B4-BE49-F238E27FC236}">
              <a16:creationId xmlns:a16="http://schemas.microsoft.com/office/drawing/2014/main" id="{BAC590CF-D018-4A59-9C70-0A9A48885241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10068" name="Text Box 1">
          <a:extLst>
            <a:ext uri="{FF2B5EF4-FFF2-40B4-BE49-F238E27FC236}">
              <a16:creationId xmlns:a16="http://schemas.microsoft.com/office/drawing/2014/main" id="{9FA86581-D823-4AC8-8583-2B7B51A7035C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10069" name="Text Box 1">
          <a:extLst>
            <a:ext uri="{FF2B5EF4-FFF2-40B4-BE49-F238E27FC236}">
              <a16:creationId xmlns:a16="http://schemas.microsoft.com/office/drawing/2014/main" id="{11F49590-0E0E-481B-AFD2-8519BC6F3594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10070" name="Text Box 1">
          <a:extLst>
            <a:ext uri="{FF2B5EF4-FFF2-40B4-BE49-F238E27FC236}">
              <a16:creationId xmlns:a16="http://schemas.microsoft.com/office/drawing/2014/main" id="{572E8D44-5813-4241-BCE7-DD4FB4EDD134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10071" name="Text Box 1">
          <a:extLst>
            <a:ext uri="{FF2B5EF4-FFF2-40B4-BE49-F238E27FC236}">
              <a16:creationId xmlns:a16="http://schemas.microsoft.com/office/drawing/2014/main" id="{C2FB5683-E81A-4205-B3A6-76778F9F0349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10072" name="Text Box 1">
          <a:extLst>
            <a:ext uri="{FF2B5EF4-FFF2-40B4-BE49-F238E27FC236}">
              <a16:creationId xmlns:a16="http://schemas.microsoft.com/office/drawing/2014/main" id="{EB1C394D-2639-4F94-970F-D10CAA7A8874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10073" name="Text Box 1">
          <a:extLst>
            <a:ext uri="{FF2B5EF4-FFF2-40B4-BE49-F238E27FC236}">
              <a16:creationId xmlns:a16="http://schemas.microsoft.com/office/drawing/2014/main" id="{FE83397C-ECB8-4C1A-8978-9957FDF8B718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10074" name="Text Box 1">
          <a:extLst>
            <a:ext uri="{FF2B5EF4-FFF2-40B4-BE49-F238E27FC236}">
              <a16:creationId xmlns:a16="http://schemas.microsoft.com/office/drawing/2014/main" id="{2DD1AA58-C492-480A-91BA-A8BE803FE4B1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10075" name="Text Box 1">
          <a:extLst>
            <a:ext uri="{FF2B5EF4-FFF2-40B4-BE49-F238E27FC236}">
              <a16:creationId xmlns:a16="http://schemas.microsoft.com/office/drawing/2014/main" id="{D8507A47-3520-4F76-809D-83B2371BAA30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10076" name="Text Box 1">
          <a:extLst>
            <a:ext uri="{FF2B5EF4-FFF2-40B4-BE49-F238E27FC236}">
              <a16:creationId xmlns:a16="http://schemas.microsoft.com/office/drawing/2014/main" id="{E3AB75E2-9BED-4760-9156-6ED7B26EA111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10077" name="Text Box 1">
          <a:extLst>
            <a:ext uri="{FF2B5EF4-FFF2-40B4-BE49-F238E27FC236}">
              <a16:creationId xmlns:a16="http://schemas.microsoft.com/office/drawing/2014/main" id="{EBC4F14D-30B4-43C1-8089-7DB967BE3E4C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10078" name="Text Box 1">
          <a:extLst>
            <a:ext uri="{FF2B5EF4-FFF2-40B4-BE49-F238E27FC236}">
              <a16:creationId xmlns:a16="http://schemas.microsoft.com/office/drawing/2014/main" id="{9ADA2ED3-E5B3-44E5-81D9-1E7D359C9FEB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10079" name="Text Box 1">
          <a:extLst>
            <a:ext uri="{FF2B5EF4-FFF2-40B4-BE49-F238E27FC236}">
              <a16:creationId xmlns:a16="http://schemas.microsoft.com/office/drawing/2014/main" id="{8834E1AC-F9C6-4CE0-B143-FE6E963287FD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10080" name="Text Box 1">
          <a:extLst>
            <a:ext uri="{FF2B5EF4-FFF2-40B4-BE49-F238E27FC236}">
              <a16:creationId xmlns:a16="http://schemas.microsoft.com/office/drawing/2014/main" id="{7EE18BCC-3F91-4145-9F1C-C6E2B2CFAA4A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10081" name="Text Box 1">
          <a:extLst>
            <a:ext uri="{FF2B5EF4-FFF2-40B4-BE49-F238E27FC236}">
              <a16:creationId xmlns:a16="http://schemas.microsoft.com/office/drawing/2014/main" id="{7B828162-0334-47C8-9F2A-3CA5BB9D6E43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10082" name="Text Box 1">
          <a:extLst>
            <a:ext uri="{FF2B5EF4-FFF2-40B4-BE49-F238E27FC236}">
              <a16:creationId xmlns:a16="http://schemas.microsoft.com/office/drawing/2014/main" id="{1348CC97-7662-48AD-9879-DBB87654D955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10083" name="Text Box 1">
          <a:extLst>
            <a:ext uri="{FF2B5EF4-FFF2-40B4-BE49-F238E27FC236}">
              <a16:creationId xmlns:a16="http://schemas.microsoft.com/office/drawing/2014/main" id="{9C91FC38-2D66-4D14-AA5A-89888932D2FB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084" name="Text Box 1">
          <a:extLst>
            <a:ext uri="{FF2B5EF4-FFF2-40B4-BE49-F238E27FC236}">
              <a16:creationId xmlns:a16="http://schemas.microsoft.com/office/drawing/2014/main" id="{2B15F3EA-49F5-4063-AA47-37FCAF1F35BC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085" name="Text Box 1">
          <a:extLst>
            <a:ext uri="{FF2B5EF4-FFF2-40B4-BE49-F238E27FC236}">
              <a16:creationId xmlns:a16="http://schemas.microsoft.com/office/drawing/2014/main" id="{6C977AB3-7222-438D-90EC-BB0F060511E6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086" name="Text Box 1">
          <a:extLst>
            <a:ext uri="{FF2B5EF4-FFF2-40B4-BE49-F238E27FC236}">
              <a16:creationId xmlns:a16="http://schemas.microsoft.com/office/drawing/2014/main" id="{5085CE20-D10B-4C86-8887-29FC7529426B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087" name="Text Box 1">
          <a:extLst>
            <a:ext uri="{FF2B5EF4-FFF2-40B4-BE49-F238E27FC236}">
              <a16:creationId xmlns:a16="http://schemas.microsoft.com/office/drawing/2014/main" id="{A6BB4CD7-BF4A-41FD-A70E-EB55934B1749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088" name="Text Box 1">
          <a:extLst>
            <a:ext uri="{FF2B5EF4-FFF2-40B4-BE49-F238E27FC236}">
              <a16:creationId xmlns:a16="http://schemas.microsoft.com/office/drawing/2014/main" id="{E0661667-72E6-4AE0-B763-338196DBF1B2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089" name="Text Box 1">
          <a:extLst>
            <a:ext uri="{FF2B5EF4-FFF2-40B4-BE49-F238E27FC236}">
              <a16:creationId xmlns:a16="http://schemas.microsoft.com/office/drawing/2014/main" id="{940726CF-AB96-4150-84D3-F6A7FAF6481F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090" name="Text Box 1">
          <a:extLst>
            <a:ext uri="{FF2B5EF4-FFF2-40B4-BE49-F238E27FC236}">
              <a16:creationId xmlns:a16="http://schemas.microsoft.com/office/drawing/2014/main" id="{4474BCCF-AB39-42F1-9B8B-6CA8016CBB50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091" name="Text Box 1">
          <a:extLst>
            <a:ext uri="{FF2B5EF4-FFF2-40B4-BE49-F238E27FC236}">
              <a16:creationId xmlns:a16="http://schemas.microsoft.com/office/drawing/2014/main" id="{B44979E1-0DC8-4E06-A10C-330E351986ED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092" name="Text Box 1">
          <a:extLst>
            <a:ext uri="{FF2B5EF4-FFF2-40B4-BE49-F238E27FC236}">
              <a16:creationId xmlns:a16="http://schemas.microsoft.com/office/drawing/2014/main" id="{A24BBB8E-EFD1-4136-B2C5-F8128880B8BC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093" name="Text Box 1">
          <a:extLst>
            <a:ext uri="{FF2B5EF4-FFF2-40B4-BE49-F238E27FC236}">
              <a16:creationId xmlns:a16="http://schemas.microsoft.com/office/drawing/2014/main" id="{9D4316C2-A47E-4230-BD32-1C33FB25BC19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094" name="Text Box 1">
          <a:extLst>
            <a:ext uri="{FF2B5EF4-FFF2-40B4-BE49-F238E27FC236}">
              <a16:creationId xmlns:a16="http://schemas.microsoft.com/office/drawing/2014/main" id="{214B89D0-7993-416C-88F7-0BA6D85C7501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095" name="Text Box 1">
          <a:extLst>
            <a:ext uri="{FF2B5EF4-FFF2-40B4-BE49-F238E27FC236}">
              <a16:creationId xmlns:a16="http://schemas.microsoft.com/office/drawing/2014/main" id="{47A6D351-03D3-4991-B26F-1D0F4FA55518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096" name="Text Box 1">
          <a:extLst>
            <a:ext uri="{FF2B5EF4-FFF2-40B4-BE49-F238E27FC236}">
              <a16:creationId xmlns:a16="http://schemas.microsoft.com/office/drawing/2014/main" id="{85CA624C-EA25-41D3-A88F-E09600BDACC2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097" name="Text Box 1">
          <a:extLst>
            <a:ext uri="{FF2B5EF4-FFF2-40B4-BE49-F238E27FC236}">
              <a16:creationId xmlns:a16="http://schemas.microsoft.com/office/drawing/2014/main" id="{731C767A-49F3-487C-A813-94F5A59BBB35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098" name="Text Box 1">
          <a:extLst>
            <a:ext uri="{FF2B5EF4-FFF2-40B4-BE49-F238E27FC236}">
              <a16:creationId xmlns:a16="http://schemas.microsoft.com/office/drawing/2014/main" id="{E06E2ACC-683A-47D5-B103-4E042261BF4F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099" name="Text Box 1">
          <a:extLst>
            <a:ext uri="{FF2B5EF4-FFF2-40B4-BE49-F238E27FC236}">
              <a16:creationId xmlns:a16="http://schemas.microsoft.com/office/drawing/2014/main" id="{ECEF1CF4-7A4C-41FD-B367-CC8901B5C10B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100" name="Text Box 1">
          <a:extLst>
            <a:ext uri="{FF2B5EF4-FFF2-40B4-BE49-F238E27FC236}">
              <a16:creationId xmlns:a16="http://schemas.microsoft.com/office/drawing/2014/main" id="{31B1FF57-6D70-4EBB-B784-646D36660BBC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101" name="Text Box 1">
          <a:extLst>
            <a:ext uri="{FF2B5EF4-FFF2-40B4-BE49-F238E27FC236}">
              <a16:creationId xmlns:a16="http://schemas.microsoft.com/office/drawing/2014/main" id="{2C51DFF9-B119-4C09-8FEF-76417F3FC692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102" name="Text Box 1">
          <a:extLst>
            <a:ext uri="{FF2B5EF4-FFF2-40B4-BE49-F238E27FC236}">
              <a16:creationId xmlns:a16="http://schemas.microsoft.com/office/drawing/2014/main" id="{35F24BBA-D253-4541-B006-FB0039576EA1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103" name="Text Box 1">
          <a:extLst>
            <a:ext uri="{FF2B5EF4-FFF2-40B4-BE49-F238E27FC236}">
              <a16:creationId xmlns:a16="http://schemas.microsoft.com/office/drawing/2014/main" id="{6F7C1354-BE3B-4B51-8E64-2F3AD3D4EF73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104" name="Text Box 1">
          <a:extLst>
            <a:ext uri="{FF2B5EF4-FFF2-40B4-BE49-F238E27FC236}">
              <a16:creationId xmlns:a16="http://schemas.microsoft.com/office/drawing/2014/main" id="{60BD3D0A-05F9-489E-9959-79D50E4B4A2B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105" name="Text Box 1">
          <a:extLst>
            <a:ext uri="{FF2B5EF4-FFF2-40B4-BE49-F238E27FC236}">
              <a16:creationId xmlns:a16="http://schemas.microsoft.com/office/drawing/2014/main" id="{4C09E4B9-498F-4FDC-8C1B-F17765889DA4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106" name="Text Box 1">
          <a:extLst>
            <a:ext uri="{FF2B5EF4-FFF2-40B4-BE49-F238E27FC236}">
              <a16:creationId xmlns:a16="http://schemas.microsoft.com/office/drawing/2014/main" id="{0A812D9B-A92A-4846-AB57-FC07249413C5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107" name="Text Box 1">
          <a:extLst>
            <a:ext uri="{FF2B5EF4-FFF2-40B4-BE49-F238E27FC236}">
              <a16:creationId xmlns:a16="http://schemas.microsoft.com/office/drawing/2014/main" id="{D3222BD8-906A-40D8-8534-A360B7528EBE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108" name="Text Box 1">
          <a:extLst>
            <a:ext uri="{FF2B5EF4-FFF2-40B4-BE49-F238E27FC236}">
              <a16:creationId xmlns:a16="http://schemas.microsoft.com/office/drawing/2014/main" id="{BE2A9E9B-1B7F-4C31-9E70-9A1BDED49439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109" name="Text Box 1">
          <a:extLst>
            <a:ext uri="{FF2B5EF4-FFF2-40B4-BE49-F238E27FC236}">
              <a16:creationId xmlns:a16="http://schemas.microsoft.com/office/drawing/2014/main" id="{CF7E12D7-3A98-4A26-BB19-993345675B6D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110" name="Text Box 1">
          <a:extLst>
            <a:ext uri="{FF2B5EF4-FFF2-40B4-BE49-F238E27FC236}">
              <a16:creationId xmlns:a16="http://schemas.microsoft.com/office/drawing/2014/main" id="{4B11FB50-0A54-4A8D-AC00-FEB23F4D1C46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111" name="Text Box 1">
          <a:extLst>
            <a:ext uri="{FF2B5EF4-FFF2-40B4-BE49-F238E27FC236}">
              <a16:creationId xmlns:a16="http://schemas.microsoft.com/office/drawing/2014/main" id="{20B34D7D-392C-407E-8611-7424E36BD1FC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112" name="Text Box 1">
          <a:extLst>
            <a:ext uri="{FF2B5EF4-FFF2-40B4-BE49-F238E27FC236}">
              <a16:creationId xmlns:a16="http://schemas.microsoft.com/office/drawing/2014/main" id="{8810A89D-65FE-48BF-85CC-D999A53FF153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113" name="Text Box 1">
          <a:extLst>
            <a:ext uri="{FF2B5EF4-FFF2-40B4-BE49-F238E27FC236}">
              <a16:creationId xmlns:a16="http://schemas.microsoft.com/office/drawing/2014/main" id="{A07FDBDC-1560-4C1A-A58D-559D7FEBB80E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114" name="Text Box 1">
          <a:extLst>
            <a:ext uri="{FF2B5EF4-FFF2-40B4-BE49-F238E27FC236}">
              <a16:creationId xmlns:a16="http://schemas.microsoft.com/office/drawing/2014/main" id="{45BF09A8-6BAA-4097-8FAB-AFAF19211A3F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115" name="Text Box 1">
          <a:extLst>
            <a:ext uri="{FF2B5EF4-FFF2-40B4-BE49-F238E27FC236}">
              <a16:creationId xmlns:a16="http://schemas.microsoft.com/office/drawing/2014/main" id="{E9C977FC-C292-4EA0-B2C9-DE71A76E98DC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116" name="Text Box 1">
          <a:extLst>
            <a:ext uri="{FF2B5EF4-FFF2-40B4-BE49-F238E27FC236}">
              <a16:creationId xmlns:a16="http://schemas.microsoft.com/office/drawing/2014/main" id="{9740D467-94E5-415D-81B2-8970ECD252E4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117" name="Text Box 1">
          <a:extLst>
            <a:ext uri="{FF2B5EF4-FFF2-40B4-BE49-F238E27FC236}">
              <a16:creationId xmlns:a16="http://schemas.microsoft.com/office/drawing/2014/main" id="{701C15E0-297D-48F7-9390-060BCF9007C0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118" name="Text Box 1">
          <a:extLst>
            <a:ext uri="{FF2B5EF4-FFF2-40B4-BE49-F238E27FC236}">
              <a16:creationId xmlns:a16="http://schemas.microsoft.com/office/drawing/2014/main" id="{A6E0CB1B-F44E-4A7C-B6AC-C1EFA1E09780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119" name="Text Box 1">
          <a:extLst>
            <a:ext uri="{FF2B5EF4-FFF2-40B4-BE49-F238E27FC236}">
              <a16:creationId xmlns:a16="http://schemas.microsoft.com/office/drawing/2014/main" id="{75470737-F294-4187-890D-F7533DE11F80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120" name="Text Box 1">
          <a:extLst>
            <a:ext uri="{FF2B5EF4-FFF2-40B4-BE49-F238E27FC236}">
              <a16:creationId xmlns:a16="http://schemas.microsoft.com/office/drawing/2014/main" id="{201DE7D9-C381-47B3-8E59-8DA8C0670448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121" name="Text Box 1">
          <a:extLst>
            <a:ext uri="{FF2B5EF4-FFF2-40B4-BE49-F238E27FC236}">
              <a16:creationId xmlns:a16="http://schemas.microsoft.com/office/drawing/2014/main" id="{1593A524-2F63-4B71-8515-5FB7F41A8FB1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122" name="Text Box 1">
          <a:extLst>
            <a:ext uri="{FF2B5EF4-FFF2-40B4-BE49-F238E27FC236}">
              <a16:creationId xmlns:a16="http://schemas.microsoft.com/office/drawing/2014/main" id="{4969DF9B-42BC-465C-9674-59DA5CE080E7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123" name="Text Box 1">
          <a:extLst>
            <a:ext uri="{FF2B5EF4-FFF2-40B4-BE49-F238E27FC236}">
              <a16:creationId xmlns:a16="http://schemas.microsoft.com/office/drawing/2014/main" id="{43DDD4E5-0408-458C-9BAE-6BFA309B3D74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124" name="Text Box 1">
          <a:extLst>
            <a:ext uri="{FF2B5EF4-FFF2-40B4-BE49-F238E27FC236}">
              <a16:creationId xmlns:a16="http://schemas.microsoft.com/office/drawing/2014/main" id="{03500255-5BD5-4C8B-9934-FF07C2789DA6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125" name="Text Box 1">
          <a:extLst>
            <a:ext uri="{FF2B5EF4-FFF2-40B4-BE49-F238E27FC236}">
              <a16:creationId xmlns:a16="http://schemas.microsoft.com/office/drawing/2014/main" id="{1EACEC20-BE8A-474A-878F-FB812D48813B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126" name="Text Box 1">
          <a:extLst>
            <a:ext uri="{FF2B5EF4-FFF2-40B4-BE49-F238E27FC236}">
              <a16:creationId xmlns:a16="http://schemas.microsoft.com/office/drawing/2014/main" id="{56FEE3EC-BB9B-4E0B-A5DC-01D1612C4007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127" name="Text Box 1">
          <a:extLst>
            <a:ext uri="{FF2B5EF4-FFF2-40B4-BE49-F238E27FC236}">
              <a16:creationId xmlns:a16="http://schemas.microsoft.com/office/drawing/2014/main" id="{6DA3DCF7-EDF9-478D-BED0-C389CDE592C4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128" name="Text Box 1">
          <a:extLst>
            <a:ext uri="{FF2B5EF4-FFF2-40B4-BE49-F238E27FC236}">
              <a16:creationId xmlns:a16="http://schemas.microsoft.com/office/drawing/2014/main" id="{1B061C90-E8C4-4141-85DA-5B033F586C3D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129" name="Text Box 1">
          <a:extLst>
            <a:ext uri="{FF2B5EF4-FFF2-40B4-BE49-F238E27FC236}">
              <a16:creationId xmlns:a16="http://schemas.microsoft.com/office/drawing/2014/main" id="{2436837A-2C69-406B-B92F-53263759EE4B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130" name="Text Box 1">
          <a:extLst>
            <a:ext uri="{FF2B5EF4-FFF2-40B4-BE49-F238E27FC236}">
              <a16:creationId xmlns:a16="http://schemas.microsoft.com/office/drawing/2014/main" id="{9057568E-2CBE-4AE4-A8F6-4A03D2F9686A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131" name="Text Box 1">
          <a:extLst>
            <a:ext uri="{FF2B5EF4-FFF2-40B4-BE49-F238E27FC236}">
              <a16:creationId xmlns:a16="http://schemas.microsoft.com/office/drawing/2014/main" id="{05563F83-9B95-495F-BACF-36000CD47B5E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132" name="Text Box 1">
          <a:extLst>
            <a:ext uri="{FF2B5EF4-FFF2-40B4-BE49-F238E27FC236}">
              <a16:creationId xmlns:a16="http://schemas.microsoft.com/office/drawing/2014/main" id="{8A033483-A330-4BE9-9E6D-AE18FA80C8E6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133" name="Text Box 1">
          <a:extLst>
            <a:ext uri="{FF2B5EF4-FFF2-40B4-BE49-F238E27FC236}">
              <a16:creationId xmlns:a16="http://schemas.microsoft.com/office/drawing/2014/main" id="{0DFCBA56-C825-46EE-8076-9C7148A2705A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134" name="Text Box 1">
          <a:extLst>
            <a:ext uri="{FF2B5EF4-FFF2-40B4-BE49-F238E27FC236}">
              <a16:creationId xmlns:a16="http://schemas.microsoft.com/office/drawing/2014/main" id="{38974502-BB02-4180-A844-81D228E4D1B8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135" name="Text Box 1">
          <a:extLst>
            <a:ext uri="{FF2B5EF4-FFF2-40B4-BE49-F238E27FC236}">
              <a16:creationId xmlns:a16="http://schemas.microsoft.com/office/drawing/2014/main" id="{57DFB57F-B573-422F-85B2-D1AA18F5A6E0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136" name="Text Box 1">
          <a:extLst>
            <a:ext uri="{FF2B5EF4-FFF2-40B4-BE49-F238E27FC236}">
              <a16:creationId xmlns:a16="http://schemas.microsoft.com/office/drawing/2014/main" id="{0E0ABFC6-3872-4AD2-AE3B-FF2D59744A52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137" name="Text Box 1">
          <a:extLst>
            <a:ext uri="{FF2B5EF4-FFF2-40B4-BE49-F238E27FC236}">
              <a16:creationId xmlns:a16="http://schemas.microsoft.com/office/drawing/2014/main" id="{FE73FBFD-7069-4B4A-ADD0-A58DDD0985EF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138" name="Text Box 1">
          <a:extLst>
            <a:ext uri="{FF2B5EF4-FFF2-40B4-BE49-F238E27FC236}">
              <a16:creationId xmlns:a16="http://schemas.microsoft.com/office/drawing/2014/main" id="{E62D918D-A98A-4095-86E6-394B10D97C14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139" name="Text Box 1">
          <a:extLst>
            <a:ext uri="{FF2B5EF4-FFF2-40B4-BE49-F238E27FC236}">
              <a16:creationId xmlns:a16="http://schemas.microsoft.com/office/drawing/2014/main" id="{69CBDDCE-71FD-4CCC-9E60-6C91FAD2AE08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140" name="Text Box 1">
          <a:extLst>
            <a:ext uri="{FF2B5EF4-FFF2-40B4-BE49-F238E27FC236}">
              <a16:creationId xmlns:a16="http://schemas.microsoft.com/office/drawing/2014/main" id="{2DB747BC-AEE4-49FC-B303-1B97FF665234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141" name="Text Box 1">
          <a:extLst>
            <a:ext uri="{FF2B5EF4-FFF2-40B4-BE49-F238E27FC236}">
              <a16:creationId xmlns:a16="http://schemas.microsoft.com/office/drawing/2014/main" id="{028FAF78-907A-42FB-9096-4EDC1EFA5E7A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142" name="Text Box 1">
          <a:extLst>
            <a:ext uri="{FF2B5EF4-FFF2-40B4-BE49-F238E27FC236}">
              <a16:creationId xmlns:a16="http://schemas.microsoft.com/office/drawing/2014/main" id="{11179302-248F-48E4-AB67-C922A7A9950A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143" name="Text Box 1">
          <a:extLst>
            <a:ext uri="{FF2B5EF4-FFF2-40B4-BE49-F238E27FC236}">
              <a16:creationId xmlns:a16="http://schemas.microsoft.com/office/drawing/2014/main" id="{6772A583-C86B-454F-9913-59F59C6185FB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144" name="Text Box 1">
          <a:extLst>
            <a:ext uri="{FF2B5EF4-FFF2-40B4-BE49-F238E27FC236}">
              <a16:creationId xmlns:a16="http://schemas.microsoft.com/office/drawing/2014/main" id="{53F3E742-08F9-4073-9D0E-DFADDB668E47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145" name="Text Box 1">
          <a:extLst>
            <a:ext uri="{FF2B5EF4-FFF2-40B4-BE49-F238E27FC236}">
              <a16:creationId xmlns:a16="http://schemas.microsoft.com/office/drawing/2014/main" id="{8E5CB892-1ADF-4D4A-8DA0-118BBB6C6FC7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146" name="Text Box 1">
          <a:extLst>
            <a:ext uri="{FF2B5EF4-FFF2-40B4-BE49-F238E27FC236}">
              <a16:creationId xmlns:a16="http://schemas.microsoft.com/office/drawing/2014/main" id="{DD8EDFBC-EDBE-4D45-B852-677D323BB5FA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147" name="Text Box 1">
          <a:extLst>
            <a:ext uri="{FF2B5EF4-FFF2-40B4-BE49-F238E27FC236}">
              <a16:creationId xmlns:a16="http://schemas.microsoft.com/office/drawing/2014/main" id="{EFC802E6-FC04-414E-87AD-796CC80385E9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148" name="Text Box 1">
          <a:extLst>
            <a:ext uri="{FF2B5EF4-FFF2-40B4-BE49-F238E27FC236}">
              <a16:creationId xmlns:a16="http://schemas.microsoft.com/office/drawing/2014/main" id="{1F624BD5-614B-485C-8F2D-FB8283352125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47</xdr:row>
      <xdr:rowOff>0</xdr:rowOff>
    </xdr:from>
    <xdr:ext cx="247650" cy="85725"/>
    <xdr:sp macro="" textlink="">
      <xdr:nvSpPr>
        <xdr:cNvPr id="10149" name="Text Box 1">
          <a:extLst>
            <a:ext uri="{FF2B5EF4-FFF2-40B4-BE49-F238E27FC236}">
              <a16:creationId xmlns:a16="http://schemas.microsoft.com/office/drawing/2014/main" id="{59986B17-0BE4-4DD8-B565-DBBDBB6887C9}"/>
            </a:ext>
          </a:extLst>
        </xdr:cNvPr>
        <xdr:cNvSpPr txBox="1">
          <a:spLocks noChangeArrowheads="1"/>
        </xdr:cNvSpPr>
      </xdr:nvSpPr>
      <xdr:spPr bwMode="auto">
        <a:xfrm>
          <a:off x="258762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10150" name="Text Box 1">
          <a:extLst>
            <a:ext uri="{FF2B5EF4-FFF2-40B4-BE49-F238E27FC236}">
              <a16:creationId xmlns:a16="http://schemas.microsoft.com/office/drawing/2014/main" id="{1AB37905-B151-4990-9B79-8015D25321FC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10151" name="Text Box 1">
          <a:extLst>
            <a:ext uri="{FF2B5EF4-FFF2-40B4-BE49-F238E27FC236}">
              <a16:creationId xmlns:a16="http://schemas.microsoft.com/office/drawing/2014/main" id="{EC043A26-683D-4ADB-8B28-9D684909ADC8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10152" name="Text Box 1">
          <a:extLst>
            <a:ext uri="{FF2B5EF4-FFF2-40B4-BE49-F238E27FC236}">
              <a16:creationId xmlns:a16="http://schemas.microsoft.com/office/drawing/2014/main" id="{CE9C23B3-F98A-4C1D-B4D8-81793280A97F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10153" name="Text Box 1">
          <a:extLst>
            <a:ext uri="{FF2B5EF4-FFF2-40B4-BE49-F238E27FC236}">
              <a16:creationId xmlns:a16="http://schemas.microsoft.com/office/drawing/2014/main" id="{CDBA5F35-E9DD-4C1D-91ED-A7CF3B2E71A9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10154" name="Text Box 1">
          <a:extLst>
            <a:ext uri="{FF2B5EF4-FFF2-40B4-BE49-F238E27FC236}">
              <a16:creationId xmlns:a16="http://schemas.microsoft.com/office/drawing/2014/main" id="{F26B65F3-F752-42D7-BDB8-BD8193C1378E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10155" name="Text Box 1">
          <a:extLst>
            <a:ext uri="{FF2B5EF4-FFF2-40B4-BE49-F238E27FC236}">
              <a16:creationId xmlns:a16="http://schemas.microsoft.com/office/drawing/2014/main" id="{079C2217-0F6B-4F9D-9848-ECB89BC05BA3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10156" name="Text Box 1">
          <a:extLst>
            <a:ext uri="{FF2B5EF4-FFF2-40B4-BE49-F238E27FC236}">
              <a16:creationId xmlns:a16="http://schemas.microsoft.com/office/drawing/2014/main" id="{9CA0A191-11CA-4357-89D7-ED3BC6C82A10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10157" name="Text Box 1">
          <a:extLst>
            <a:ext uri="{FF2B5EF4-FFF2-40B4-BE49-F238E27FC236}">
              <a16:creationId xmlns:a16="http://schemas.microsoft.com/office/drawing/2014/main" id="{B6807B5E-BA8F-4B91-A9CB-CAC69855982D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10158" name="Text Box 1">
          <a:extLst>
            <a:ext uri="{FF2B5EF4-FFF2-40B4-BE49-F238E27FC236}">
              <a16:creationId xmlns:a16="http://schemas.microsoft.com/office/drawing/2014/main" id="{95E63F86-A2F4-40C5-876F-CF3B826A2D68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10159" name="Text Box 1">
          <a:extLst>
            <a:ext uri="{FF2B5EF4-FFF2-40B4-BE49-F238E27FC236}">
              <a16:creationId xmlns:a16="http://schemas.microsoft.com/office/drawing/2014/main" id="{256A97DF-476F-441C-B850-8A961E18D5C0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10160" name="Text Box 1">
          <a:extLst>
            <a:ext uri="{FF2B5EF4-FFF2-40B4-BE49-F238E27FC236}">
              <a16:creationId xmlns:a16="http://schemas.microsoft.com/office/drawing/2014/main" id="{8AED09A0-5035-4FC2-8F6A-03447C72D132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10161" name="Text Box 1">
          <a:extLst>
            <a:ext uri="{FF2B5EF4-FFF2-40B4-BE49-F238E27FC236}">
              <a16:creationId xmlns:a16="http://schemas.microsoft.com/office/drawing/2014/main" id="{79D3111C-F6AE-443C-9323-7334DD3DAACC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10162" name="Text Box 1">
          <a:extLst>
            <a:ext uri="{FF2B5EF4-FFF2-40B4-BE49-F238E27FC236}">
              <a16:creationId xmlns:a16="http://schemas.microsoft.com/office/drawing/2014/main" id="{8F399283-6943-429D-B29A-3C4D360E6E19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10163" name="Text Box 1">
          <a:extLst>
            <a:ext uri="{FF2B5EF4-FFF2-40B4-BE49-F238E27FC236}">
              <a16:creationId xmlns:a16="http://schemas.microsoft.com/office/drawing/2014/main" id="{033A223A-E2B6-468D-ACC8-3511F87C4E39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10164" name="Text Box 1">
          <a:extLst>
            <a:ext uri="{FF2B5EF4-FFF2-40B4-BE49-F238E27FC236}">
              <a16:creationId xmlns:a16="http://schemas.microsoft.com/office/drawing/2014/main" id="{529BEB51-5FEF-4A33-AB88-C87BC1226EB1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10165" name="Text Box 1">
          <a:extLst>
            <a:ext uri="{FF2B5EF4-FFF2-40B4-BE49-F238E27FC236}">
              <a16:creationId xmlns:a16="http://schemas.microsoft.com/office/drawing/2014/main" id="{C919A481-23CD-4DE8-9689-70A054035118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10166" name="Text Box 1">
          <a:extLst>
            <a:ext uri="{FF2B5EF4-FFF2-40B4-BE49-F238E27FC236}">
              <a16:creationId xmlns:a16="http://schemas.microsoft.com/office/drawing/2014/main" id="{70F7817B-7FE5-4E4A-9FE8-D6D21D772D6B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10167" name="Text Box 1">
          <a:extLst>
            <a:ext uri="{FF2B5EF4-FFF2-40B4-BE49-F238E27FC236}">
              <a16:creationId xmlns:a16="http://schemas.microsoft.com/office/drawing/2014/main" id="{CCD7EC8D-363F-4430-A922-0CB5C63E82C6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10168" name="Text Box 1">
          <a:extLst>
            <a:ext uri="{FF2B5EF4-FFF2-40B4-BE49-F238E27FC236}">
              <a16:creationId xmlns:a16="http://schemas.microsoft.com/office/drawing/2014/main" id="{B3CC974D-9604-4892-AA45-39BA4B864811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10169" name="Text Box 1">
          <a:extLst>
            <a:ext uri="{FF2B5EF4-FFF2-40B4-BE49-F238E27FC236}">
              <a16:creationId xmlns:a16="http://schemas.microsoft.com/office/drawing/2014/main" id="{6DDEC09B-AB2E-4B14-BE70-38F5E1C5053E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10170" name="Text Box 1">
          <a:extLst>
            <a:ext uri="{FF2B5EF4-FFF2-40B4-BE49-F238E27FC236}">
              <a16:creationId xmlns:a16="http://schemas.microsoft.com/office/drawing/2014/main" id="{31435118-C61C-482E-8734-43AB6BF31165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10171" name="Text Box 1">
          <a:extLst>
            <a:ext uri="{FF2B5EF4-FFF2-40B4-BE49-F238E27FC236}">
              <a16:creationId xmlns:a16="http://schemas.microsoft.com/office/drawing/2014/main" id="{FF53CDC9-9E79-489C-872D-0D76B8D7F8FC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10172" name="Text Box 1">
          <a:extLst>
            <a:ext uri="{FF2B5EF4-FFF2-40B4-BE49-F238E27FC236}">
              <a16:creationId xmlns:a16="http://schemas.microsoft.com/office/drawing/2014/main" id="{FD033C14-6A06-425D-89CC-EF277F739ED7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10173" name="Text Box 1">
          <a:extLst>
            <a:ext uri="{FF2B5EF4-FFF2-40B4-BE49-F238E27FC236}">
              <a16:creationId xmlns:a16="http://schemas.microsoft.com/office/drawing/2014/main" id="{FA4D8A52-771C-4769-8B07-E6CE3D8376E6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10174" name="Text Box 1">
          <a:extLst>
            <a:ext uri="{FF2B5EF4-FFF2-40B4-BE49-F238E27FC236}">
              <a16:creationId xmlns:a16="http://schemas.microsoft.com/office/drawing/2014/main" id="{634FB570-51CB-44F5-8BD2-B6122F458DEB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10175" name="Text Box 1">
          <a:extLst>
            <a:ext uri="{FF2B5EF4-FFF2-40B4-BE49-F238E27FC236}">
              <a16:creationId xmlns:a16="http://schemas.microsoft.com/office/drawing/2014/main" id="{A38FE62B-9271-4E04-AE92-335552688030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10176" name="Text Box 1">
          <a:extLst>
            <a:ext uri="{FF2B5EF4-FFF2-40B4-BE49-F238E27FC236}">
              <a16:creationId xmlns:a16="http://schemas.microsoft.com/office/drawing/2014/main" id="{83518372-93BA-42B0-9954-DFE521419A07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10177" name="Text Box 1">
          <a:extLst>
            <a:ext uri="{FF2B5EF4-FFF2-40B4-BE49-F238E27FC236}">
              <a16:creationId xmlns:a16="http://schemas.microsoft.com/office/drawing/2014/main" id="{9157CEA8-5993-468F-B5D2-13CC1931EE3B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10178" name="Text Box 1">
          <a:extLst>
            <a:ext uri="{FF2B5EF4-FFF2-40B4-BE49-F238E27FC236}">
              <a16:creationId xmlns:a16="http://schemas.microsoft.com/office/drawing/2014/main" id="{B2032A96-0958-4AFA-BE8F-ABD1B7D09DE8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10179" name="Text Box 1">
          <a:extLst>
            <a:ext uri="{FF2B5EF4-FFF2-40B4-BE49-F238E27FC236}">
              <a16:creationId xmlns:a16="http://schemas.microsoft.com/office/drawing/2014/main" id="{F3624FAC-CAB4-46DC-B16A-7117F275780A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0</xdr:rowOff>
    </xdr:from>
    <xdr:ext cx="247650" cy="85725"/>
    <xdr:sp macro="" textlink="">
      <xdr:nvSpPr>
        <xdr:cNvPr id="10180" name="Text Box 1">
          <a:extLst>
            <a:ext uri="{FF2B5EF4-FFF2-40B4-BE49-F238E27FC236}">
              <a16:creationId xmlns:a16="http://schemas.microsoft.com/office/drawing/2014/main" id="{A74867F7-6344-42F1-85D4-E3DC3EEBFC86}"/>
            </a:ext>
          </a:extLst>
        </xdr:cNvPr>
        <xdr:cNvSpPr txBox="1">
          <a:spLocks noChangeArrowheads="1"/>
        </xdr:cNvSpPr>
      </xdr:nvSpPr>
      <xdr:spPr bwMode="auto">
        <a:xfrm>
          <a:off x="2964815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47</xdr:row>
      <xdr:rowOff>135256</xdr:rowOff>
    </xdr:from>
    <xdr:ext cx="247650" cy="45719"/>
    <xdr:sp macro="" textlink="">
      <xdr:nvSpPr>
        <xdr:cNvPr id="10181" name="Text Box 1">
          <a:extLst>
            <a:ext uri="{FF2B5EF4-FFF2-40B4-BE49-F238E27FC236}">
              <a16:creationId xmlns:a16="http://schemas.microsoft.com/office/drawing/2014/main" id="{E4E266E9-C217-4613-8A93-6034D1242F80}"/>
            </a:ext>
          </a:extLst>
        </xdr:cNvPr>
        <xdr:cNvSpPr txBox="1">
          <a:spLocks noChangeArrowheads="1"/>
        </xdr:cNvSpPr>
      </xdr:nvSpPr>
      <xdr:spPr bwMode="auto">
        <a:xfrm>
          <a:off x="29648150" y="1348106"/>
          <a:ext cx="247650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44</xdr:col>
      <xdr:colOff>565150</xdr:colOff>
      <xdr:row>48</xdr:row>
      <xdr:rowOff>0</xdr:rowOff>
    </xdr:from>
    <xdr:ext cx="247650" cy="85725"/>
    <xdr:sp macro="" textlink="">
      <xdr:nvSpPr>
        <xdr:cNvPr id="10182" name="Text Box 1">
          <a:extLst>
            <a:ext uri="{FF2B5EF4-FFF2-40B4-BE49-F238E27FC236}">
              <a16:creationId xmlns:a16="http://schemas.microsoft.com/office/drawing/2014/main" id="{8896E132-7C36-46C9-89E9-C172A775D139}"/>
            </a:ext>
          </a:extLst>
        </xdr:cNvPr>
        <xdr:cNvSpPr txBox="1">
          <a:spLocks noChangeArrowheads="1"/>
        </xdr:cNvSpPr>
      </xdr:nvSpPr>
      <xdr:spPr bwMode="auto">
        <a:xfrm>
          <a:off x="29559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183" name="Text Box 1">
          <a:extLst>
            <a:ext uri="{FF2B5EF4-FFF2-40B4-BE49-F238E27FC236}">
              <a16:creationId xmlns:a16="http://schemas.microsoft.com/office/drawing/2014/main" id="{03A5F31B-CBEA-493A-82C7-E2A4B63B650C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184" name="Text Box 1">
          <a:extLst>
            <a:ext uri="{FF2B5EF4-FFF2-40B4-BE49-F238E27FC236}">
              <a16:creationId xmlns:a16="http://schemas.microsoft.com/office/drawing/2014/main" id="{B62C0995-FAD8-45E9-9795-8DA82F2D06C8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185" name="Text Box 1">
          <a:extLst>
            <a:ext uri="{FF2B5EF4-FFF2-40B4-BE49-F238E27FC236}">
              <a16:creationId xmlns:a16="http://schemas.microsoft.com/office/drawing/2014/main" id="{54305CDC-5BCA-40B1-AE9C-B8FF7DC5D886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186" name="Text Box 1">
          <a:extLst>
            <a:ext uri="{FF2B5EF4-FFF2-40B4-BE49-F238E27FC236}">
              <a16:creationId xmlns:a16="http://schemas.microsoft.com/office/drawing/2014/main" id="{31025C10-D27F-44B0-8809-440537F0740A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187" name="Text Box 1">
          <a:extLst>
            <a:ext uri="{FF2B5EF4-FFF2-40B4-BE49-F238E27FC236}">
              <a16:creationId xmlns:a16="http://schemas.microsoft.com/office/drawing/2014/main" id="{AD6A9ADD-DAC6-4E47-981E-97DD25560858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188" name="Text Box 1">
          <a:extLst>
            <a:ext uri="{FF2B5EF4-FFF2-40B4-BE49-F238E27FC236}">
              <a16:creationId xmlns:a16="http://schemas.microsoft.com/office/drawing/2014/main" id="{8FA240CC-45EF-48DD-8DA7-92AD9BA38C9E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189" name="Text Box 1">
          <a:extLst>
            <a:ext uri="{FF2B5EF4-FFF2-40B4-BE49-F238E27FC236}">
              <a16:creationId xmlns:a16="http://schemas.microsoft.com/office/drawing/2014/main" id="{DA3EF3FB-B375-42ED-93AB-19ED4C2617C0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190" name="Text Box 1">
          <a:extLst>
            <a:ext uri="{FF2B5EF4-FFF2-40B4-BE49-F238E27FC236}">
              <a16:creationId xmlns:a16="http://schemas.microsoft.com/office/drawing/2014/main" id="{5D7E2F52-A24E-4D70-B266-7CF62622E74D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191" name="Text Box 1">
          <a:extLst>
            <a:ext uri="{FF2B5EF4-FFF2-40B4-BE49-F238E27FC236}">
              <a16:creationId xmlns:a16="http://schemas.microsoft.com/office/drawing/2014/main" id="{68C52002-C88D-4E1D-A48A-D039324340DF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192" name="Text Box 1">
          <a:extLst>
            <a:ext uri="{FF2B5EF4-FFF2-40B4-BE49-F238E27FC236}">
              <a16:creationId xmlns:a16="http://schemas.microsoft.com/office/drawing/2014/main" id="{CC60E209-D854-4593-86A1-7ED1917728CA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193" name="Text Box 1">
          <a:extLst>
            <a:ext uri="{FF2B5EF4-FFF2-40B4-BE49-F238E27FC236}">
              <a16:creationId xmlns:a16="http://schemas.microsoft.com/office/drawing/2014/main" id="{123937DD-0772-4AF2-BCCE-23C542165F72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194" name="Text Box 1">
          <a:extLst>
            <a:ext uri="{FF2B5EF4-FFF2-40B4-BE49-F238E27FC236}">
              <a16:creationId xmlns:a16="http://schemas.microsoft.com/office/drawing/2014/main" id="{68EB68DC-89F4-4CFE-B825-29CBDF9511A2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195" name="Text Box 1">
          <a:extLst>
            <a:ext uri="{FF2B5EF4-FFF2-40B4-BE49-F238E27FC236}">
              <a16:creationId xmlns:a16="http://schemas.microsoft.com/office/drawing/2014/main" id="{B59D0A07-335B-4A41-BC23-DAB4B0C29AE7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196" name="Text Box 1">
          <a:extLst>
            <a:ext uri="{FF2B5EF4-FFF2-40B4-BE49-F238E27FC236}">
              <a16:creationId xmlns:a16="http://schemas.microsoft.com/office/drawing/2014/main" id="{CDA45C25-3C9B-4B35-9382-9F0F068CF08F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197" name="Text Box 1">
          <a:extLst>
            <a:ext uri="{FF2B5EF4-FFF2-40B4-BE49-F238E27FC236}">
              <a16:creationId xmlns:a16="http://schemas.microsoft.com/office/drawing/2014/main" id="{052DD405-2088-4126-B344-E282790D9858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198" name="Text Box 1">
          <a:extLst>
            <a:ext uri="{FF2B5EF4-FFF2-40B4-BE49-F238E27FC236}">
              <a16:creationId xmlns:a16="http://schemas.microsoft.com/office/drawing/2014/main" id="{4C0FDECD-5C41-4459-AAE2-EBE49B9CA845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199" name="Text Box 1">
          <a:extLst>
            <a:ext uri="{FF2B5EF4-FFF2-40B4-BE49-F238E27FC236}">
              <a16:creationId xmlns:a16="http://schemas.microsoft.com/office/drawing/2014/main" id="{1CD69B23-33EC-4D94-8369-83BBA0B5A917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200" name="Text Box 1">
          <a:extLst>
            <a:ext uri="{FF2B5EF4-FFF2-40B4-BE49-F238E27FC236}">
              <a16:creationId xmlns:a16="http://schemas.microsoft.com/office/drawing/2014/main" id="{2AAF0BB0-7442-44F0-9640-504BFC850AEB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201" name="Text Box 1">
          <a:extLst>
            <a:ext uri="{FF2B5EF4-FFF2-40B4-BE49-F238E27FC236}">
              <a16:creationId xmlns:a16="http://schemas.microsoft.com/office/drawing/2014/main" id="{A92FF0FA-C0A3-4C7B-AA54-7517DD40C172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202" name="Text Box 1">
          <a:extLst>
            <a:ext uri="{FF2B5EF4-FFF2-40B4-BE49-F238E27FC236}">
              <a16:creationId xmlns:a16="http://schemas.microsoft.com/office/drawing/2014/main" id="{FC3D5D86-539D-4BFF-AAA2-E30733A1BF4E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203" name="Text Box 1">
          <a:extLst>
            <a:ext uri="{FF2B5EF4-FFF2-40B4-BE49-F238E27FC236}">
              <a16:creationId xmlns:a16="http://schemas.microsoft.com/office/drawing/2014/main" id="{ABF1CC22-1201-4032-AC5C-8DA7B5677D41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204" name="Text Box 1">
          <a:extLst>
            <a:ext uri="{FF2B5EF4-FFF2-40B4-BE49-F238E27FC236}">
              <a16:creationId xmlns:a16="http://schemas.microsoft.com/office/drawing/2014/main" id="{C77447F4-AAC7-43BD-BCBF-73F168760CC0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205" name="Text Box 1">
          <a:extLst>
            <a:ext uri="{FF2B5EF4-FFF2-40B4-BE49-F238E27FC236}">
              <a16:creationId xmlns:a16="http://schemas.microsoft.com/office/drawing/2014/main" id="{004CAF5B-1BBE-4C99-9720-0788A0B8F0D3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206" name="Text Box 1">
          <a:extLst>
            <a:ext uri="{FF2B5EF4-FFF2-40B4-BE49-F238E27FC236}">
              <a16:creationId xmlns:a16="http://schemas.microsoft.com/office/drawing/2014/main" id="{08DAB37C-5789-427B-B601-F0986EB8768C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207" name="Text Box 1">
          <a:extLst>
            <a:ext uri="{FF2B5EF4-FFF2-40B4-BE49-F238E27FC236}">
              <a16:creationId xmlns:a16="http://schemas.microsoft.com/office/drawing/2014/main" id="{EFE8D4DE-DE62-4D5A-91E1-1DE95CC84C3A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208" name="Text Box 1">
          <a:extLst>
            <a:ext uri="{FF2B5EF4-FFF2-40B4-BE49-F238E27FC236}">
              <a16:creationId xmlns:a16="http://schemas.microsoft.com/office/drawing/2014/main" id="{1EA0E053-3F19-4DE0-8182-78277C0B349F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209" name="Text Box 1">
          <a:extLst>
            <a:ext uri="{FF2B5EF4-FFF2-40B4-BE49-F238E27FC236}">
              <a16:creationId xmlns:a16="http://schemas.microsoft.com/office/drawing/2014/main" id="{84E1DA92-209F-4D24-888D-90F17E072DBD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210" name="Text Box 1">
          <a:extLst>
            <a:ext uri="{FF2B5EF4-FFF2-40B4-BE49-F238E27FC236}">
              <a16:creationId xmlns:a16="http://schemas.microsoft.com/office/drawing/2014/main" id="{FE2F3465-45E8-4246-A057-F711F57584F0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211" name="Text Box 1">
          <a:extLst>
            <a:ext uri="{FF2B5EF4-FFF2-40B4-BE49-F238E27FC236}">
              <a16:creationId xmlns:a16="http://schemas.microsoft.com/office/drawing/2014/main" id="{F15842C4-E648-45F0-A81B-648850C512DF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212" name="Text Box 1">
          <a:extLst>
            <a:ext uri="{FF2B5EF4-FFF2-40B4-BE49-F238E27FC236}">
              <a16:creationId xmlns:a16="http://schemas.microsoft.com/office/drawing/2014/main" id="{BD064A29-9263-4743-9393-0127FA30BE1A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213" name="Text Box 1">
          <a:extLst>
            <a:ext uri="{FF2B5EF4-FFF2-40B4-BE49-F238E27FC236}">
              <a16:creationId xmlns:a16="http://schemas.microsoft.com/office/drawing/2014/main" id="{F18B20B6-75FC-4E37-BEAB-949D28396C34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214" name="Text Box 1">
          <a:extLst>
            <a:ext uri="{FF2B5EF4-FFF2-40B4-BE49-F238E27FC236}">
              <a16:creationId xmlns:a16="http://schemas.microsoft.com/office/drawing/2014/main" id="{12C50F3D-E807-4E2D-819B-71E65064CF50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215" name="Text Box 1">
          <a:extLst>
            <a:ext uri="{FF2B5EF4-FFF2-40B4-BE49-F238E27FC236}">
              <a16:creationId xmlns:a16="http://schemas.microsoft.com/office/drawing/2014/main" id="{8BBAED06-E30A-4893-933C-680CF5E21E02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216" name="Text Box 1">
          <a:extLst>
            <a:ext uri="{FF2B5EF4-FFF2-40B4-BE49-F238E27FC236}">
              <a16:creationId xmlns:a16="http://schemas.microsoft.com/office/drawing/2014/main" id="{5444DB77-F237-4AD1-A83E-844B76CC6863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217" name="Text Box 1">
          <a:extLst>
            <a:ext uri="{FF2B5EF4-FFF2-40B4-BE49-F238E27FC236}">
              <a16:creationId xmlns:a16="http://schemas.microsoft.com/office/drawing/2014/main" id="{387DF65B-480F-4E04-A9E7-57A3D5834733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218" name="Text Box 1">
          <a:extLst>
            <a:ext uri="{FF2B5EF4-FFF2-40B4-BE49-F238E27FC236}">
              <a16:creationId xmlns:a16="http://schemas.microsoft.com/office/drawing/2014/main" id="{EC9217FC-33B1-4894-BD91-24F8C815ACD7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219" name="Text Box 1">
          <a:extLst>
            <a:ext uri="{FF2B5EF4-FFF2-40B4-BE49-F238E27FC236}">
              <a16:creationId xmlns:a16="http://schemas.microsoft.com/office/drawing/2014/main" id="{0F99790B-F1F1-4168-8D9B-140F608E849F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220" name="Text Box 1">
          <a:extLst>
            <a:ext uri="{FF2B5EF4-FFF2-40B4-BE49-F238E27FC236}">
              <a16:creationId xmlns:a16="http://schemas.microsoft.com/office/drawing/2014/main" id="{560DF3B5-AC48-4311-872F-A597B7A27E2B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221" name="Text Box 1">
          <a:extLst>
            <a:ext uri="{FF2B5EF4-FFF2-40B4-BE49-F238E27FC236}">
              <a16:creationId xmlns:a16="http://schemas.microsoft.com/office/drawing/2014/main" id="{FCA38853-E5D9-4DA0-BAEE-180BD5600C5C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222" name="Text Box 1">
          <a:extLst>
            <a:ext uri="{FF2B5EF4-FFF2-40B4-BE49-F238E27FC236}">
              <a16:creationId xmlns:a16="http://schemas.microsoft.com/office/drawing/2014/main" id="{4878EAB0-B160-4479-B531-CC80C4C02304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223" name="Text Box 1">
          <a:extLst>
            <a:ext uri="{FF2B5EF4-FFF2-40B4-BE49-F238E27FC236}">
              <a16:creationId xmlns:a16="http://schemas.microsoft.com/office/drawing/2014/main" id="{7E9A5B59-6C55-4A1F-BA19-72234F1F4EE7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224" name="Text Box 1">
          <a:extLst>
            <a:ext uri="{FF2B5EF4-FFF2-40B4-BE49-F238E27FC236}">
              <a16:creationId xmlns:a16="http://schemas.microsoft.com/office/drawing/2014/main" id="{FC94BD1D-BE67-4F58-A48F-3F1F1A501365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225" name="Text Box 1">
          <a:extLst>
            <a:ext uri="{FF2B5EF4-FFF2-40B4-BE49-F238E27FC236}">
              <a16:creationId xmlns:a16="http://schemas.microsoft.com/office/drawing/2014/main" id="{C60B672A-4E9F-4B19-A85D-A465990F8658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226" name="Text Box 1">
          <a:extLst>
            <a:ext uri="{FF2B5EF4-FFF2-40B4-BE49-F238E27FC236}">
              <a16:creationId xmlns:a16="http://schemas.microsoft.com/office/drawing/2014/main" id="{15044044-2756-4268-B571-4EAF328A82A6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227" name="Text Box 1">
          <a:extLst>
            <a:ext uri="{FF2B5EF4-FFF2-40B4-BE49-F238E27FC236}">
              <a16:creationId xmlns:a16="http://schemas.microsoft.com/office/drawing/2014/main" id="{A7260028-9940-4964-814B-BFC6C995777D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228" name="Text Box 1">
          <a:extLst>
            <a:ext uri="{FF2B5EF4-FFF2-40B4-BE49-F238E27FC236}">
              <a16:creationId xmlns:a16="http://schemas.microsoft.com/office/drawing/2014/main" id="{1BE07EB0-01BC-480A-8E2E-7C3BA9AF45A9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229" name="Text Box 1">
          <a:extLst>
            <a:ext uri="{FF2B5EF4-FFF2-40B4-BE49-F238E27FC236}">
              <a16:creationId xmlns:a16="http://schemas.microsoft.com/office/drawing/2014/main" id="{E510810D-1467-4C04-B0A2-6B4BC0A5A022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230" name="Text Box 1">
          <a:extLst>
            <a:ext uri="{FF2B5EF4-FFF2-40B4-BE49-F238E27FC236}">
              <a16:creationId xmlns:a16="http://schemas.microsoft.com/office/drawing/2014/main" id="{E716159C-4970-4A80-8636-B8D60480C033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231" name="Text Box 1">
          <a:extLst>
            <a:ext uri="{FF2B5EF4-FFF2-40B4-BE49-F238E27FC236}">
              <a16:creationId xmlns:a16="http://schemas.microsoft.com/office/drawing/2014/main" id="{861742C9-54AC-478C-B1C0-3630DB5D16DA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232" name="Text Box 1">
          <a:extLst>
            <a:ext uri="{FF2B5EF4-FFF2-40B4-BE49-F238E27FC236}">
              <a16:creationId xmlns:a16="http://schemas.microsoft.com/office/drawing/2014/main" id="{A3EEDC81-427A-4F22-8D6D-BDCD845EA0C5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233" name="Text Box 1">
          <a:extLst>
            <a:ext uri="{FF2B5EF4-FFF2-40B4-BE49-F238E27FC236}">
              <a16:creationId xmlns:a16="http://schemas.microsoft.com/office/drawing/2014/main" id="{E41EF7EE-D4DD-4BD2-83B0-34E7F51FCBA3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234" name="Text Box 1">
          <a:extLst>
            <a:ext uri="{FF2B5EF4-FFF2-40B4-BE49-F238E27FC236}">
              <a16:creationId xmlns:a16="http://schemas.microsoft.com/office/drawing/2014/main" id="{C48130AA-E3F6-406B-90B7-13708FB54846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235" name="Text Box 1">
          <a:extLst>
            <a:ext uri="{FF2B5EF4-FFF2-40B4-BE49-F238E27FC236}">
              <a16:creationId xmlns:a16="http://schemas.microsoft.com/office/drawing/2014/main" id="{65A0A391-E81F-4341-8C3D-CCDEB2002343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236" name="Text Box 1">
          <a:extLst>
            <a:ext uri="{FF2B5EF4-FFF2-40B4-BE49-F238E27FC236}">
              <a16:creationId xmlns:a16="http://schemas.microsoft.com/office/drawing/2014/main" id="{81722B62-B49D-49BE-8110-84646691207E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237" name="Text Box 1">
          <a:extLst>
            <a:ext uri="{FF2B5EF4-FFF2-40B4-BE49-F238E27FC236}">
              <a16:creationId xmlns:a16="http://schemas.microsoft.com/office/drawing/2014/main" id="{95104370-2EA2-43EB-A65A-F6DB463FE13A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238" name="Text Box 1">
          <a:extLst>
            <a:ext uri="{FF2B5EF4-FFF2-40B4-BE49-F238E27FC236}">
              <a16:creationId xmlns:a16="http://schemas.microsoft.com/office/drawing/2014/main" id="{C63BF581-A7E0-4B7B-BF7F-7541CC736713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239" name="Text Box 1">
          <a:extLst>
            <a:ext uri="{FF2B5EF4-FFF2-40B4-BE49-F238E27FC236}">
              <a16:creationId xmlns:a16="http://schemas.microsoft.com/office/drawing/2014/main" id="{0E53CAA8-393A-4D57-B724-41D122B31C17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240" name="Text Box 1">
          <a:extLst>
            <a:ext uri="{FF2B5EF4-FFF2-40B4-BE49-F238E27FC236}">
              <a16:creationId xmlns:a16="http://schemas.microsoft.com/office/drawing/2014/main" id="{036CC5C4-E55B-4010-A4BC-745089056994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241" name="Text Box 1">
          <a:extLst>
            <a:ext uri="{FF2B5EF4-FFF2-40B4-BE49-F238E27FC236}">
              <a16:creationId xmlns:a16="http://schemas.microsoft.com/office/drawing/2014/main" id="{D375E05A-2348-4B0B-9E28-9D165ED5E954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242" name="Text Box 1">
          <a:extLst>
            <a:ext uri="{FF2B5EF4-FFF2-40B4-BE49-F238E27FC236}">
              <a16:creationId xmlns:a16="http://schemas.microsoft.com/office/drawing/2014/main" id="{7CB8BBB2-F9CC-49D2-8466-0B1583DDC1B8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243" name="Text Box 1">
          <a:extLst>
            <a:ext uri="{FF2B5EF4-FFF2-40B4-BE49-F238E27FC236}">
              <a16:creationId xmlns:a16="http://schemas.microsoft.com/office/drawing/2014/main" id="{8949227F-1245-4811-8A8F-948282B3AC60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244" name="Text Box 1">
          <a:extLst>
            <a:ext uri="{FF2B5EF4-FFF2-40B4-BE49-F238E27FC236}">
              <a16:creationId xmlns:a16="http://schemas.microsoft.com/office/drawing/2014/main" id="{2F21D992-D0BF-4B62-8FF9-8D361BDBBC6F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245" name="Text Box 1">
          <a:extLst>
            <a:ext uri="{FF2B5EF4-FFF2-40B4-BE49-F238E27FC236}">
              <a16:creationId xmlns:a16="http://schemas.microsoft.com/office/drawing/2014/main" id="{A93C4DB1-2C2A-4A4E-B779-23C9C16C2275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246" name="Text Box 1">
          <a:extLst>
            <a:ext uri="{FF2B5EF4-FFF2-40B4-BE49-F238E27FC236}">
              <a16:creationId xmlns:a16="http://schemas.microsoft.com/office/drawing/2014/main" id="{9075E0C0-9BB6-4442-A445-C2D717740846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247" name="Text Box 1">
          <a:extLst>
            <a:ext uri="{FF2B5EF4-FFF2-40B4-BE49-F238E27FC236}">
              <a16:creationId xmlns:a16="http://schemas.microsoft.com/office/drawing/2014/main" id="{7F1BB8BC-C9B0-426A-8973-3C96B8803D42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248" name="Text Box 1">
          <a:extLst>
            <a:ext uri="{FF2B5EF4-FFF2-40B4-BE49-F238E27FC236}">
              <a16:creationId xmlns:a16="http://schemas.microsoft.com/office/drawing/2014/main" id="{019FBEC2-8937-4FB7-9574-F92C78041C04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249" name="Text Box 1">
          <a:extLst>
            <a:ext uri="{FF2B5EF4-FFF2-40B4-BE49-F238E27FC236}">
              <a16:creationId xmlns:a16="http://schemas.microsoft.com/office/drawing/2014/main" id="{73F2CB75-285F-422F-8BE3-94D5B0890074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250" name="Text Box 1">
          <a:extLst>
            <a:ext uri="{FF2B5EF4-FFF2-40B4-BE49-F238E27FC236}">
              <a16:creationId xmlns:a16="http://schemas.microsoft.com/office/drawing/2014/main" id="{C2DA8456-460D-4D90-98E4-BBA00999A6EA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251" name="Text Box 1">
          <a:extLst>
            <a:ext uri="{FF2B5EF4-FFF2-40B4-BE49-F238E27FC236}">
              <a16:creationId xmlns:a16="http://schemas.microsoft.com/office/drawing/2014/main" id="{5DCA5D86-C6BC-4E46-8677-60896C5B4E3C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252" name="Text Box 1">
          <a:extLst>
            <a:ext uri="{FF2B5EF4-FFF2-40B4-BE49-F238E27FC236}">
              <a16:creationId xmlns:a16="http://schemas.microsoft.com/office/drawing/2014/main" id="{780EEFC8-9BAD-4A56-8A32-1AF522FB3945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253" name="Text Box 1">
          <a:extLst>
            <a:ext uri="{FF2B5EF4-FFF2-40B4-BE49-F238E27FC236}">
              <a16:creationId xmlns:a16="http://schemas.microsoft.com/office/drawing/2014/main" id="{F176930C-157D-40FC-BE70-F21712D168FA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254" name="Text Box 1">
          <a:extLst>
            <a:ext uri="{FF2B5EF4-FFF2-40B4-BE49-F238E27FC236}">
              <a16:creationId xmlns:a16="http://schemas.microsoft.com/office/drawing/2014/main" id="{FB95AB53-A8AD-4CFC-B951-2FEC4F1D0809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255" name="Text Box 1">
          <a:extLst>
            <a:ext uri="{FF2B5EF4-FFF2-40B4-BE49-F238E27FC236}">
              <a16:creationId xmlns:a16="http://schemas.microsoft.com/office/drawing/2014/main" id="{022E843E-37C3-4383-AB65-F7457FD37CB5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256" name="Text Box 1">
          <a:extLst>
            <a:ext uri="{FF2B5EF4-FFF2-40B4-BE49-F238E27FC236}">
              <a16:creationId xmlns:a16="http://schemas.microsoft.com/office/drawing/2014/main" id="{886E1ED6-2E3D-4362-8602-4D69199426A0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257" name="Text Box 1">
          <a:extLst>
            <a:ext uri="{FF2B5EF4-FFF2-40B4-BE49-F238E27FC236}">
              <a16:creationId xmlns:a16="http://schemas.microsoft.com/office/drawing/2014/main" id="{EFCF563E-B2C0-4237-A1B5-FB084E4C1F3E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258" name="Text Box 1">
          <a:extLst>
            <a:ext uri="{FF2B5EF4-FFF2-40B4-BE49-F238E27FC236}">
              <a16:creationId xmlns:a16="http://schemas.microsoft.com/office/drawing/2014/main" id="{FEE9AD5B-167D-4858-9B8E-8E088208A770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259" name="Text Box 1">
          <a:extLst>
            <a:ext uri="{FF2B5EF4-FFF2-40B4-BE49-F238E27FC236}">
              <a16:creationId xmlns:a16="http://schemas.microsoft.com/office/drawing/2014/main" id="{5A284B4D-515D-4041-B8E8-56AAFFB0E9CE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260" name="Text Box 1">
          <a:extLst>
            <a:ext uri="{FF2B5EF4-FFF2-40B4-BE49-F238E27FC236}">
              <a16:creationId xmlns:a16="http://schemas.microsoft.com/office/drawing/2014/main" id="{E051F7BB-2AC9-4C8E-A017-3B674DC4C3D5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261" name="Text Box 1">
          <a:extLst>
            <a:ext uri="{FF2B5EF4-FFF2-40B4-BE49-F238E27FC236}">
              <a16:creationId xmlns:a16="http://schemas.microsoft.com/office/drawing/2014/main" id="{A5F4BED4-3009-4768-8DBD-6355A6244345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262" name="Text Box 1">
          <a:extLst>
            <a:ext uri="{FF2B5EF4-FFF2-40B4-BE49-F238E27FC236}">
              <a16:creationId xmlns:a16="http://schemas.microsoft.com/office/drawing/2014/main" id="{FEA9D6C1-536E-402E-8FD8-EED657D7468F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263" name="Text Box 1">
          <a:extLst>
            <a:ext uri="{FF2B5EF4-FFF2-40B4-BE49-F238E27FC236}">
              <a16:creationId xmlns:a16="http://schemas.microsoft.com/office/drawing/2014/main" id="{0D4E549B-D26D-41A3-AB8A-93F6E5DEED09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264" name="Text Box 1">
          <a:extLst>
            <a:ext uri="{FF2B5EF4-FFF2-40B4-BE49-F238E27FC236}">
              <a16:creationId xmlns:a16="http://schemas.microsoft.com/office/drawing/2014/main" id="{0F62E100-2033-4E18-A2E3-637048406842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265" name="Text Box 1">
          <a:extLst>
            <a:ext uri="{FF2B5EF4-FFF2-40B4-BE49-F238E27FC236}">
              <a16:creationId xmlns:a16="http://schemas.microsoft.com/office/drawing/2014/main" id="{D4A97056-E53F-45FA-A5C2-2030C1398845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266" name="Text Box 1">
          <a:extLst>
            <a:ext uri="{FF2B5EF4-FFF2-40B4-BE49-F238E27FC236}">
              <a16:creationId xmlns:a16="http://schemas.microsoft.com/office/drawing/2014/main" id="{2D209B40-C300-4E51-AB3D-D7046996FD8F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267" name="Text Box 1">
          <a:extLst>
            <a:ext uri="{FF2B5EF4-FFF2-40B4-BE49-F238E27FC236}">
              <a16:creationId xmlns:a16="http://schemas.microsoft.com/office/drawing/2014/main" id="{302A10F6-9428-4515-8415-5CEB644D6069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268" name="Text Box 1">
          <a:extLst>
            <a:ext uri="{FF2B5EF4-FFF2-40B4-BE49-F238E27FC236}">
              <a16:creationId xmlns:a16="http://schemas.microsoft.com/office/drawing/2014/main" id="{4A54B974-A3EE-45FF-9113-F861BD398ABA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269" name="Text Box 1">
          <a:extLst>
            <a:ext uri="{FF2B5EF4-FFF2-40B4-BE49-F238E27FC236}">
              <a16:creationId xmlns:a16="http://schemas.microsoft.com/office/drawing/2014/main" id="{6C62D328-7876-4AB7-8D3E-B3B007C2AB58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270" name="Text Box 1">
          <a:extLst>
            <a:ext uri="{FF2B5EF4-FFF2-40B4-BE49-F238E27FC236}">
              <a16:creationId xmlns:a16="http://schemas.microsoft.com/office/drawing/2014/main" id="{93C2B471-1140-49F6-966E-F95B2B5D9013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271" name="Text Box 1">
          <a:extLst>
            <a:ext uri="{FF2B5EF4-FFF2-40B4-BE49-F238E27FC236}">
              <a16:creationId xmlns:a16="http://schemas.microsoft.com/office/drawing/2014/main" id="{E0055A9C-B1E7-4295-A080-F706A9B51C0D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272" name="Text Box 1">
          <a:extLst>
            <a:ext uri="{FF2B5EF4-FFF2-40B4-BE49-F238E27FC236}">
              <a16:creationId xmlns:a16="http://schemas.microsoft.com/office/drawing/2014/main" id="{05B07DD0-EC1C-4727-8AE3-97F170610582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273" name="Text Box 1">
          <a:extLst>
            <a:ext uri="{FF2B5EF4-FFF2-40B4-BE49-F238E27FC236}">
              <a16:creationId xmlns:a16="http://schemas.microsoft.com/office/drawing/2014/main" id="{81384A7C-D48E-48E8-8395-2F275686B154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274" name="Text Box 1">
          <a:extLst>
            <a:ext uri="{FF2B5EF4-FFF2-40B4-BE49-F238E27FC236}">
              <a16:creationId xmlns:a16="http://schemas.microsoft.com/office/drawing/2014/main" id="{F5D11D75-D1CF-4CEF-864B-29E9BAD58780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275" name="Text Box 1">
          <a:extLst>
            <a:ext uri="{FF2B5EF4-FFF2-40B4-BE49-F238E27FC236}">
              <a16:creationId xmlns:a16="http://schemas.microsoft.com/office/drawing/2014/main" id="{BB0B2469-64A4-43F2-B94D-917C42F20123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276" name="Text Box 1">
          <a:extLst>
            <a:ext uri="{FF2B5EF4-FFF2-40B4-BE49-F238E27FC236}">
              <a16:creationId xmlns:a16="http://schemas.microsoft.com/office/drawing/2014/main" id="{42C71C61-AA89-489B-B484-78BF0365FA34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277" name="Text Box 1">
          <a:extLst>
            <a:ext uri="{FF2B5EF4-FFF2-40B4-BE49-F238E27FC236}">
              <a16:creationId xmlns:a16="http://schemas.microsoft.com/office/drawing/2014/main" id="{7AB72F4D-1B4A-44E6-91E9-FE8FDEB48370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278" name="Text Box 1">
          <a:extLst>
            <a:ext uri="{FF2B5EF4-FFF2-40B4-BE49-F238E27FC236}">
              <a16:creationId xmlns:a16="http://schemas.microsoft.com/office/drawing/2014/main" id="{BEC2CD77-99AB-4247-85BC-1CFFB2A2AE76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279" name="Text Box 1">
          <a:extLst>
            <a:ext uri="{FF2B5EF4-FFF2-40B4-BE49-F238E27FC236}">
              <a16:creationId xmlns:a16="http://schemas.microsoft.com/office/drawing/2014/main" id="{493A677D-6943-4A31-B0DF-7E8F9F0BB05D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280" name="Text Box 1">
          <a:extLst>
            <a:ext uri="{FF2B5EF4-FFF2-40B4-BE49-F238E27FC236}">
              <a16:creationId xmlns:a16="http://schemas.microsoft.com/office/drawing/2014/main" id="{57481790-BC49-4471-B2ED-4CF08D7238BC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281" name="Text Box 1">
          <a:extLst>
            <a:ext uri="{FF2B5EF4-FFF2-40B4-BE49-F238E27FC236}">
              <a16:creationId xmlns:a16="http://schemas.microsoft.com/office/drawing/2014/main" id="{D3E27236-EA9A-4748-B268-52D685C0EF28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282" name="Text Box 1">
          <a:extLst>
            <a:ext uri="{FF2B5EF4-FFF2-40B4-BE49-F238E27FC236}">
              <a16:creationId xmlns:a16="http://schemas.microsoft.com/office/drawing/2014/main" id="{D6718A47-E748-49B5-9CFA-E0F85A4E794C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283" name="Text Box 1">
          <a:extLst>
            <a:ext uri="{FF2B5EF4-FFF2-40B4-BE49-F238E27FC236}">
              <a16:creationId xmlns:a16="http://schemas.microsoft.com/office/drawing/2014/main" id="{6E2750FC-643E-4AD5-9D0E-805F608AF52C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284" name="Text Box 1">
          <a:extLst>
            <a:ext uri="{FF2B5EF4-FFF2-40B4-BE49-F238E27FC236}">
              <a16:creationId xmlns:a16="http://schemas.microsoft.com/office/drawing/2014/main" id="{2DA848CA-97AB-40F0-BA1E-B2025B96FF75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285" name="Text Box 1">
          <a:extLst>
            <a:ext uri="{FF2B5EF4-FFF2-40B4-BE49-F238E27FC236}">
              <a16:creationId xmlns:a16="http://schemas.microsoft.com/office/drawing/2014/main" id="{7C4C5C6C-1C6A-477A-A1D7-0D530E1B1A4B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286" name="Text Box 1">
          <a:extLst>
            <a:ext uri="{FF2B5EF4-FFF2-40B4-BE49-F238E27FC236}">
              <a16:creationId xmlns:a16="http://schemas.microsoft.com/office/drawing/2014/main" id="{3FE2ED0D-A06F-4F1B-92D0-7F60A252E5AD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287" name="Text Box 1">
          <a:extLst>
            <a:ext uri="{FF2B5EF4-FFF2-40B4-BE49-F238E27FC236}">
              <a16:creationId xmlns:a16="http://schemas.microsoft.com/office/drawing/2014/main" id="{D90B986B-E4A3-49D4-A1BF-566C11C18B8B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288" name="Text Box 1">
          <a:extLst>
            <a:ext uri="{FF2B5EF4-FFF2-40B4-BE49-F238E27FC236}">
              <a16:creationId xmlns:a16="http://schemas.microsoft.com/office/drawing/2014/main" id="{5790CCB0-4B34-47FC-AE70-6DA3220E5669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289" name="Text Box 1">
          <a:extLst>
            <a:ext uri="{FF2B5EF4-FFF2-40B4-BE49-F238E27FC236}">
              <a16:creationId xmlns:a16="http://schemas.microsoft.com/office/drawing/2014/main" id="{D2C538B4-49C2-44B6-A6BA-7E55B76B00C3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290" name="Text Box 1">
          <a:extLst>
            <a:ext uri="{FF2B5EF4-FFF2-40B4-BE49-F238E27FC236}">
              <a16:creationId xmlns:a16="http://schemas.microsoft.com/office/drawing/2014/main" id="{435FB65D-C323-416C-8193-8F6AFD0EEC5A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291" name="Text Box 1">
          <a:extLst>
            <a:ext uri="{FF2B5EF4-FFF2-40B4-BE49-F238E27FC236}">
              <a16:creationId xmlns:a16="http://schemas.microsoft.com/office/drawing/2014/main" id="{400D4596-77AD-4ED3-B01F-69F9220B7CDE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292" name="Text Box 1">
          <a:extLst>
            <a:ext uri="{FF2B5EF4-FFF2-40B4-BE49-F238E27FC236}">
              <a16:creationId xmlns:a16="http://schemas.microsoft.com/office/drawing/2014/main" id="{D8FD5A94-C6CD-4FD7-A611-F5801901CBDF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293" name="Text Box 1">
          <a:extLst>
            <a:ext uri="{FF2B5EF4-FFF2-40B4-BE49-F238E27FC236}">
              <a16:creationId xmlns:a16="http://schemas.microsoft.com/office/drawing/2014/main" id="{542FB4FC-06CB-4B72-94D7-174069E7459C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294" name="Text Box 1">
          <a:extLst>
            <a:ext uri="{FF2B5EF4-FFF2-40B4-BE49-F238E27FC236}">
              <a16:creationId xmlns:a16="http://schemas.microsoft.com/office/drawing/2014/main" id="{5FAA7E65-C50B-43B2-AE4C-25CF2F6A7420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295" name="Text Box 1">
          <a:extLst>
            <a:ext uri="{FF2B5EF4-FFF2-40B4-BE49-F238E27FC236}">
              <a16:creationId xmlns:a16="http://schemas.microsoft.com/office/drawing/2014/main" id="{451DAF9F-855A-4CC8-BFB1-9D8C747CFD31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296" name="Text Box 1">
          <a:extLst>
            <a:ext uri="{FF2B5EF4-FFF2-40B4-BE49-F238E27FC236}">
              <a16:creationId xmlns:a16="http://schemas.microsoft.com/office/drawing/2014/main" id="{45AF1C40-9F03-48C6-BBF7-C24E03A0601C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297" name="Text Box 1">
          <a:extLst>
            <a:ext uri="{FF2B5EF4-FFF2-40B4-BE49-F238E27FC236}">
              <a16:creationId xmlns:a16="http://schemas.microsoft.com/office/drawing/2014/main" id="{85A331A6-6E22-4B2C-8DB8-8178C2D856DB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298" name="Text Box 1">
          <a:extLst>
            <a:ext uri="{FF2B5EF4-FFF2-40B4-BE49-F238E27FC236}">
              <a16:creationId xmlns:a16="http://schemas.microsoft.com/office/drawing/2014/main" id="{B784EB0A-FF31-421D-8BFC-CB911BAADF74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299" name="Text Box 1">
          <a:extLst>
            <a:ext uri="{FF2B5EF4-FFF2-40B4-BE49-F238E27FC236}">
              <a16:creationId xmlns:a16="http://schemas.microsoft.com/office/drawing/2014/main" id="{32D4192C-4536-4044-8335-C7C0000311D2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300" name="Text Box 1">
          <a:extLst>
            <a:ext uri="{FF2B5EF4-FFF2-40B4-BE49-F238E27FC236}">
              <a16:creationId xmlns:a16="http://schemas.microsoft.com/office/drawing/2014/main" id="{24420577-61D3-48D2-9AAF-F41FE08E247A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301" name="Text Box 1">
          <a:extLst>
            <a:ext uri="{FF2B5EF4-FFF2-40B4-BE49-F238E27FC236}">
              <a16:creationId xmlns:a16="http://schemas.microsoft.com/office/drawing/2014/main" id="{FFE8A667-5BA5-4BBC-9F1B-8C7F14A6CD86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302" name="Text Box 1">
          <a:extLst>
            <a:ext uri="{FF2B5EF4-FFF2-40B4-BE49-F238E27FC236}">
              <a16:creationId xmlns:a16="http://schemas.microsoft.com/office/drawing/2014/main" id="{E17DC4FA-2F6D-437F-B8F4-67EB837A43F9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303" name="Text Box 1">
          <a:extLst>
            <a:ext uri="{FF2B5EF4-FFF2-40B4-BE49-F238E27FC236}">
              <a16:creationId xmlns:a16="http://schemas.microsoft.com/office/drawing/2014/main" id="{1665CE1E-E9F3-4E9D-9910-03865F4E7D6B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304" name="Text Box 1">
          <a:extLst>
            <a:ext uri="{FF2B5EF4-FFF2-40B4-BE49-F238E27FC236}">
              <a16:creationId xmlns:a16="http://schemas.microsoft.com/office/drawing/2014/main" id="{31A5329B-A5E6-4BA6-A416-EE6B499DC2D2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305" name="Text Box 1">
          <a:extLst>
            <a:ext uri="{FF2B5EF4-FFF2-40B4-BE49-F238E27FC236}">
              <a16:creationId xmlns:a16="http://schemas.microsoft.com/office/drawing/2014/main" id="{4F92F6ED-AC98-4460-80DF-3F2A40992D88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306" name="Text Box 1">
          <a:extLst>
            <a:ext uri="{FF2B5EF4-FFF2-40B4-BE49-F238E27FC236}">
              <a16:creationId xmlns:a16="http://schemas.microsoft.com/office/drawing/2014/main" id="{E91C09FC-19EE-4C71-8435-490038CFC477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307" name="Text Box 1">
          <a:extLst>
            <a:ext uri="{FF2B5EF4-FFF2-40B4-BE49-F238E27FC236}">
              <a16:creationId xmlns:a16="http://schemas.microsoft.com/office/drawing/2014/main" id="{9FFB4AF5-97DE-40E5-A13E-C9C9343E7AB5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308" name="Text Box 1">
          <a:extLst>
            <a:ext uri="{FF2B5EF4-FFF2-40B4-BE49-F238E27FC236}">
              <a16:creationId xmlns:a16="http://schemas.microsoft.com/office/drawing/2014/main" id="{6D4B3B87-4448-4D46-978F-274CEA655277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309" name="Text Box 1">
          <a:extLst>
            <a:ext uri="{FF2B5EF4-FFF2-40B4-BE49-F238E27FC236}">
              <a16:creationId xmlns:a16="http://schemas.microsoft.com/office/drawing/2014/main" id="{81D21825-26BE-40C1-82AB-79BF7A11E94A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310" name="Text Box 1">
          <a:extLst>
            <a:ext uri="{FF2B5EF4-FFF2-40B4-BE49-F238E27FC236}">
              <a16:creationId xmlns:a16="http://schemas.microsoft.com/office/drawing/2014/main" id="{D8FCEA36-B188-44F1-9E50-D93D07672F28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311" name="Text Box 1">
          <a:extLst>
            <a:ext uri="{FF2B5EF4-FFF2-40B4-BE49-F238E27FC236}">
              <a16:creationId xmlns:a16="http://schemas.microsoft.com/office/drawing/2014/main" id="{7D47AB44-D8AB-4BC0-9C94-A0CB975D81D4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312" name="Text Box 1">
          <a:extLst>
            <a:ext uri="{FF2B5EF4-FFF2-40B4-BE49-F238E27FC236}">
              <a16:creationId xmlns:a16="http://schemas.microsoft.com/office/drawing/2014/main" id="{263CDF43-4DB6-460C-BB57-D7EED6FFB7BB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313" name="Text Box 1">
          <a:extLst>
            <a:ext uri="{FF2B5EF4-FFF2-40B4-BE49-F238E27FC236}">
              <a16:creationId xmlns:a16="http://schemas.microsoft.com/office/drawing/2014/main" id="{97DDEF55-7822-407B-8492-BEEDA0342F37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314" name="Text Box 1">
          <a:extLst>
            <a:ext uri="{FF2B5EF4-FFF2-40B4-BE49-F238E27FC236}">
              <a16:creationId xmlns:a16="http://schemas.microsoft.com/office/drawing/2014/main" id="{B855826F-A4E5-42EA-82A5-6EA2FF6E4ED2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315" name="Text Box 1">
          <a:extLst>
            <a:ext uri="{FF2B5EF4-FFF2-40B4-BE49-F238E27FC236}">
              <a16:creationId xmlns:a16="http://schemas.microsoft.com/office/drawing/2014/main" id="{4CAE43C1-8DFF-453B-B42C-210889DF7C2A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316" name="Text Box 1">
          <a:extLst>
            <a:ext uri="{FF2B5EF4-FFF2-40B4-BE49-F238E27FC236}">
              <a16:creationId xmlns:a16="http://schemas.microsoft.com/office/drawing/2014/main" id="{EDD2FF5B-8F4A-4B62-9798-CF754D2C5AE2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317" name="Text Box 1">
          <a:extLst>
            <a:ext uri="{FF2B5EF4-FFF2-40B4-BE49-F238E27FC236}">
              <a16:creationId xmlns:a16="http://schemas.microsoft.com/office/drawing/2014/main" id="{0221D58C-0E85-41E9-8DE1-8446D3CACB62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318" name="Text Box 1">
          <a:extLst>
            <a:ext uri="{FF2B5EF4-FFF2-40B4-BE49-F238E27FC236}">
              <a16:creationId xmlns:a16="http://schemas.microsoft.com/office/drawing/2014/main" id="{D42BEBD5-F8BD-49F8-837D-7D07F707D3FD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319" name="Text Box 1">
          <a:extLst>
            <a:ext uri="{FF2B5EF4-FFF2-40B4-BE49-F238E27FC236}">
              <a16:creationId xmlns:a16="http://schemas.microsoft.com/office/drawing/2014/main" id="{787FEC08-F5D3-47E9-81F8-664CB1E89208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320" name="Text Box 1">
          <a:extLst>
            <a:ext uri="{FF2B5EF4-FFF2-40B4-BE49-F238E27FC236}">
              <a16:creationId xmlns:a16="http://schemas.microsoft.com/office/drawing/2014/main" id="{5405EADB-6854-459B-8399-860CFC8D551F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321" name="Text Box 1">
          <a:extLst>
            <a:ext uri="{FF2B5EF4-FFF2-40B4-BE49-F238E27FC236}">
              <a16:creationId xmlns:a16="http://schemas.microsoft.com/office/drawing/2014/main" id="{D7232BDF-E1FB-4DD3-9C82-C3AADB80DE07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322" name="Text Box 1">
          <a:extLst>
            <a:ext uri="{FF2B5EF4-FFF2-40B4-BE49-F238E27FC236}">
              <a16:creationId xmlns:a16="http://schemas.microsoft.com/office/drawing/2014/main" id="{1AA68CB3-8C38-4014-A00A-2FCB7C834C4D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323" name="Text Box 1">
          <a:extLst>
            <a:ext uri="{FF2B5EF4-FFF2-40B4-BE49-F238E27FC236}">
              <a16:creationId xmlns:a16="http://schemas.microsoft.com/office/drawing/2014/main" id="{F9862CEB-CE55-40C9-B291-87E7CE37CD45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324" name="Text Box 1">
          <a:extLst>
            <a:ext uri="{FF2B5EF4-FFF2-40B4-BE49-F238E27FC236}">
              <a16:creationId xmlns:a16="http://schemas.microsoft.com/office/drawing/2014/main" id="{F2BD66C9-B311-44A9-AA96-CA833AF2D8A5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325" name="Text Box 1">
          <a:extLst>
            <a:ext uri="{FF2B5EF4-FFF2-40B4-BE49-F238E27FC236}">
              <a16:creationId xmlns:a16="http://schemas.microsoft.com/office/drawing/2014/main" id="{D9AD57FB-A2D1-4252-99C3-0184B9423E8B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326" name="Text Box 1">
          <a:extLst>
            <a:ext uri="{FF2B5EF4-FFF2-40B4-BE49-F238E27FC236}">
              <a16:creationId xmlns:a16="http://schemas.microsoft.com/office/drawing/2014/main" id="{4AEB6F73-7F6A-4A4F-9810-155F7ECA2704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327" name="Text Box 1">
          <a:extLst>
            <a:ext uri="{FF2B5EF4-FFF2-40B4-BE49-F238E27FC236}">
              <a16:creationId xmlns:a16="http://schemas.microsoft.com/office/drawing/2014/main" id="{90966E94-540C-442F-90B4-D7DDDF2C672C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328" name="Text Box 1">
          <a:extLst>
            <a:ext uri="{FF2B5EF4-FFF2-40B4-BE49-F238E27FC236}">
              <a16:creationId xmlns:a16="http://schemas.microsoft.com/office/drawing/2014/main" id="{F0642182-29E0-4686-9446-5B3B30E83E85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329" name="Text Box 1">
          <a:extLst>
            <a:ext uri="{FF2B5EF4-FFF2-40B4-BE49-F238E27FC236}">
              <a16:creationId xmlns:a16="http://schemas.microsoft.com/office/drawing/2014/main" id="{D6A098B5-F78E-4B47-8089-B4AB5DFDF01B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330" name="Text Box 1">
          <a:extLst>
            <a:ext uri="{FF2B5EF4-FFF2-40B4-BE49-F238E27FC236}">
              <a16:creationId xmlns:a16="http://schemas.microsoft.com/office/drawing/2014/main" id="{DF25EEFF-CD0D-4318-8F8C-5F61A1252606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331" name="Text Box 1">
          <a:extLst>
            <a:ext uri="{FF2B5EF4-FFF2-40B4-BE49-F238E27FC236}">
              <a16:creationId xmlns:a16="http://schemas.microsoft.com/office/drawing/2014/main" id="{83E18012-0943-4C15-A6E5-184807923C39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332" name="Text Box 1">
          <a:extLst>
            <a:ext uri="{FF2B5EF4-FFF2-40B4-BE49-F238E27FC236}">
              <a16:creationId xmlns:a16="http://schemas.microsoft.com/office/drawing/2014/main" id="{D7DCEC7F-C65B-41A2-8D62-5CD42B889F67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333" name="Text Box 1">
          <a:extLst>
            <a:ext uri="{FF2B5EF4-FFF2-40B4-BE49-F238E27FC236}">
              <a16:creationId xmlns:a16="http://schemas.microsoft.com/office/drawing/2014/main" id="{4C6CE9E0-7BF4-406A-8737-4EE48C5F6A6A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334" name="Text Box 1">
          <a:extLst>
            <a:ext uri="{FF2B5EF4-FFF2-40B4-BE49-F238E27FC236}">
              <a16:creationId xmlns:a16="http://schemas.microsoft.com/office/drawing/2014/main" id="{9854DDA8-F54D-4F3C-8A88-7A2CB6F37DE2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335" name="Text Box 1">
          <a:extLst>
            <a:ext uri="{FF2B5EF4-FFF2-40B4-BE49-F238E27FC236}">
              <a16:creationId xmlns:a16="http://schemas.microsoft.com/office/drawing/2014/main" id="{5E709387-2A96-48B1-AEE7-D925C00F3BF3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336" name="Text Box 1">
          <a:extLst>
            <a:ext uri="{FF2B5EF4-FFF2-40B4-BE49-F238E27FC236}">
              <a16:creationId xmlns:a16="http://schemas.microsoft.com/office/drawing/2014/main" id="{6FFEFEAA-690C-413D-A380-0921A114875E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337" name="Text Box 1">
          <a:extLst>
            <a:ext uri="{FF2B5EF4-FFF2-40B4-BE49-F238E27FC236}">
              <a16:creationId xmlns:a16="http://schemas.microsoft.com/office/drawing/2014/main" id="{CCA5FA6F-57E1-43BC-87E6-642138C94396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338" name="Text Box 1">
          <a:extLst>
            <a:ext uri="{FF2B5EF4-FFF2-40B4-BE49-F238E27FC236}">
              <a16:creationId xmlns:a16="http://schemas.microsoft.com/office/drawing/2014/main" id="{98AFA932-91CC-4CC0-807D-EB411FB706E7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339" name="Text Box 1">
          <a:extLst>
            <a:ext uri="{FF2B5EF4-FFF2-40B4-BE49-F238E27FC236}">
              <a16:creationId xmlns:a16="http://schemas.microsoft.com/office/drawing/2014/main" id="{03D04F1F-B4F9-4B3A-907E-263356EFC5E8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340" name="Text Box 1">
          <a:extLst>
            <a:ext uri="{FF2B5EF4-FFF2-40B4-BE49-F238E27FC236}">
              <a16:creationId xmlns:a16="http://schemas.microsoft.com/office/drawing/2014/main" id="{77597E42-F3E5-4F1F-B4FF-A7CE5BBC2799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341" name="Text Box 1">
          <a:extLst>
            <a:ext uri="{FF2B5EF4-FFF2-40B4-BE49-F238E27FC236}">
              <a16:creationId xmlns:a16="http://schemas.microsoft.com/office/drawing/2014/main" id="{792B6AC6-5B97-4DE3-A80B-DA7198FC747D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342" name="Text Box 1">
          <a:extLst>
            <a:ext uri="{FF2B5EF4-FFF2-40B4-BE49-F238E27FC236}">
              <a16:creationId xmlns:a16="http://schemas.microsoft.com/office/drawing/2014/main" id="{0BAE798D-4753-4C47-8648-5DD891A8FE43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343" name="Text Box 1">
          <a:extLst>
            <a:ext uri="{FF2B5EF4-FFF2-40B4-BE49-F238E27FC236}">
              <a16:creationId xmlns:a16="http://schemas.microsoft.com/office/drawing/2014/main" id="{465F505C-0560-4A6E-A420-89BDC3627C3E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344" name="Text Box 1">
          <a:extLst>
            <a:ext uri="{FF2B5EF4-FFF2-40B4-BE49-F238E27FC236}">
              <a16:creationId xmlns:a16="http://schemas.microsoft.com/office/drawing/2014/main" id="{F6F5F17A-41BA-4FA3-A5D6-F9C962EFD01B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345" name="Text Box 1">
          <a:extLst>
            <a:ext uri="{FF2B5EF4-FFF2-40B4-BE49-F238E27FC236}">
              <a16:creationId xmlns:a16="http://schemas.microsoft.com/office/drawing/2014/main" id="{9CA4397C-3C24-426D-9770-615E0454E953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346" name="Text Box 1">
          <a:extLst>
            <a:ext uri="{FF2B5EF4-FFF2-40B4-BE49-F238E27FC236}">
              <a16:creationId xmlns:a16="http://schemas.microsoft.com/office/drawing/2014/main" id="{23C7EB8B-0C6C-4A64-840F-756F3FF7A62A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347" name="Text Box 1">
          <a:extLst>
            <a:ext uri="{FF2B5EF4-FFF2-40B4-BE49-F238E27FC236}">
              <a16:creationId xmlns:a16="http://schemas.microsoft.com/office/drawing/2014/main" id="{E448688D-853D-456B-BC96-93B7F50F58A0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348" name="Text Box 1">
          <a:extLst>
            <a:ext uri="{FF2B5EF4-FFF2-40B4-BE49-F238E27FC236}">
              <a16:creationId xmlns:a16="http://schemas.microsoft.com/office/drawing/2014/main" id="{3E3C6517-4DDF-4A27-BBD8-6C7D3033BD0D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349" name="Text Box 1">
          <a:extLst>
            <a:ext uri="{FF2B5EF4-FFF2-40B4-BE49-F238E27FC236}">
              <a16:creationId xmlns:a16="http://schemas.microsoft.com/office/drawing/2014/main" id="{9DFE7ADB-1119-4ADE-9FD1-AF82AB914BDB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350" name="Text Box 1">
          <a:extLst>
            <a:ext uri="{FF2B5EF4-FFF2-40B4-BE49-F238E27FC236}">
              <a16:creationId xmlns:a16="http://schemas.microsoft.com/office/drawing/2014/main" id="{AFE2A637-B7B6-47C1-B573-60FD8F6DCB9C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351" name="Text Box 1">
          <a:extLst>
            <a:ext uri="{FF2B5EF4-FFF2-40B4-BE49-F238E27FC236}">
              <a16:creationId xmlns:a16="http://schemas.microsoft.com/office/drawing/2014/main" id="{0A1E6806-1A98-4262-B514-718859FB561A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352" name="Text Box 1">
          <a:extLst>
            <a:ext uri="{FF2B5EF4-FFF2-40B4-BE49-F238E27FC236}">
              <a16:creationId xmlns:a16="http://schemas.microsoft.com/office/drawing/2014/main" id="{18C36662-43C6-4A81-81CB-DEEE135C712C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353" name="Text Box 1">
          <a:extLst>
            <a:ext uri="{FF2B5EF4-FFF2-40B4-BE49-F238E27FC236}">
              <a16:creationId xmlns:a16="http://schemas.microsoft.com/office/drawing/2014/main" id="{D938DEC8-BE08-4673-84CD-CE9700D83EC4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354" name="Text Box 1">
          <a:extLst>
            <a:ext uri="{FF2B5EF4-FFF2-40B4-BE49-F238E27FC236}">
              <a16:creationId xmlns:a16="http://schemas.microsoft.com/office/drawing/2014/main" id="{4752E1E7-8C18-4E91-AE56-B5AA64F5547D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355" name="Text Box 1">
          <a:extLst>
            <a:ext uri="{FF2B5EF4-FFF2-40B4-BE49-F238E27FC236}">
              <a16:creationId xmlns:a16="http://schemas.microsoft.com/office/drawing/2014/main" id="{2E31DC08-B8C4-40E1-8B24-EA70AFA3BD01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356" name="Text Box 1">
          <a:extLst>
            <a:ext uri="{FF2B5EF4-FFF2-40B4-BE49-F238E27FC236}">
              <a16:creationId xmlns:a16="http://schemas.microsoft.com/office/drawing/2014/main" id="{6642EE33-2A88-4075-B425-8E6DE9811124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357" name="Text Box 1">
          <a:extLst>
            <a:ext uri="{FF2B5EF4-FFF2-40B4-BE49-F238E27FC236}">
              <a16:creationId xmlns:a16="http://schemas.microsoft.com/office/drawing/2014/main" id="{A7D67C60-5455-4F58-872A-0EDFF1ED2E77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358" name="Text Box 1">
          <a:extLst>
            <a:ext uri="{FF2B5EF4-FFF2-40B4-BE49-F238E27FC236}">
              <a16:creationId xmlns:a16="http://schemas.microsoft.com/office/drawing/2014/main" id="{658D9275-A97C-4D0C-9B04-B988AEACFAD8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359" name="Text Box 1">
          <a:extLst>
            <a:ext uri="{FF2B5EF4-FFF2-40B4-BE49-F238E27FC236}">
              <a16:creationId xmlns:a16="http://schemas.microsoft.com/office/drawing/2014/main" id="{9F3D0144-FF68-4E80-90FC-AF157184FF67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360" name="Text Box 1">
          <a:extLst>
            <a:ext uri="{FF2B5EF4-FFF2-40B4-BE49-F238E27FC236}">
              <a16:creationId xmlns:a16="http://schemas.microsoft.com/office/drawing/2014/main" id="{19FAF6C8-8500-4FB7-8D15-956429DA37FB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361" name="Text Box 1">
          <a:extLst>
            <a:ext uri="{FF2B5EF4-FFF2-40B4-BE49-F238E27FC236}">
              <a16:creationId xmlns:a16="http://schemas.microsoft.com/office/drawing/2014/main" id="{BBE3877B-2C33-4D90-9C8D-6EFA4448EAB4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362" name="Text Box 1">
          <a:extLst>
            <a:ext uri="{FF2B5EF4-FFF2-40B4-BE49-F238E27FC236}">
              <a16:creationId xmlns:a16="http://schemas.microsoft.com/office/drawing/2014/main" id="{039A8348-F95E-4798-AB7C-822D3024E263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363" name="Text Box 1">
          <a:extLst>
            <a:ext uri="{FF2B5EF4-FFF2-40B4-BE49-F238E27FC236}">
              <a16:creationId xmlns:a16="http://schemas.microsoft.com/office/drawing/2014/main" id="{C843F425-3477-4AF4-A96F-20B5A1BC58DD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364" name="Text Box 1">
          <a:extLst>
            <a:ext uri="{FF2B5EF4-FFF2-40B4-BE49-F238E27FC236}">
              <a16:creationId xmlns:a16="http://schemas.microsoft.com/office/drawing/2014/main" id="{F1826685-CF6F-45B5-88C8-CC620A798AF6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365" name="Text Box 1">
          <a:extLst>
            <a:ext uri="{FF2B5EF4-FFF2-40B4-BE49-F238E27FC236}">
              <a16:creationId xmlns:a16="http://schemas.microsoft.com/office/drawing/2014/main" id="{84F1863A-6D9A-4421-AE8D-B6DB28B61BAB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366" name="Text Box 1">
          <a:extLst>
            <a:ext uri="{FF2B5EF4-FFF2-40B4-BE49-F238E27FC236}">
              <a16:creationId xmlns:a16="http://schemas.microsoft.com/office/drawing/2014/main" id="{E8F95C07-19AA-497E-AF01-64E261D04DCF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367" name="Text Box 1">
          <a:extLst>
            <a:ext uri="{FF2B5EF4-FFF2-40B4-BE49-F238E27FC236}">
              <a16:creationId xmlns:a16="http://schemas.microsoft.com/office/drawing/2014/main" id="{75EB32CE-880F-4059-9A6F-6E4BF34FFB7B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368" name="Text Box 1">
          <a:extLst>
            <a:ext uri="{FF2B5EF4-FFF2-40B4-BE49-F238E27FC236}">
              <a16:creationId xmlns:a16="http://schemas.microsoft.com/office/drawing/2014/main" id="{56E23684-C3D8-4873-AE3A-046FEEABA7DE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369" name="Text Box 1">
          <a:extLst>
            <a:ext uri="{FF2B5EF4-FFF2-40B4-BE49-F238E27FC236}">
              <a16:creationId xmlns:a16="http://schemas.microsoft.com/office/drawing/2014/main" id="{CD6BEA81-7416-412C-8C05-1CE65BDBAF34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370" name="Text Box 1">
          <a:extLst>
            <a:ext uri="{FF2B5EF4-FFF2-40B4-BE49-F238E27FC236}">
              <a16:creationId xmlns:a16="http://schemas.microsoft.com/office/drawing/2014/main" id="{576D549D-DC2E-496A-B26A-372AA8895D5C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371" name="Text Box 1">
          <a:extLst>
            <a:ext uri="{FF2B5EF4-FFF2-40B4-BE49-F238E27FC236}">
              <a16:creationId xmlns:a16="http://schemas.microsoft.com/office/drawing/2014/main" id="{8F027DFC-7952-437B-98B5-36BADF65F230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372" name="Text Box 1">
          <a:extLst>
            <a:ext uri="{FF2B5EF4-FFF2-40B4-BE49-F238E27FC236}">
              <a16:creationId xmlns:a16="http://schemas.microsoft.com/office/drawing/2014/main" id="{D2D5D291-351A-4EB1-A831-443421B5C096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373" name="Text Box 1">
          <a:extLst>
            <a:ext uri="{FF2B5EF4-FFF2-40B4-BE49-F238E27FC236}">
              <a16:creationId xmlns:a16="http://schemas.microsoft.com/office/drawing/2014/main" id="{B0D08D8C-E248-4AAD-86FB-251D32FC4162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374" name="Text Box 1">
          <a:extLst>
            <a:ext uri="{FF2B5EF4-FFF2-40B4-BE49-F238E27FC236}">
              <a16:creationId xmlns:a16="http://schemas.microsoft.com/office/drawing/2014/main" id="{36409622-67EA-4942-B67C-FCD41B75AE85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375" name="Text Box 1">
          <a:extLst>
            <a:ext uri="{FF2B5EF4-FFF2-40B4-BE49-F238E27FC236}">
              <a16:creationId xmlns:a16="http://schemas.microsoft.com/office/drawing/2014/main" id="{B916D2DF-6698-4D89-87FB-96F64A24C679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376" name="Text Box 1">
          <a:extLst>
            <a:ext uri="{FF2B5EF4-FFF2-40B4-BE49-F238E27FC236}">
              <a16:creationId xmlns:a16="http://schemas.microsoft.com/office/drawing/2014/main" id="{628DB320-E50B-45B7-9663-12625CA311BC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377" name="Text Box 1">
          <a:extLst>
            <a:ext uri="{FF2B5EF4-FFF2-40B4-BE49-F238E27FC236}">
              <a16:creationId xmlns:a16="http://schemas.microsoft.com/office/drawing/2014/main" id="{F329B539-F47D-4334-8D12-AD2766C34FD0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378" name="Text Box 1">
          <a:extLst>
            <a:ext uri="{FF2B5EF4-FFF2-40B4-BE49-F238E27FC236}">
              <a16:creationId xmlns:a16="http://schemas.microsoft.com/office/drawing/2014/main" id="{748A6BB9-C708-422E-986B-32D1CD731919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379" name="Text Box 1">
          <a:extLst>
            <a:ext uri="{FF2B5EF4-FFF2-40B4-BE49-F238E27FC236}">
              <a16:creationId xmlns:a16="http://schemas.microsoft.com/office/drawing/2014/main" id="{2BA21B93-595B-4606-9F8E-F03C05CBDA75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380" name="Text Box 1">
          <a:extLst>
            <a:ext uri="{FF2B5EF4-FFF2-40B4-BE49-F238E27FC236}">
              <a16:creationId xmlns:a16="http://schemas.microsoft.com/office/drawing/2014/main" id="{D80D01DD-1E99-4CC6-A1AB-3DADDD334267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381" name="Text Box 1">
          <a:extLst>
            <a:ext uri="{FF2B5EF4-FFF2-40B4-BE49-F238E27FC236}">
              <a16:creationId xmlns:a16="http://schemas.microsoft.com/office/drawing/2014/main" id="{15CFAFF4-0F11-4201-844A-26C73EFFCDDC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382" name="Text Box 1">
          <a:extLst>
            <a:ext uri="{FF2B5EF4-FFF2-40B4-BE49-F238E27FC236}">
              <a16:creationId xmlns:a16="http://schemas.microsoft.com/office/drawing/2014/main" id="{682182D7-DCDD-4DB4-B04C-AC7C8BF37DF3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383" name="Text Box 1">
          <a:extLst>
            <a:ext uri="{FF2B5EF4-FFF2-40B4-BE49-F238E27FC236}">
              <a16:creationId xmlns:a16="http://schemas.microsoft.com/office/drawing/2014/main" id="{02335325-179C-4985-BEA9-D4ABAC7CEF51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384" name="Text Box 1">
          <a:extLst>
            <a:ext uri="{FF2B5EF4-FFF2-40B4-BE49-F238E27FC236}">
              <a16:creationId xmlns:a16="http://schemas.microsoft.com/office/drawing/2014/main" id="{06586963-A90C-4D21-BF1B-5D5003A54205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385" name="Text Box 1">
          <a:extLst>
            <a:ext uri="{FF2B5EF4-FFF2-40B4-BE49-F238E27FC236}">
              <a16:creationId xmlns:a16="http://schemas.microsoft.com/office/drawing/2014/main" id="{FAF18005-A0B0-421C-92AE-024A7D0533CA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386" name="Text Box 1">
          <a:extLst>
            <a:ext uri="{FF2B5EF4-FFF2-40B4-BE49-F238E27FC236}">
              <a16:creationId xmlns:a16="http://schemas.microsoft.com/office/drawing/2014/main" id="{138F92AF-870E-4AD4-89B1-CCC85C9E5AF0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387" name="Text Box 1">
          <a:extLst>
            <a:ext uri="{FF2B5EF4-FFF2-40B4-BE49-F238E27FC236}">
              <a16:creationId xmlns:a16="http://schemas.microsoft.com/office/drawing/2014/main" id="{ED8359B7-0BED-4779-9546-7FE70DBBA215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388" name="Text Box 1">
          <a:extLst>
            <a:ext uri="{FF2B5EF4-FFF2-40B4-BE49-F238E27FC236}">
              <a16:creationId xmlns:a16="http://schemas.microsoft.com/office/drawing/2014/main" id="{ECC64ECD-3CBD-4571-99F6-D9911EAD7FBD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389" name="Text Box 1">
          <a:extLst>
            <a:ext uri="{FF2B5EF4-FFF2-40B4-BE49-F238E27FC236}">
              <a16:creationId xmlns:a16="http://schemas.microsoft.com/office/drawing/2014/main" id="{6CE0473A-42DB-4E18-930F-5E2FBAB97E07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390" name="Text Box 1">
          <a:extLst>
            <a:ext uri="{FF2B5EF4-FFF2-40B4-BE49-F238E27FC236}">
              <a16:creationId xmlns:a16="http://schemas.microsoft.com/office/drawing/2014/main" id="{310E0786-83A9-4C20-8D94-D7714A00BCF9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391" name="Text Box 1">
          <a:extLst>
            <a:ext uri="{FF2B5EF4-FFF2-40B4-BE49-F238E27FC236}">
              <a16:creationId xmlns:a16="http://schemas.microsoft.com/office/drawing/2014/main" id="{0850591F-7CDB-43D5-B9AC-A27751157C0B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392" name="Text Box 1">
          <a:extLst>
            <a:ext uri="{FF2B5EF4-FFF2-40B4-BE49-F238E27FC236}">
              <a16:creationId xmlns:a16="http://schemas.microsoft.com/office/drawing/2014/main" id="{90560778-0F3A-43A6-B190-844F4C83C78B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393" name="Text Box 1">
          <a:extLst>
            <a:ext uri="{FF2B5EF4-FFF2-40B4-BE49-F238E27FC236}">
              <a16:creationId xmlns:a16="http://schemas.microsoft.com/office/drawing/2014/main" id="{4ACA00A5-080C-4F3E-9A96-047CF27DA93B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394" name="Text Box 1">
          <a:extLst>
            <a:ext uri="{FF2B5EF4-FFF2-40B4-BE49-F238E27FC236}">
              <a16:creationId xmlns:a16="http://schemas.microsoft.com/office/drawing/2014/main" id="{65C0EDDA-491E-4436-A4CE-193E7530881D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395" name="Text Box 1">
          <a:extLst>
            <a:ext uri="{FF2B5EF4-FFF2-40B4-BE49-F238E27FC236}">
              <a16:creationId xmlns:a16="http://schemas.microsoft.com/office/drawing/2014/main" id="{3CC9914B-6DBB-470A-8314-65F5F1D8A3DC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396" name="Text Box 1">
          <a:extLst>
            <a:ext uri="{FF2B5EF4-FFF2-40B4-BE49-F238E27FC236}">
              <a16:creationId xmlns:a16="http://schemas.microsoft.com/office/drawing/2014/main" id="{C3352B74-7E1B-49E7-90FC-C2881A7B7C38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397" name="Text Box 1">
          <a:extLst>
            <a:ext uri="{FF2B5EF4-FFF2-40B4-BE49-F238E27FC236}">
              <a16:creationId xmlns:a16="http://schemas.microsoft.com/office/drawing/2014/main" id="{9301294B-FE95-42DC-8C96-552FC46631F7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398" name="Text Box 1">
          <a:extLst>
            <a:ext uri="{FF2B5EF4-FFF2-40B4-BE49-F238E27FC236}">
              <a16:creationId xmlns:a16="http://schemas.microsoft.com/office/drawing/2014/main" id="{51DABE84-D14D-462A-9568-8C581EFF44A6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399" name="Text Box 1">
          <a:extLst>
            <a:ext uri="{FF2B5EF4-FFF2-40B4-BE49-F238E27FC236}">
              <a16:creationId xmlns:a16="http://schemas.microsoft.com/office/drawing/2014/main" id="{AE37318B-1ABB-44DA-BE1C-A168467CCE93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400" name="Text Box 1">
          <a:extLst>
            <a:ext uri="{FF2B5EF4-FFF2-40B4-BE49-F238E27FC236}">
              <a16:creationId xmlns:a16="http://schemas.microsoft.com/office/drawing/2014/main" id="{DB402A8D-D259-40FD-985C-07419549F504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401" name="Text Box 1">
          <a:extLst>
            <a:ext uri="{FF2B5EF4-FFF2-40B4-BE49-F238E27FC236}">
              <a16:creationId xmlns:a16="http://schemas.microsoft.com/office/drawing/2014/main" id="{4EF69831-F441-4DB3-981C-18705A33432F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402" name="Text Box 1">
          <a:extLst>
            <a:ext uri="{FF2B5EF4-FFF2-40B4-BE49-F238E27FC236}">
              <a16:creationId xmlns:a16="http://schemas.microsoft.com/office/drawing/2014/main" id="{E6303396-8E8E-4D93-A735-C6F2C3FB2545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403" name="Text Box 1">
          <a:extLst>
            <a:ext uri="{FF2B5EF4-FFF2-40B4-BE49-F238E27FC236}">
              <a16:creationId xmlns:a16="http://schemas.microsoft.com/office/drawing/2014/main" id="{9CA073FB-14A4-4BBA-A8C4-1C9564CAF50E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404" name="Text Box 1">
          <a:extLst>
            <a:ext uri="{FF2B5EF4-FFF2-40B4-BE49-F238E27FC236}">
              <a16:creationId xmlns:a16="http://schemas.microsoft.com/office/drawing/2014/main" id="{4E3C5AF6-8FDB-4A6B-AB10-F00853B0925F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405" name="Text Box 1">
          <a:extLst>
            <a:ext uri="{FF2B5EF4-FFF2-40B4-BE49-F238E27FC236}">
              <a16:creationId xmlns:a16="http://schemas.microsoft.com/office/drawing/2014/main" id="{0BBBBB8E-5578-4EB2-AD08-8F5E371B22FB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406" name="Text Box 1">
          <a:extLst>
            <a:ext uri="{FF2B5EF4-FFF2-40B4-BE49-F238E27FC236}">
              <a16:creationId xmlns:a16="http://schemas.microsoft.com/office/drawing/2014/main" id="{FF89232E-DBFC-4DC4-A7F0-9FDFF10B03BB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407" name="Text Box 1">
          <a:extLst>
            <a:ext uri="{FF2B5EF4-FFF2-40B4-BE49-F238E27FC236}">
              <a16:creationId xmlns:a16="http://schemas.microsoft.com/office/drawing/2014/main" id="{8FAE7969-6F94-44B1-AD8A-489D016C1CBA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408" name="Text Box 1">
          <a:extLst>
            <a:ext uri="{FF2B5EF4-FFF2-40B4-BE49-F238E27FC236}">
              <a16:creationId xmlns:a16="http://schemas.microsoft.com/office/drawing/2014/main" id="{E845F353-972F-414A-9841-6698D64F9D23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409" name="Text Box 1">
          <a:extLst>
            <a:ext uri="{FF2B5EF4-FFF2-40B4-BE49-F238E27FC236}">
              <a16:creationId xmlns:a16="http://schemas.microsoft.com/office/drawing/2014/main" id="{17E0A8E2-FB70-47DC-8A94-3BAF7829AFC4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410" name="Text Box 1">
          <a:extLst>
            <a:ext uri="{FF2B5EF4-FFF2-40B4-BE49-F238E27FC236}">
              <a16:creationId xmlns:a16="http://schemas.microsoft.com/office/drawing/2014/main" id="{AE49B075-CC69-4AF4-8CBA-798A845632F6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411" name="Text Box 1">
          <a:extLst>
            <a:ext uri="{FF2B5EF4-FFF2-40B4-BE49-F238E27FC236}">
              <a16:creationId xmlns:a16="http://schemas.microsoft.com/office/drawing/2014/main" id="{8CCB0728-05E8-44D0-8621-28817F228CB3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412" name="Text Box 1">
          <a:extLst>
            <a:ext uri="{FF2B5EF4-FFF2-40B4-BE49-F238E27FC236}">
              <a16:creationId xmlns:a16="http://schemas.microsoft.com/office/drawing/2014/main" id="{D8919BF0-1934-4EE9-BB60-6ECA2346DF1F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413" name="Text Box 1">
          <a:extLst>
            <a:ext uri="{FF2B5EF4-FFF2-40B4-BE49-F238E27FC236}">
              <a16:creationId xmlns:a16="http://schemas.microsoft.com/office/drawing/2014/main" id="{EE34F1AF-A6C5-4BAA-93CB-5671C3C5F6C3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414" name="Text Box 1">
          <a:extLst>
            <a:ext uri="{FF2B5EF4-FFF2-40B4-BE49-F238E27FC236}">
              <a16:creationId xmlns:a16="http://schemas.microsoft.com/office/drawing/2014/main" id="{F29EFE1D-9549-4EDB-B8BA-DDEF664CD54E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415" name="Text Box 1">
          <a:extLst>
            <a:ext uri="{FF2B5EF4-FFF2-40B4-BE49-F238E27FC236}">
              <a16:creationId xmlns:a16="http://schemas.microsoft.com/office/drawing/2014/main" id="{5722B6FA-A056-4C11-90FA-8576E251D63E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416" name="Text Box 1">
          <a:extLst>
            <a:ext uri="{FF2B5EF4-FFF2-40B4-BE49-F238E27FC236}">
              <a16:creationId xmlns:a16="http://schemas.microsoft.com/office/drawing/2014/main" id="{1E7503F6-DFC1-427C-9D4D-443B00BDF8C6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417" name="Text Box 1">
          <a:extLst>
            <a:ext uri="{FF2B5EF4-FFF2-40B4-BE49-F238E27FC236}">
              <a16:creationId xmlns:a16="http://schemas.microsoft.com/office/drawing/2014/main" id="{5E5DF9B0-452F-40C0-A705-C0766F1D268B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418" name="Text Box 1">
          <a:extLst>
            <a:ext uri="{FF2B5EF4-FFF2-40B4-BE49-F238E27FC236}">
              <a16:creationId xmlns:a16="http://schemas.microsoft.com/office/drawing/2014/main" id="{08335679-06F9-46B7-96AD-2E0AFA49B5B9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419" name="Text Box 1">
          <a:extLst>
            <a:ext uri="{FF2B5EF4-FFF2-40B4-BE49-F238E27FC236}">
              <a16:creationId xmlns:a16="http://schemas.microsoft.com/office/drawing/2014/main" id="{E14C58A4-AE58-4CD3-AE3A-60F6233BD3B8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420" name="Text Box 1">
          <a:extLst>
            <a:ext uri="{FF2B5EF4-FFF2-40B4-BE49-F238E27FC236}">
              <a16:creationId xmlns:a16="http://schemas.microsoft.com/office/drawing/2014/main" id="{AF644E3F-823F-4263-96E6-CF7EDB8BAB20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421" name="Text Box 1">
          <a:extLst>
            <a:ext uri="{FF2B5EF4-FFF2-40B4-BE49-F238E27FC236}">
              <a16:creationId xmlns:a16="http://schemas.microsoft.com/office/drawing/2014/main" id="{AA456694-22CC-4465-9559-2197C1C45784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422" name="Text Box 1">
          <a:extLst>
            <a:ext uri="{FF2B5EF4-FFF2-40B4-BE49-F238E27FC236}">
              <a16:creationId xmlns:a16="http://schemas.microsoft.com/office/drawing/2014/main" id="{D6737CD3-106D-4302-B350-127D106BA1E4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423" name="Text Box 1">
          <a:extLst>
            <a:ext uri="{FF2B5EF4-FFF2-40B4-BE49-F238E27FC236}">
              <a16:creationId xmlns:a16="http://schemas.microsoft.com/office/drawing/2014/main" id="{BDA436D5-B99F-419F-9805-596A4066C69A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424" name="Text Box 1">
          <a:extLst>
            <a:ext uri="{FF2B5EF4-FFF2-40B4-BE49-F238E27FC236}">
              <a16:creationId xmlns:a16="http://schemas.microsoft.com/office/drawing/2014/main" id="{E9F8E792-5EB9-407E-BC31-EF9AA75C868E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425" name="Text Box 1">
          <a:extLst>
            <a:ext uri="{FF2B5EF4-FFF2-40B4-BE49-F238E27FC236}">
              <a16:creationId xmlns:a16="http://schemas.microsoft.com/office/drawing/2014/main" id="{0CEC794A-BF04-4C77-9CD7-D72CBD910823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426" name="Text Box 1">
          <a:extLst>
            <a:ext uri="{FF2B5EF4-FFF2-40B4-BE49-F238E27FC236}">
              <a16:creationId xmlns:a16="http://schemas.microsoft.com/office/drawing/2014/main" id="{C1E177E0-2DE3-4EAD-8786-8FB0021D4B0D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427" name="Text Box 1">
          <a:extLst>
            <a:ext uri="{FF2B5EF4-FFF2-40B4-BE49-F238E27FC236}">
              <a16:creationId xmlns:a16="http://schemas.microsoft.com/office/drawing/2014/main" id="{57132D2F-C0F5-4FC2-A0F4-E85741BF6E51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428" name="Text Box 1">
          <a:extLst>
            <a:ext uri="{FF2B5EF4-FFF2-40B4-BE49-F238E27FC236}">
              <a16:creationId xmlns:a16="http://schemas.microsoft.com/office/drawing/2014/main" id="{F988B0C9-B9EA-41E7-BD9D-9A92AF2347E1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429" name="Text Box 1">
          <a:extLst>
            <a:ext uri="{FF2B5EF4-FFF2-40B4-BE49-F238E27FC236}">
              <a16:creationId xmlns:a16="http://schemas.microsoft.com/office/drawing/2014/main" id="{A1A67FA2-44D5-4174-8A31-7AFC6482A14C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430" name="Text Box 1">
          <a:extLst>
            <a:ext uri="{FF2B5EF4-FFF2-40B4-BE49-F238E27FC236}">
              <a16:creationId xmlns:a16="http://schemas.microsoft.com/office/drawing/2014/main" id="{16650770-AEFC-421F-A1CB-1431D8E5FC28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431" name="Text Box 1">
          <a:extLst>
            <a:ext uri="{FF2B5EF4-FFF2-40B4-BE49-F238E27FC236}">
              <a16:creationId xmlns:a16="http://schemas.microsoft.com/office/drawing/2014/main" id="{CE0D3D62-9FB7-4AAA-BEA3-A3258FB48885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432" name="Text Box 1">
          <a:extLst>
            <a:ext uri="{FF2B5EF4-FFF2-40B4-BE49-F238E27FC236}">
              <a16:creationId xmlns:a16="http://schemas.microsoft.com/office/drawing/2014/main" id="{014A2C96-CB36-4BD1-83A0-86BEF70B443F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433" name="Text Box 1">
          <a:extLst>
            <a:ext uri="{FF2B5EF4-FFF2-40B4-BE49-F238E27FC236}">
              <a16:creationId xmlns:a16="http://schemas.microsoft.com/office/drawing/2014/main" id="{D1F5A09C-7810-4CB3-B301-AAFCA774A2EC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434" name="Text Box 1">
          <a:extLst>
            <a:ext uri="{FF2B5EF4-FFF2-40B4-BE49-F238E27FC236}">
              <a16:creationId xmlns:a16="http://schemas.microsoft.com/office/drawing/2014/main" id="{133FC956-084B-4F1D-ADD2-36DC57669A20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435" name="Text Box 1">
          <a:extLst>
            <a:ext uri="{FF2B5EF4-FFF2-40B4-BE49-F238E27FC236}">
              <a16:creationId xmlns:a16="http://schemas.microsoft.com/office/drawing/2014/main" id="{A6F41297-A0CD-4D24-BF33-26FFA927C6C2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436" name="Text Box 1">
          <a:extLst>
            <a:ext uri="{FF2B5EF4-FFF2-40B4-BE49-F238E27FC236}">
              <a16:creationId xmlns:a16="http://schemas.microsoft.com/office/drawing/2014/main" id="{BD9CE024-AFB9-4DA6-A490-506BE18D3CD2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437" name="Text Box 1">
          <a:extLst>
            <a:ext uri="{FF2B5EF4-FFF2-40B4-BE49-F238E27FC236}">
              <a16:creationId xmlns:a16="http://schemas.microsoft.com/office/drawing/2014/main" id="{43E6593F-3E0B-43D2-A084-71625FDC5D37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438" name="Text Box 1">
          <a:extLst>
            <a:ext uri="{FF2B5EF4-FFF2-40B4-BE49-F238E27FC236}">
              <a16:creationId xmlns:a16="http://schemas.microsoft.com/office/drawing/2014/main" id="{835EFEE6-327D-43A8-AFF6-FB1FAA72497C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439" name="Text Box 1">
          <a:extLst>
            <a:ext uri="{FF2B5EF4-FFF2-40B4-BE49-F238E27FC236}">
              <a16:creationId xmlns:a16="http://schemas.microsoft.com/office/drawing/2014/main" id="{FFF1AB76-374F-46CF-A440-23795CCB250D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440" name="Text Box 1">
          <a:extLst>
            <a:ext uri="{FF2B5EF4-FFF2-40B4-BE49-F238E27FC236}">
              <a16:creationId xmlns:a16="http://schemas.microsoft.com/office/drawing/2014/main" id="{18EE8159-6F6E-46F6-8A93-CDBA9344944D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441" name="Text Box 1">
          <a:extLst>
            <a:ext uri="{FF2B5EF4-FFF2-40B4-BE49-F238E27FC236}">
              <a16:creationId xmlns:a16="http://schemas.microsoft.com/office/drawing/2014/main" id="{3D5967CF-C544-4682-A7A2-2250CAB7346F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442" name="Text Box 1">
          <a:extLst>
            <a:ext uri="{FF2B5EF4-FFF2-40B4-BE49-F238E27FC236}">
              <a16:creationId xmlns:a16="http://schemas.microsoft.com/office/drawing/2014/main" id="{80EA7F07-DF81-44D8-A817-1E2E15E46286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443" name="Text Box 1">
          <a:extLst>
            <a:ext uri="{FF2B5EF4-FFF2-40B4-BE49-F238E27FC236}">
              <a16:creationId xmlns:a16="http://schemas.microsoft.com/office/drawing/2014/main" id="{884DE692-7EF0-49CD-B06C-3D8536A80145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444" name="Text Box 1">
          <a:extLst>
            <a:ext uri="{FF2B5EF4-FFF2-40B4-BE49-F238E27FC236}">
              <a16:creationId xmlns:a16="http://schemas.microsoft.com/office/drawing/2014/main" id="{7694BAAC-5D52-4D98-9379-C9E7EF288957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445" name="Text Box 1">
          <a:extLst>
            <a:ext uri="{FF2B5EF4-FFF2-40B4-BE49-F238E27FC236}">
              <a16:creationId xmlns:a16="http://schemas.microsoft.com/office/drawing/2014/main" id="{AA953099-E60B-456C-AE28-9F27833EBF4F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446" name="Text Box 1">
          <a:extLst>
            <a:ext uri="{FF2B5EF4-FFF2-40B4-BE49-F238E27FC236}">
              <a16:creationId xmlns:a16="http://schemas.microsoft.com/office/drawing/2014/main" id="{56CBEFC0-0BDF-4173-9B10-617C9852A770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447" name="Text Box 1">
          <a:extLst>
            <a:ext uri="{FF2B5EF4-FFF2-40B4-BE49-F238E27FC236}">
              <a16:creationId xmlns:a16="http://schemas.microsoft.com/office/drawing/2014/main" id="{8F236588-DA56-4615-9932-BCFE5AEBF6BF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448" name="Text Box 1">
          <a:extLst>
            <a:ext uri="{FF2B5EF4-FFF2-40B4-BE49-F238E27FC236}">
              <a16:creationId xmlns:a16="http://schemas.microsoft.com/office/drawing/2014/main" id="{FE3A0D8F-2DA9-4D3D-875B-EB22CC998072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449" name="Text Box 1">
          <a:extLst>
            <a:ext uri="{FF2B5EF4-FFF2-40B4-BE49-F238E27FC236}">
              <a16:creationId xmlns:a16="http://schemas.microsoft.com/office/drawing/2014/main" id="{C9AC914A-4BA7-4EAD-83D0-FA644D98F096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450" name="Text Box 1">
          <a:extLst>
            <a:ext uri="{FF2B5EF4-FFF2-40B4-BE49-F238E27FC236}">
              <a16:creationId xmlns:a16="http://schemas.microsoft.com/office/drawing/2014/main" id="{F79D9BBD-FE13-4BA3-8B3E-51C9B745D6DF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451" name="Text Box 1">
          <a:extLst>
            <a:ext uri="{FF2B5EF4-FFF2-40B4-BE49-F238E27FC236}">
              <a16:creationId xmlns:a16="http://schemas.microsoft.com/office/drawing/2014/main" id="{7B1F4C2F-BD3C-4EA7-B670-480BD8E1296B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452" name="Text Box 1">
          <a:extLst>
            <a:ext uri="{FF2B5EF4-FFF2-40B4-BE49-F238E27FC236}">
              <a16:creationId xmlns:a16="http://schemas.microsoft.com/office/drawing/2014/main" id="{02EEEA6B-F0C6-48EA-8736-5391D3696B77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453" name="Text Box 1">
          <a:extLst>
            <a:ext uri="{FF2B5EF4-FFF2-40B4-BE49-F238E27FC236}">
              <a16:creationId xmlns:a16="http://schemas.microsoft.com/office/drawing/2014/main" id="{435FB452-3B87-44A6-B0CA-AD154D0CC020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454" name="Text Box 1">
          <a:extLst>
            <a:ext uri="{FF2B5EF4-FFF2-40B4-BE49-F238E27FC236}">
              <a16:creationId xmlns:a16="http://schemas.microsoft.com/office/drawing/2014/main" id="{8F0CF6BB-263C-4659-943E-82DAA693ECB9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455" name="Text Box 1">
          <a:extLst>
            <a:ext uri="{FF2B5EF4-FFF2-40B4-BE49-F238E27FC236}">
              <a16:creationId xmlns:a16="http://schemas.microsoft.com/office/drawing/2014/main" id="{DCCFCDBC-0BAD-4233-81D8-207026CEAAD0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456" name="Text Box 1">
          <a:extLst>
            <a:ext uri="{FF2B5EF4-FFF2-40B4-BE49-F238E27FC236}">
              <a16:creationId xmlns:a16="http://schemas.microsoft.com/office/drawing/2014/main" id="{1FC2BC05-BE7E-42DB-99EA-D53A5DC4E08C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457" name="Text Box 1">
          <a:extLst>
            <a:ext uri="{FF2B5EF4-FFF2-40B4-BE49-F238E27FC236}">
              <a16:creationId xmlns:a16="http://schemas.microsoft.com/office/drawing/2014/main" id="{B6C3AF9A-6FF5-4A01-A631-3D79A43406FD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458" name="Text Box 1">
          <a:extLst>
            <a:ext uri="{FF2B5EF4-FFF2-40B4-BE49-F238E27FC236}">
              <a16:creationId xmlns:a16="http://schemas.microsoft.com/office/drawing/2014/main" id="{684FD5F1-E051-4949-912F-9E5D7A2E1396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459" name="Text Box 1">
          <a:extLst>
            <a:ext uri="{FF2B5EF4-FFF2-40B4-BE49-F238E27FC236}">
              <a16:creationId xmlns:a16="http://schemas.microsoft.com/office/drawing/2014/main" id="{64315C6B-A6F5-423B-9D3C-466877F832C8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460" name="Text Box 1">
          <a:extLst>
            <a:ext uri="{FF2B5EF4-FFF2-40B4-BE49-F238E27FC236}">
              <a16:creationId xmlns:a16="http://schemas.microsoft.com/office/drawing/2014/main" id="{B3197A9F-D081-4C4D-BD48-132721178F21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461" name="Text Box 1">
          <a:extLst>
            <a:ext uri="{FF2B5EF4-FFF2-40B4-BE49-F238E27FC236}">
              <a16:creationId xmlns:a16="http://schemas.microsoft.com/office/drawing/2014/main" id="{0F60FA22-5EF5-49E9-A247-633003F50513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462" name="Text Box 1">
          <a:extLst>
            <a:ext uri="{FF2B5EF4-FFF2-40B4-BE49-F238E27FC236}">
              <a16:creationId xmlns:a16="http://schemas.microsoft.com/office/drawing/2014/main" id="{14CFD7C6-785D-4A08-BC00-31DFF49AAEBB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463" name="Text Box 1">
          <a:extLst>
            <a:ext uri="{FF2B5EF4-FFF2-40B4-BE49-F238E27FC236}">
              <a16:creationId xmlns:a16="http://schemas.microsoft.com/office/drawing/2014/main" id="{FD539F96-54F6-4B5F-90D5-B107FFBF56C8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464" name="Text Box 1">
          <a:extLst>
            <a:ext uri="{FF2B5EF4-FFF2-40B4-BE49-F238E27FC236}">
              <a16:creationId xmlns:a16="http://schemas.microsoft.com/office/drawing/2014/main" id="{253BACE7-6CE7-4B41-930E-0509B9E08A4A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465" name="Text Box 1">
          <a:extLst>
            <a:ext uri="{FF2B5EF4-FFF2-40B4-BE49-F238E27FC236}">
              <a16:creationId xmlns:a16="http://schemas.microsoft.com/office/drawing/2014/main" id="{8C5D28BB-0437-4403-BF8E-33E2C5D9E4F6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466" name="Text Box 1">
          <a:extLst>
            <a:ext uri="{FF2B5EF4-FFF2-40B4-BE49-F238E27FC236}">
              <a16:creationId xmlns:a16="http://schemas.microsoft.com/office/drawing/2014/main" id="{555689E0-103D-4E03-B207-9F9D1C978700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467" name="Text Box 1">
          <a:extLst>
            <a:ext uri="{FF2B5EF4-FFF2-40B4-BE49-F238E27FC236}">
              <a16:creationId xmlns:a16="http://schemas.microsoft.com/office/drawing/2014/main" id="{A4EA3042-3E95-4AF8-8F6E-648E0F3C4461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468" name="Text Box 1">
          <a:extLst>
            <a:ext uri="{FF2B5EF4-FFF2-40B4-BE49-F238E27FC236}">
              <a16:creationId xmlns:a16="http://schemas.microsoft.com/office/drawing/2014/main" id="{DFB12DB6-EEAF-4E8F-8003-4F00E54125FA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469" name="Text Box 1">
          <a:extLst>
            <a:ext uri="{FF2B5EF4-FFF2-40B4-BE49-F238E27FC236}">
              <a16:creationId xmlns:a16="http://schemas.microsoft.com/office/drawing/2014/main" id="{A156A872-596D-428A-988B-4AF165681630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470" name="Text Box 1">
          <a:extLst>
            <a:ext uri="{FF2B5EF4-FFF2-40B4-BE49-F238E27FC236}">
              <a16:creationId xmlns:a16="http://schemas.microsoft.com/office/drawing/2014/main" id="{4D1C87D9-4C8A-499E-8202-AA97F1F9CAAF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471" name="Text Box 1">
          <a:extLst>
            <a:ext uri="{FF2B5EF4-FFF2-40B4-BE49-F238E27FC236}">
              <a16:creationId xmlns:a16="http://schemas.microsoft.com/office/drawing/2014/main" id="{655136BD-8FA7-41EE-9BD3-B44197DF06AC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472" name="Text Box 1">
          <a:extLst>
            <a:ext uri="{FF2B5EF4-FFF2-40B4-BE49-F238E27FC236}">
              <a16:creationId xmlns:a16="http://schemas.microsoft.com/office/drawing/2014/main" id="{D9111637-E73F-44BF-B04B-DC8B16B336AB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473" name="Text Box 1">
          <a:extLst>
            <a:ext uri="{FF2B5EF4-FFF2-40B4-BE49-F238E27FC236}">
              <a16:creationId xmlns:a16="http://schemas.microsoft.com/office/drawing/2014/main" id="{63BB9025-BEBB-43F7-A8ED-7D4FACA8D10E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474" name="Text Box 1">
          <a:extLst>
            <a:ext uri="{FF2B5EF4-FFF2-40B4-BE49-F238E27FC236}">
              <a16:creationId xmlns:a16="http://schemas.microsoft.com/office/drawing/2014/main" id="{836BCA80-65F0-47B3-91FE-332962ADBED3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475" name="Text Box 1">
          <a:extLst>
            <a:ext uri="{FF2B5EF4-FFF2-40B4-BE49-F238E27FC236}">
              <a16:creationId xmlns:a16="http://schemas.microsoft.com/office/drawing/2014/main" id="{D86680CC-6E49-45DC-BB94-335B3DE1ABC3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476" name="Text Box 1">
          <a:extLst>
            <a:ext uri="{FF2B5EF4-FFF2-40B4-BE49-F238E27FC236}">
              <a16:creationId xmlns:a16="http://schemas.microsoft.com/office/drawing/2014/main" id="{D64226A4-58C6-4466-996C-A8AEF93E139D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477" name="Text Box 1">
          <a:extLst>
            <a:ext uri="{FF2B5EF4-FFF2-40B4-BE49-F238E27FC236}">
              <a16:creationId xmlns:a16="http://schemas.microsoft.com/office/drawing/2014/main" id="{E8001BDB-3666-485F-8292-76C30928C031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478" name="Text Box 1">
          <a:extLst>
            <a:ext uri="{FF2B5EF4-FFF2-40B4-BE49-F238E27FC236}">
              <a16:creationId xmlns:a16="http://schemas.microsoft.com/office/drawing/2014/main" id="{9C9F298B-ECB3-4086-8B00-6FDCD4AD5D3D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479" name="Text Box 1">
          <a:extLst>
            <a:ext uri="{FF2B5EF4-FFF2-40B4-BE49-F238E27FC236}">
              <a16:creationId xmlns:a16="http://schemas.microsoft.com/office/drawing/2014/main" id="{E21B4F32-218D-4DF8-81A5-E3B60DB1ABF7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480" name="Text Box 1">
          <a:extLst>
            <a:ext uri="{FF2B5EF4-FFF2-40B4-BE49-F238E27FC236}">
              <a16:creationId xmlns:a16="http://schemas.microsoft.com/office/drawing/2014/main" id="{0EDF6B47-5A04-44BA-9537-B2D5059A339E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481" name="Text Box 1">
          <a:extLst>
            <a:ext uri="{FF2B5EF4-FFF2-40B4-BE49-F238E27FC236}">
              <a16:creationId xmlns:a16="http://schemas.microsoft.com/office/drawing/2014/main" id="{1307C123-28E9-43A9-A50A-4E69D880C7F2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482" name="Text Box 1">
          <a:extLst>
            <a:ext uri="{FF2B5EF4-FFF2-40B4-BE49-F238E27FC236}">
              <a16:creationId xmlns:a16="http://schemas.microsoft.com/office/drawing/2014/main" id="{08194A94-C008-4422-819B-F9B8DFF24BC8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483" name="Text Box 1">
          <a:extLst>
            <a:ext uri="{FF2B5EF4-FFF2-40B4-BE49-F238E27FC236}">
              <a16:creationId xmlns:a16="http://schemas.microsoft.com/office/drawing/2014/main" id="{E85597E6-2FFF-4D02-80C5-1D2BC5294211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484" name="Text Box 1">
          <a:extLst>
            <a:ext uri="{FF2B5EF4-FFF2-40B4-BE49-F238E27FC236}">
              <a16:creationId xmlns:a16="http://schemas.microsoft.com/office/drawing/2014/main" id="{F6A9C35D-96A3-425A-A13A-FEFDE27025B9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485" name="Text Box 1">
          <a:extLst>
            <a:ext uri="{FF2B5EF4-FFF2-40B4-BE49-F238E27FC236}">
              <a16:creationId xmlns:a16="http://schemas.microsoft.com/office/drawing/2014/main" id="{164456A9-14D0-4E5B-9A70-0A60935A0D38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486" name="Text Box 1">
          <a:extLst>
            <a:ext uri="{FF2B5EF4-FFF2-40B4-BE49-F238E27FC236}">
              <a16:creationId xmlns:a16="http://schemas.microsoft.com/office/drawing/2014/main" id="{32CB7CF7-D6D3-4039-B50C-BC6FCCD09313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487" name="Text Box 1">
          <a:extLst>
            <a:ext uri="{FF2B5EF4-FFF2-40B4-BE49-F238E27FC236}">
              <a16:creationId xmlns:a16="http://schemas.microsoft.com/office/drawing/2014/main" id="{6BE4CA98-CBFD-496A-8F1F-F9C4B733BD2B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488" name="Text Box 1">
          <a:extLst>
            <a:ext uri="{FF2B5EF4-FFF2-40B4-BE49-F238E27FC236}">
              <a16:creationId xmlns:a16="http://schemas.microsoft.com/office/drawing/2014/main" id="{F755F7F8-E632-4C85-9914-2760C08B782A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489" name="Text Box 1">
          <a:extLst>
            <a:ext uri="{FF2B5EF4-FFF2-40B4-BE49-F238E27FC236}">
              <a16:creationId xmlns:a16="http://schemas.microsoft.com/office/drawing/2014/main" id="{81BD1231-35FD-42DD-BE69-EEBE445BC257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490" name="Text Box 1">
          <a:extLst>
            <a:ext uri="{FF2B5EF4-FFF2-40B4-BE49-F238E27FC236}">
              <a16:creationId xmlns:a16="http://schemas.microsoft.com/office/drawing/2014/main" id="{4E28E2E8-4B11-4B17-AF99-68B8FACA0665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491" name="Text Box 1">
          <a:extLst>
            <a:ext uri="{FF2B5EF4-FFF2-40B4-BE49-F238E27FC236}">
              <a16:creationId xmlns:a16="http://schemas.microsoft.com/office/drawing/2014/main" id="{C8176E65-BF30-42AC-9C4E-9047ED1C4D2D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492" name="Text Box 1">
          <a:extLst>
            <a:ext uri="{FF2B5EF4-FFF2-40B4-BE49-F238E27FC236}">
              <a16:creationId xmlns:a16="http://schemas.microsoft.com/office/drawing/2014/main" id="{3DF429DE-CD3E-40AC-9977-9DBA0271596F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493" name="Text Box 1">
          <a:extLst>
            <a:ext uri="{FF2B5EF4-FFF2-40B4-BE49-F238E27FC236}">
              <a16:creationId xmlns:a16="http://schemas.microsoft.com/office/drawing/2014/main" id="{63C46675-0083-424F-A358-09F813F6A870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494" name="Text Box 1">
          <a:extLst>
            <a:ext uri="{FF2B5EF4-FFF2-40B4-BE49-F238E27FC236}">
              <a16:creationId xmlns:a16="http://schemas.microsoft.com/office/drawing/2014/main" id="{5238A5E9-E59E-4F28-85D2-8736F75458E0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495" name="Text Box 1">
          <a:extLst>
            <a:ext uri="{FF2B5EF4-FFF2-40B4-BE49-F238E27FC236}">
              <a16:creationId xmlns:a16="http://schemas.microsoft.com/office/drawing/2014/main" id="{A20B6738-7031-467A-A499-A937D6C45CE3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496" name="Text Box 1">
          <a:extLst>
            <a:ext uri="{FF2B5EF4-FFF2-40B4-BE49-F238E27FC236}">
              <a16:creationId xmlns:a16="http://schemas.microsoft.com/office/drawing/2014/main" id="{A5C389A8-95C7-419A-913E-90E7488C7722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497" name="Text Box 1">
          <a:extLst>
            <a:ext uri="{FF2B5EF4-FFF2-40B4-BE49-F238E27FC236}">
              <a16:creationId xmlns:a16="http://schemas.microsoft.com/office/drawing/2014/main" id="{A93DD913-4ED5-4EE5-8CCB-9CB4B7640A58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498" name="Text Box 1">
          <a:extLst>
            <a:ext uri="{FF2B5EF4-FFF2-40B4-BE49-F238E27FC236}">
              <a16:creationId xmlns:a16="http://schemas.microsoft.com/office/drawing/2014/main" id="{1CF2FD50-3816-4AB0-97F2-C2EE3AC5031D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499" name="Text Box 1">
          <a:extLst>
            <a:ext uri="{FF2B5EF4-FFF2-40B4-BE49-F238E27FC236}">
              <a16:creationId xmlns:a16="http://schemas.microsoft.com/office/drawing/2014/main" id="{35BC0750-0495-46F0-AB56-1194C832676D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500" name="Text Box 1">
          <a:extLst>
            <a:ext uri="{FF2B5EF4-FFF2-40B4-BE49-F238E27FC236}">
              <a16:creationId xmlns:a16="http://schemas.microsoft.com/office/drawing/2014/main" id="{12CEDD7A-6EBE-4303-AEBF-FCB11380CD43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501" name="Text Box 1">
          <a:extLst>
            <a:ext uri="{FF2B5EF4-FFF2-40B4-BE49-F238E27FC236}">
              <a16:creationId xmlns:a16="http://schemas.microsoft.com/office/drawing/2014/main" id="{BC2308B1-887A-460B-B49E-23CB7CB292D3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502" name="Text Box 1">
          <a:extLst>
            <a:ext uri="{FF2B5EF4-FFF2-40B4-BE49-F238E27FC236}">
              <a16:creationId xmlns:a16="http://schemas.microsoft.com/office/drawing/2014/main" id="{0210F428-D741-4975-9B36-8297EF5F923E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503" name="Text Box 1">
          <a:extLst>
            <a:ext uri="{FF2B5EF4-FFF2-40B4-BE49-F238E27FC236}">
              <a16:creationId xmlns:a16="http://schemas.microsoft.com/office/drawing/2014/main" id="{3A323C37-01EE-4D72-98BF-307C77B6D992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504" name="Text Box 1">
          <a:extLst>
            <a:ext uri="{FF2B5EF4-FFF2-40B4-BE49-F238E27FC236}">
              <a16:creationId xmlns:a16="http://schemas.microsoft.com/office/drawing/2014/main" id="{F8D42B37-530E-4CFD-9A0B-6071AB959C1E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505" name="Text Box 1">
          <a:extLst>
            <a:ext uri="{FF2B5EF4-FFF2-40B4-BE49-F238E27FC236}">
              <a16:creationId xmlns:a16="http://schemas.microsoft.com/office/drawing/2014/main" id="{134940DC-96B7-4EB6-80F0-194653AA6154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506" name="Text Box 1">
          <a:extLst>
            <a:ext uri="{FF2B5EF4-FFF2-40B4-BE49-F238E27FC236}">
              <a16:creationId xmlns:a16="http://schemas.microsoft.com/office/drawing/2014/main" id="{6A608B39-6E09-4160-8B89-0721D3F311DC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507" name="Text Box 1">
          <a:extLst>
            <a:ext uri="{FF2B5EF4-FFF2-40B4-BE49-F238E27FC236}">
              <a16:creationId xmlns:a16="http://schemas.microsoft.com/office/drawing/2014/main" id="{17F66821-871E-4E92-B355-630567B0DF1C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508" name="Text Box 1">
          <a:extLst>
            <a:ext uri="{FF2B5EF4-FFF2-40B4-BE49-F238E27FC236}">
              <a16:creationId xmlns:a16="http://schemas.microsoft.com/office/drawing/2014/main" id="{45906E69-3716-4E4A-92C8-A68122085C5D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509" name="Text Box 1">
          <a:extLst>
            <a:ext uri="{FF2B5EF4-FFF2-40B4-BE49-F238E27FC236}">
              <a16:creationId xmlns:a16="http://schemas.microsoft.com/office/drawing/2014/main" id="{3B921AE5-C54B-43E8-9E0F-2788EB449FDA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510" name="Text Box 1">
          <a:extLst>
            <a:ext uri="{FF2B5EF4-FFF2-40B4-BE49-F238E27FC236}">
              <a16:creationId xmlns:a16="http://schemas.microsoft.com/office/drawing/2014/main" id="{B6C44927-675A-47DA-A05E-D08974E48C70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511" name="Text Box 1">
          <a:extLst>
            <a:ext uri="{FF2B5EF4-FFF2-40B4-BE49-F238E27FC236}">
              <a16:creationId xmlns:a16="http://schemas.microsoft.com/office/drawing/2014/main" id="{5696EB6B-CA2E-4C60-8FF4-2B24742E9EB2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512" name="Text Box 1">
          <a:extLst>
            <a:ext uri="{FF2B5EF4-FFF2-40B4-BE49-F238E27FC236}">
              <a16:creationId xmlns:a16="http://schemas.microsoft.com/office/drawing/2014/main" id="{8D9D647D-956F-4B79-ABF0-F17F4A20EC40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513" name="Text Box 1">
          <a:extLst>
            <a:ext uri="{FF2B5EF4-FFF2-40B4-BE49-F238E27FC236}">
              <a16:creationId xmlns:a16="http://schemas.microsoft.com/office/drawing/2014/main" id="{AFE96951-7B26-421F-98A9-5D5D15215B7E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514" name="Text Box 1">
          <a:extLst>
            <a:ext uri="{FF2B5EF4-FFF2-40B4-BE49-F238E27FC236}">
              <a16:creationId xmlns:a16="http://schemas.microsoft.com/office/drawing/2014/main" id="{D7EE7DD2-FF8E-432C-9165-7889E9B7A9E5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515" name="Text Box 1">
          <a:extLst>
            <a:ext uri="{FF2B5EF4-FFF2-40B4-BE49-F238E27FC236}">
              <a16:creationId xmlns:a16="http://schemas.microsoft.com/office/drawing/2014/main" id="{F6CCEAD0-D17D-4C61-9F4C-B98042DBFB82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516" name="Text Box 1">
          <a:extLst>
            <a:ext uri="{FF2B5EF4-FFF2-40B4-BE49-F238E27FC236}">
              <a16:creationId xmlns:a16="http://schemas.microsoft.com/office/drawing/2014/main" id="{B491D0A5-A6DB-4028-BA60-35395FC4E181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517" name="Text Box 1">
          <a:extLst>
            <a:ext uri="{FF2B5EF4-FFF2-40B4-BE49-F238E27FC236}">
              <a16:creationId xmlns:a16="http://schemas.microsoft.com/office/drawing/2014/main" id="{1A41B806-A632-4491-B5B3-FDA82855779B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518" name="Text Box 1">
          <a:extLst>
            <a:ext uri="{FF2B5EF4-FFF2-40B4-BE49-F238E27FC236}">
              <a16:creationId xmlns:a16="http://schemas.microsoft.com/office/drawing/2014/main" id="{ED5CD273-A04E-4B97-8D3C-470DFE1AC30D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519" name="Text Box 1">
          <a:extLst>
            <a:ext uri="{FF2B5EF4-FFF2-40B4-BE49-F238E27FC236}">
              <a16:creationId xmlns:a16="http://schemas.microsoft.com/office/drawing/2014/main" id="{0013D13B-7CA1-4F6C-AAE9-67292338213E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520" name="Text Box 1">
          <a:extLst>
            <a:ext uri="{FF2B5EF4-FFF2-40B4-BE49-F238E27FC236}">
              <a16:creationId xmlns:a16="http://schemas.microsoft.com/office/drawing/2014/main" id="{9E64573B-3D88-4660-8A9E-BCB3D59E3D08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521" name="Text Box 1">
          <a:extLst>
            <a:ext uri="{FF2B5EF4-FFF2-40B4-BE49-F238E27FC236}">
              <a16:creationId xmlns:a16="http://schemas.microsoft.com/office/drawing/2014/main" id="{2A0CDCE5-EF76-4D2A-8569-5BB175D6C88F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522" name="Text Box 1">
          <a:extLst>
            <a:ext uri="{FF2B5EF4-FFF2-40B4-BE49-F238E27FC236}">
              <a16:creationId xmlns:a16="http://schemas.microsoft.com/office/drawing/2014/main" id="{8FBC4AB6-5B10-4273-9D7E-2965852BA73D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523" name="Text Box 1">
          <a:extLst>
            <a:ext uri="{FF2B5EF4-FFF2-40B4-BE49-F238E27FC236}">
              <a16:creationId xmlns:a16="http://schemas.microsoft.com/office/drawing/2014/main" id="{3CF7BB77-69F4-4239-97E3-6DECB5A493A4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524" name="Text Box 1">
          <a:extLst>
            <a:ext uri="{FF2B5EF4-FFF2-40B4-BE49-F238E27FC236}">
              <a16:creationId xmlns:a16="http://schemas.microsoft.com/office/drawing/2014/main" id="{6DD5AD26-6E74-4305-B034-F09B641065A9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525" name="Text Box 1">
          <a:extLst>
            <a:ext uri="{FF2B5EF4-FFF2-40B4-BE49-F238E27FC236}">
              <a16:creationId xmlns:a16="http://schemas.microsoft.com/office/drawing/2014/main" id="{E5098EB1-75F8-4824-BA16-B9E162A553C2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526" name="Text Box 1">
          <a:extLst>
            <a:ext uri="{FF2B5EF4-FFF2-40B4-BE49-F238E27FC236}">
              <a16:creationId xmlns:a16="http://schemas.microsoft.com/office/drawing/2014/main" id="{A788247C-C154-4FC5-9CB9-91B668E90336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527" name="Text Box 1">
          <a:extLst>
            <a:ext uri="{FF2B5EF4-FFF2-40B4-BE49-F238E27FC236}">
              <a16:creationId xmlns:a16="http://schemas.microsoft.com/office/drawing/2014/main" id="{F3292C48-BA18-4663-98A1-7B2FEA181861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528" name="Text Box 1">
          <a:extLst>
            <a:ext uri="{FF2B5EF4-FFF2-40B4-BE49-F238E27FC236}">
              <a16:creationId xmlns:a16="http://schemas.microsoft.com/office/drawing/2014/main" id="{FB388B94-A30E-426F-9D20-270818001265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529" name="Text Box 1">
          <a:extLst>
            <a:ext uri="{FF2B5EF4-FFF2-40B4-BE49-F238E27FC236}">
              <a16:creationId xmlns:a16="http://schemas.microsoft.com/office/drawing/2014/main" id="{142CC04B-2AFE-49D0-847C-5768EA921F94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530" name="Text Box 1">
          <a:extLst>
            <a:ext uri="{FF2B5EF4-FFF2-40B4-BE49-F238E27FC236}">
              <a16:creationId xmlns:a16="http://schemas.microsoft.com/office/drawing/2014/main" id="{E8DF976A-AD43-4700-881B-4DD376DE4880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531" name="Text Box 1">
          <a:extLst>
            <a:ext uri="{FF2B5EF4-FFF2-40B4-BE49-F238E27FC236}">
              <a16:creationId xmlns:a16="http://schemas.microsoft.com/office/drawing/2014/main" id="{F8BFCB04-36B6-4070-B36B-CB91A037A483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532" name="Text Box 1">
          <a:extLst>
            <a:ext uri="{FF2B5EF4-FFF2-40B4-BE49-F238E27FC236}">
              <a16:creationId xmlns:a16="http://schemas.microsoft.com/office/drawing/2014/main" id="{68383415-9021-4E20-8981-FE438DCE1A8A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533" name="Text Box 1">
          <a:extLst>
            <a:ext uri="{FF2B5EF4-FFF2-40B4-BE49-F238E27FC236}">
              <a16:creationId xmlns:a16="http://schemas.microsoft.com/office/drawing/2014/main" id="{837D52BD-A305-4759-9F23-721D6C031330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534" name="Text Box 1">
          <a:extLst>
            <a:ext uri="{FF2B5EF4-FFF2-40B4-BE49-F238E27FC236}">
              <a16:creationId xmlns:a16="http://schemas.microsoft.com/office/drawing/2014/main" id="{CEB2BDA6-931C-47A7-8CD8-5B0A3968D73A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535" name="Text Box 1">
          <a:extLst>
            <a:ext uri="{FF2B5EF4-FFF2-40B4-BE49-F238E27FC236}">
              <a16:creationId xmlns:a16="http://schemas.microsoft.com/office/drawing/2014/main" id="{E3AF21EB-7176-48AC-9D1D-F252CAA47206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536" name="Text Box 1">
          <a:extLst>
            <a:ext uri="{FF2B5EF4-FFF2-40B4-BE49-F238E27FC236}">
              <a16:creationId xmlns:a16="http://schemas.microsoft.com/office/drawing/2014/main" id="{A2A42795-E86E-4895-ABB2-6210B41B2270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537" name="Text Box 1">
          <a:extLst>
            <a:ext uri="{FF2B5EF4-FFF2-40B4-BE49-F238E27FC236}">
              <a16:creationId xmlns:a16="http://schemas.microsoft.com/office/drawing/2014/main" id="{46AE0791-029D-4B7B-A779-F7619B35B767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538" name="Text Box 1">
          <a:extLst>
            <a:ext uri="{FF2B5EF4-FFF2-40B4-BE49-F238E27FC236}">
              <a16:creationId xmlns:a16="http://schemas.microsoft.com/office/drawing/2014/main" id="{D7A66C84-C4C9-4BE0-A25D-D7F5AFECD214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539" name="Text Box 1">
          <a:extLst>
            <a:ext uri="{FF2B5EF4-FFF2-40B4-BE49-F238E27FC236}">
              <a16:creationId xmlns:a16="http://schemas.microsoft.com/office/drawing/2014/main" id="{28FB31CD-FB4D-47BB-A46B-F646D0FB2AC9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540" name="Text Box 1">
          <a:extLst>
            <a:ext uri="{FF2B5EF4-FFF2-40B4-BE49-F238E27FC236}">
              <a16:creationId xmlns:a16="http://schemas.microsoft.com/office/drawing/2014/main" id="{94EC93AC-2E60-451F-951D-B2D5FED22AEE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541" name="Text Box 1">
          <a:extLst>
            <a:ext uri="{FF2B5EF4-FFF2-40B4-BE49-F238E27FC236}">
              <a16:creationId xmlns:a16="http://schemas.microsoft.com/office/drawing/2014/main" id="{44BD3C2F-0F70-4398-B642-AFBE7D583436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542" name="Text Box 1">
          <a:extLst>
            <a:ext uri="{FF2B5EF4-FFF2-40B4-BE49-F238E27FC236}">
              <a16:creationId xmlns:a16="http://schemas.microsoft.com/office/drawing/2014/main" id="{C8D275B3-3EC4-46A5-8B53-EE36335D6A39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543" name="Text Box 1">
          <a:extLst>
            <a:ext uri="{FF2B5EF4-FFF2-40B4-BE49-F238E27FC236}">
              <a16:creationId xmlns:a16="http://schemas.microsoft.com/office/drawing/2014/main" id="{621C9467-CA00-42F3-B4A7-402E3AEB9CE4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544" name="Text Box 1">
          <a:extLst>
            <a:ext uri="{FF2B5EF4-FFF2-40B4-BE49-F238E27FC236}">
              <a16:creationId xmlns:a16="http://schemas.microsoft.com/office/drawing/2014/main" id="{74B09827-839E-4B95-BC36-3828F675A2F8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545" name="Text Box 1">
          <a:extLst>
            <a:ext uri="{FF2B5EF4-FFF2-40B4-BE49-F238E27FC236}">
              <a16:creationId xmlns:a16="http://schemas.microsoft.com/office/drawing/2014/main" id="{DBC7E7F8-4779-4B09-92C2-2FBD2B780E3B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546" name="Text Box 1">
          <a:extLst>
            <a:ext uri="{FF2B5EF4-FFF2-40B4-BE49-F238E27FC236}">
              <a16:creationId xmlns:a16="http://schemas.microsoft.com/office/drawing/2014/main" id="{BA5BC2B2-FE53-40CF-BB5A-4F0D6A6CC257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547" name="Text Box 1">
          <a:extLst>
            <a:ext uri="{FF2B5EF4-FFF2-40B4-BE49-F238E27FC236}">
              <a16:creationId xmlns:a16="http://schemas.microsoft.com/office/drawing/2014/main" id="{7B4F79CF-0726-4104-9B7E-2AB44746EA0C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548" name="Text Box 1">
          <a:extLst>
            <a:ext uri="{FF2B5EF4-FFF2-40B4-BE49-F238E27FC236}">
              <a16:creationId xmlns:a16="http://schemas.microsoft.com/office/drawing/2014/main" id="{0B0C9677-327C-4C6A-B5D7-3418D3BA94A2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549" name="Text Box 1">
          <a:extLst>
            <a:ext uri="{FF2B5EF4-FFF2-40B4-BE49-F238E27FC236}">
              <a16:creationId xmlns:a16="http://schemas.microsoft.com/office/drawing/2014/main" id="{7E14F713-ECBF-4B38-BD1B-D6F354C649A3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550" name="Text Box 1">
          <a:extLst>
            <a:ext uri="{FF2B5EF4-FFF2-40B4-BE49-F238E27FC236}">
              <a16:creationId xmlns:a16="http://schemas.microsoft.com/office/drawing/2014/main" id="{86E10144-9EF6-4E46-AC0D-1F7E0BE0F9B2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551" name="Text Box 1">
          <a:extLst>
            <a:ext uri="{FF2B5EF4-FFF2-40B4-BE49-F238E27FC236}">
              <a16:creationId xmlns:a16="http://schemas.microsoft.com/office/drawing/2014/main" id="{C3A64CF3-EFE1-44FC-8B75-9D08DF7E87A5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552" name="Text Box 1">
          <a:extLst>
            <a:ext uri="{FF2B5EF4-FFF2-40B4-BE49-F238E27FC236}">
              <a16:creationId xmlns:a16="http://schemas.microsoft.com/office/drawing/2014/main" id="{D643031C-8B86-4617-B9B6-3CAD3AF2EC0C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553" name="Text Box 1">
          <a:extLst>
            <a:ext uri="{FF2B5EF4-FFF2-40B4-BE49-F238E27FC236}">
              <a16:creationId xmlns:a16="http://schemas.microsoft.com/office/drawing/2014/main" id="{700DAAB2-0629-417F-911B-D2CFF823B152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554" name="Text Box 1">
          <a:extLst>
            <a:ext uri="{FF2B5EF4-FFF2-40B4-BE49-F238E27FC236}">
              <a16:creationId xmlns:a16="http://schemas.microsoft.com/office/drawing/2014/main" id="{2484980A-D46C-4FB3-B781-61D9490E0B33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555" name="Text Box 1">
          <a:extLst>
            <a:ext uri="{FF2B5EF4-FFF2-40B4-BE49-F238E27FC236}">
              <a16:creationId xmlns:a16="http://schemas.microsoft.com/office/drawing/2014/main" id="{87CDECE1-E7F7-466F-BBC3-B4DA135B971D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556" name="Text Box 1">
          <a:extLst>
            <a:ext uri="{FF2B5EF4-FFF2-40B4-BE49-F238E27FC236}">
              <a16:creationId xmlns:a16="http://schemas.microsoft.com/office/drawing/2014/main" id="{E45ECFFB-DAF9-41A7-A785-3AF955253191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557" name="Text Box 1">
          <a:extLst>
            <a:ext uri="{FF2B5EF4-FFF2-40B4-BE49-F238E27FC236}">
              <a16:creationId xmlns:a16="http://schemas.microsoft.com/office/drawing/2014/main" id="{8324228C-AE61-4792-82E1-5878B28041B9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558" name="Text Box 1">
          <a:extLst>
            <a:ext uri="{FF2B5EF4-FFF2-40B4-BE49-F238E27FC236}">
              <a16:creationId xmlns:a16="http://schemas.microsoft.com/office/drawing/2014/main" id="{3D537FF9-C575-49EA-8AD9-96CD782229C4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559" name="Text Box 1">
          <a:extLst>
            <a:ext uri="{FF2B5EF4-FFF2-40B4-BE49-F238E27FC236}">
              <a16:creationId xmlns:a16="http://schemas.microsoft.com/office/drawing/2014/main" id="{42387E0A-3A31-4EFB-97ED-58CF1CB5A704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560" name="Text Box 1">
          <a:extLst>
            <a:ext uri="{FF2B5EF4-FFF2-40B4-BE49-F238E27FC236}">
              <a16:creationId xmlns:a16="http://schemas.microsoft.com/office/drawing/2014/main" id="{F8449F09-ED93-4634-BFBA-343BD0BF5D77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561" name="Text Box 1">
          <a:extLst>
            <a:ext uri="{FF2B5EF4-FFF2-40B4-BE49-F238E27FC236}">
              <a16:creationId xmlns:a16="http://schemas.microsoft.com/office/drawing/2014/main" id="{281C32F1-1E9A-4032-8EBB-660AA108D1BF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562" name="Text Box 1">
          <a:extLst>
            <a:ext uri="{FF2B5EF4-FFF2-40B4-BE49-F238E27FC236}">
              <a16:creationId xmlns:a16="http://schemas.microsoft.com/office/drawing/2014/main" id="{EE83224D-369C-4ED6-90F3-FC1CA67D004C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563" name="Text Box 1">
          <a:extLst>
            <a:ext uri="{FF2B5EF4-FFF2-40B4-BE49-F238E27FC236}">
              <a16:creationId xmlns:a16="http://schemas.microsoft.com/office/drawing/2014/main" id="{18A6CBDA-CF7F-45A2-A008-BE3C8A934265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564" name="Text Box 1">
          <a:extLst>
            <a:ext uri="{FF2B5EF4-FFF2-40B4-BE49-F238E27FC236}">
              <a16:creationId xmlns:a16="http://schemas.microsoft.com/office/drawing/2014/main" id="{18ED3069-9B4A-4A8E-9198-5FE363970B80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565" name="Text Box 1">
          <a:extLst>
            <a:ext uri="{FF2B5EF4-FFF2-40B4-BE49-F238E27FC236}">
              <a16:creationId xmlns:a16="http://schemas.microsoft.com/office/drawing/2014/main" id="{DAD2CE58-F1E5-4A02-8B85-32B603FCA9E4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566" name="Text Box 1">
          <a:extLst>
            <a:ext uri="{FF2B5EF4-FFF2-40B4-BE49-F238E27FC236}">
              <a16:creationId xmlns:a16="http://schemas.microsoft.com/office/drawing/2014/main" id="{AC771C86-CD5D-4D27-937B-1BA16CB91E49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567" name="Text Box 1">
          <a:extLst>
            <a:ext uri="{FF2B5EF4-FFF2-40B4-BE49-F238E27FC236}">
              <a16:creationId xmlns:a16="http://schemas.microsoft.com/office/drawing/2014/main" id="{0BC9038F-41E5-4764-A43D-A2BB927312A7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568" name="Text Box 1">
          <a:extLst>
            <a:ext uri="{FF2B5EF4-FFF2-40B4-BE49-F238E27FC236}">
              <a16:creationId xmlns:a16="http://schemas.microsoft.com/office/drawing/2014/main" id="{067E1F61-2B99-472A-9E1D-CE5AA57BDF99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569" name="Text Box 1">
          <a:extLst>
            <a:ext uri="{FF2B5EF4-FFF2-40B4-BE49-F238E27FC236}">
              <a16:creationId xmlns:a16="http://schemas.microsoft.com/office/drawing/2014/main" id="{F949AA99-709C-41FF-8B9E-5433851FDE1F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570" name="Text Box 1">
          <a:extLst>
            <a:ext uri="{FF2B5EF4-FFF2-40B4-BE49-F238E27FC236}">
              <a16:creationId xmlns:a16="http://schemas.microsoft.com/office/drawing/2014/main" id="{CDFC83F7-D919-4120-97D1-97390D22098A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571" name="Text Box 1">
          <a:extLst>
            <a:ext uri="{FF2B5EF4-FFF2-40B4-BE49-F238E27FC236}">
              <a16:creationId xmlns:a16="http://schemas.microsoft.com/office/drawing/2014/main" id="{8DEC7BA4-40FF-4D25-997C-A1725C12985B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572" name="Text Box 1">
          <a:extLst>
            <a:ext uri="{FF2B5EF4-FFF2-40B4-BE49-F238E27FC236}">
              <a16:creationId xmlns:a16="http://schemas.microsoft.com/office/drawing/2014/main" id="{7A7D4038-8D30-461B-9266-8E17A5C97BAF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573" name="Text Box 1">
          <a:extLst>
            <a:ext uri="{FF2B5EF4-FFF2-40B4-BE49-F238E27FC236}">
              <a16:creationId xmlns:a16="http://schemas.microsoft.com/office/drawing/2014/main" id="{E4440444-0E28-4A06-B658-51DEABD97833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574" name="Text Box 1">
          <a:extLst>
            <a:ext uri="{FF2B5EF4-FFF2-40B4-BE49-F238E27FC236}">
              <a16:creationId xmlns:a16="http://schemas.microsoft.com/office/drawing/2014/main" id="{73E44F4B-B448-4F7A-9C79-89636961D73A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575" name="Text Box 1">
          <a:extLst>
            <a:ext uri="{FF2B5EF4-FFF2-40B4-BE49-F238E27FC236}">
              <a16:creationId xmlns:a16="http://schemas.microsoft.com/office/drawing/2014/main" id="{F2DDBBCC-03A2-4432-A56D-41E9811E5643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576" name="Text Box 1">
          <a:extLst>
            <a:ext uri="{FF2B5EF4-FFF2-40B4-BE49-F238E27FC236}">
              <a16:creationId xmlns:a16="http://schemas.microsoft.com/office/drawing/2014/main" id="{578BFEC3-7B4E-46A2-A2B9-E524BECFBB51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577" name="Text Box 1">
          <a:extLst>
            <a:ext uri="{FF2B5EF4-FFF2-40B4-BE49-F238E27FC236}">
              <a16:creationId xmlns:a16="http://schemas.microsoft.com/office/drawing/2014/main" id="{C8B3E191-74AA-4E03-831E-1603CF1DDE9B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578" name="Text Box 1">
          <a:extLst>
            <a:ext uri="{FF2B5EF4-FFF2-40B4-BE49-F238E27FC236}">
              <a16:creationId xmlns:a16="http://schemas.microsoft.com/office/drawing/2014/main" id="{F9DF2C79-4017-4B17-9691-79B241DC5652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579" name="Text Box 1">
          <a:extLst>
            <a:ext uri="{FF2B5EF4-FFF2-40B4-BE49-F238E27FC236}">
              <a16:creationId xmlns:a16="http://schemas.microsoft.com/office/drawing/2014/main" id="{8C257E0F-8877-4BFC-B80F-A2AA56A1EC6B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580" name="Text Box 1">
          <a:extLst>
            <a:ext uri="{FF2B5EF4-FFF2-40B4-BE49-F238E27FC236}">
              <a16:creationId xmlns:a16="http://schemas.microsoft.com/office/drawing/2014/main" id="{39C80A47-EA74-4B2E-A497-3CA9C2ACDB01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581" name="Text Box 1">
          <a:extLst>
            <a:ext uri="{FF2B5EF4-FFF2-40B4-BE49-F238E27FC236}">
              <a16:creationId xmlns:a16="http://schemas.microsoft.com/office/drawing/2014/main" id="{523F0320-340F-4921-9934-D92CF8231343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582" name="Text Box 1">
          <a:extLst>
            <a:ext uri="{FF2B5EF4-FFF2-40B4-BE49-F238E27FC236}">
              <a16:creationId xmlns:a16="http://schemas.microsoft.com/office/drawing/2014/main" id="{535C8EFC-E117-4C2C-9364-E49E8261DE14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583" name="Text Box 1">
          <a:extLst>
            <a:ext uri="{FF2B5EF4-FFF2-40B4-BE49-F238E27FC236}">
              <a16:creationId xmlns:a16="http://schemas.microsoft.com/office/drawing/2014/main" id="{39CDA897-AC5E-4B21-889C-3BECB0EAEF6D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584" name="Text Box 1">
          <a:extLst>
            <a:ext uri="{FF2B5EF4-FFF2-40B4-BE49-F238E27FC236}">
              <a16:creationId xmlns:a16="http://schemas.microsoft.com/office/drawing/2014/main" id="{991FA911-E359-4C77-AA42-7E8BA93852E1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585" name="Text Box 1">
          <a:extLst>
            <a:ext uri="{FF2B5EF4-FFF2-40B4-BE49-F238E27FC236}">
              <a16:creationId xmlns:a16="http://schemas.microsoft.com/office/drawing/2014/main" id="{804B3856-6189-403D-8FD0-8F4D7F8249B8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586" name="Text Box 1">
          <a:extLst>
            <a:ext uri="{FF2B5EF4-FFF2-40B4-BE49-F238E27FC236}">
              <a16:creationId xmlns:a16="http://schemas.microsoft.com/office/drawing/2014/main" id="{9B508229-8A76-483D-8946-CAED3C394738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587" name="Text Box 1">
          <a:extLst>
            <a:ext uri="{FF2B5EF4-FFF2-40B4-BE49-F238E27FC236}">
              <a16:creationId xmlns:a16="http://schemas.microsoft.com/office/drawing/2014/main" id="{026C93B9-308F-485A-97FF-56F2BF9A069A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588" name="Text Box 1">
          <a:extLst>
            <a:ext uri="{FF2B5EF4-FFF2-40B4-BE49-F238E27FC236}">
              <a16:creationId xmlns:a16="http://schemas.microsoft.com/office/drawing/2014/main" id="{7BCABC8A-C5A2-4E8E-9DDD-08DA13FCE4F7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589" name="Text Box 1">
          <a:extLst>
            <a:ext uri="{FF2B5EF4-FFF2-40B4-BE49-F238E27FC236}">
              <a16:creationId xmlns:a16="http://schemas.microsoft.com/office/drawing/2014/main" id="{9A8CC150-C9F0-4FE6-A7D9-6CB9C42B7889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590" name="Text Box 1">
          <a:extLst>
            <a:ext uri="{FF2B5EF4-FFF2-40B4-BE49-F238E27FC236}">
              <a16:creationId xmlns:a16="http://schemas.microsoft.com/office/drawing/2014/main" id="{7F1D18FA-DE6A-48F1-8B7E-48EC0856590C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591" name="Text Box 1">
          <a:extLst>
            <a:ext uri="{FF2B5EF4-FFF2-40B4-BE49-F238E27FC236}">
              <a16:creationId xmlns:a16="http://schemas.microsoft.com/office/drawing/2014/main" id="{F30E99FF-0142-4A66-89A2-E008235E9592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592" name="Text Box 1">
          <a:extLst>
            <a:ext uri="{FF2B5EF4-FFF2-40B4-BE49-F238E27FC236}">
              <a16:creationId xmlns:a16="http://schemas.microsoft.com/office/drawing/2014/main" id="{698E9D41-CE30-486E-84A7-537A86CA0C1B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593" name="Text Box 1">
          <a:extLst>
            <a:ext uri="{FF2B5EF4-FFF2-40B4-BE49-F238E27FC236}">
              <a16:creationId xmlns:a16="http://schemas.microsoft.com/office/drawing/2014/main" id="{93D31670-FA59-4D4C-92A3-A10A44D77521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594" name="Text Box 1">
          <a:extLst>
            <a:ext uri="{FF2B5EF4-FFF2-40B4-BE49-F238E27FC236}">
              <a16:creationId xmlns:a16="http://schemas.microsoft.com/office/drawing/2014/main" id="{4362EA87-213F-4D27-8E82-EFFD47C9B1DA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595" name="Text Box 1">
          <a:extLst>
            <a:ext uri="{FF2B5EF4-FFF2-40B4-BE49-F238E27FC236}">
              <a16:creationId xmlns:a16="http://schemas.microsoft.com/office/drawing/2014/main" id="{F61B884D-DE87-4383-A77D-336979D0E155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596" name="Text Box 1">
          <a:extLst>
            <a:ext uri="{FF2B5EF4-FFF2-40B4-BE49-F238E27FC236}">
              <a16:creationId xmlns:a16="http://schemas.microsoft.com/office/drawing/2014/main" id="{6D274AA8-196F-413C-9788-8663588569FE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597" name="Text Box 1">
          <a:extLst>
            <a:ext uri="{FF2B5EF4-FFF2-40B4-BE49-F238E27FC236}">
              <a16:creationId xmlns:a16="http://schemas.microsoft.com/office/drawing/2014/main" id="{DE73E906-DF7D-4505-91B9-6844FE07EF68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598" name="Text Box 1">
          <a:extLst>
            <a:ext uri="{FF2B5EF4-FFF2-40B4-BE49-F238E27FC236}">
              <a16:creationId xmlns:a16="http://schemas.microsoft.com/office/drawing/2014/main" id="{E37C2B39-A773-4E14-9820-E45A74F91791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599" name="Text Box 1">
          <a:extLst>
            <a:ext uri="{FF2B5EF4-FFF2-40B4-BE49-F238E27FC236}">
              <a16:creationId xmlns:a16="http://schemas.microsoft.com/office/drawing/2014/main" id="{1764F765-C77A-446A-A33C-D7DACD0613FB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600" name="Text Box 1">
          <a:extLst>
            <a:ext uri="{FF2B5EF4-FFF2-40B4-BE49-F238E27FC236}">
              <a16:creationId xmlns:a16="http://schemas.microsoft.com/office/drawing/2014/main" id="{64602050-436D-41A4-A949-F822693066FF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601" name="Text Box 1">
          <a:extLst>
            <a:ext uri="{FF2B5EF4-FFF2-40B4-BE49-F238E27FC236}">
              <a16:creationId xmlns:a16="http://schemas.microsoft.com/office/drawing/2014/main" id="{B1A62EB8-D8C7-4A81-B532-6B690E517E3E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602" name="Text Box 1">
          <a:extLst>
            <a:ext uri="{FF2B5EF4-FFF2-40B4-BE49-F238E27FC236}">
              <a16:creationId xmlns:a16="http://schemas.microsoft.com/office/drawing/2014/main" id="{201D3431-84B3-467F-A593-70D5DCB004FE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603" name="Text Box 1">
          <a:extLst>
            <a:ext uri="{FF2B5EF4-FFF2-40B4-BE49-F238E27FC236}">
              <a16:creationId xmlns:a16="http://schemas.microsoft.com/office/drawing/2014/main" id="{EFCF11C2-0DA1-4B9C-950A-1DCC51DA8468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604" name="Text Box 1">
          <a:extLst>
            <a:ext uri="{FF2B5EF4-FFF2-40B4-BE49-F238E27FC236}">
              <a16:creationId xmlns:a16="http://schemas.microsoft.com/office/drawing/2014/main" id="{562EAA04-886F-4310-AEFA-22C961CD6693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605" name="Text Box 1">
          <a:extLst>
            <a:ext uri="{FF2B5EF4-FFF2-40B4-BE49-F238E27FC236}">
              <a16:creationId xmlns:a16="http://schemas.microsoft.com/office/drawing/2014/main" id="{C10FAFD4-61C8-49BB-800D-A299590E1C98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606" name="Text Box 1">
          <a:extLst>
            <a:ext uri="{FF2B5EF4-FFF2-40B4-BE49-F238E27FC236}">
              <a16:creationId xmlns:a16="http://schemas.microsoft.com/office/drawing/2014/main" id="{96FFD2E3-C09F-4E42-90D6-8B2878669ADE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607" name="Text Box 1">
          <a:extLst>
            <a:ext uri="{FF2B5EF4-FFF2-40B4-BE49-F238E27FC236}">
              <a16:creationId xmlns:a16="http://schemas.microsoft.com/office/drawing/2014/main" id="{23D513EA-2456-48FC-A257-1E32B2A43CDA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608" name="Text Box 1">
          <a:extLst>
            <a:ext uri="{FF2B5EF4-FFF2-40B4-BE49-F238E27FC236}">
              <a16:creationId xmlns:a16="http://schemas.microsoft.com/office/drawing/2014/main" id="{6E5A5BF3-BE14-4CD9-A93F-360DDEDE7569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609" name="Text Box 1">
          <a:extLst>
            <a:ext uri="{FF2B5EF4-FFF2-40B4-BE49-F238E27FC236}">
              <a16:creationId xmlns:a16="http://schemas.microsoft.com/office/drawing/2014/main" id="{70037A27-68B3-430D-A1AF-E54C135D9DF1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610" name="Text Box 1">
          <a:extLst>
            <a:ext uri="{FF2B5EF4-FFF2-40B4-BE49-F238E27FC236}">
              <a16:creationId xmlns:a16="http://schemas.microsoft.com/office/drawing/2014/main" id="{6D9A45C9-61D2-401A-A0BE-E37C64D3C513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611" name="Text Box 1">
          <a:extLst>
            <a:ext uri="{FF2B5EF4-FFF2-40B4-BE49-F238E27FC236}">
              <a16:creationId xmlns:a16="http://schemas.microsoft.com/office/drawing/2014/main" id="{B6AE2677-6858-4D65-BFC3-4B00639BC491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612" name="Text Box 1">
          <a:extLst>
            <a:ext uri="{FF2B5EF4-FFF2-40B4-BE49-F238E27FC236}">
              <a16:creationId xmlns:a16="http://schemas.microsoft.com/office/drawing/2014/main" id="{3EEFB609-F915-4DB9-9EC8-DEDF511C1C51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613" name="Text Box 1">
          <a:extLst>
            <a:ext uri="{FF2B5EF4-FFF2-40B4-BE49-F238E27FC236}">
              <a16:creationId xmlns:a16="http://schemas.microsoft.com/office/drawing/2014/main" id="{7CE65A90-788D-4FCC-8B33-6553C54F13CC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614" name="Text Box 1">
          <a:extLst>
            <a:ext uri="{FF2B5EF4-FFF2-40B4-BE49-F238E27FC236}">
              <a16:creationId xmlns:a16="http://schemas.microsoft.com/office/drawing/2014/main" id="{3D04BD1A-ECAF-4A47-9837-F69B57FE853A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615" name="Text Box 1">
          <a:extLst>
            <a:ext uri="{FF2B5EF4-FFF2-40B4-BE49-F238E27FC236}">
              <a16:creationId xmlns:a16="http://schemas.microsoft.com/office/drawing/2014/main" id="{1AB41FF6-3F9F-4283-BA75-3D6874E5B5AE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616" name="Text Box 1">
          <a:extLst>
            <a:ext uri="{FF2B5EF4-FFF2-40B4-BE49-F238E27FC236}">
              <a16:creationId xmlns:a16="http://schemas.microsoft.com/office/drawing/2014/main" id="{FFE6B3BA-EB42-408C-855C-BD7FC2F37C2C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617" name="Text Box 1">
          <a:extLst>
            <a:ext uri="{FF2B5EF4-FFF2-40B4-BE49-F238E27FC236}">
              <a16:creationId xmlns:a16="http://schemas.microsoft.com/office/drawing/2014/main" id="{DB1A8F26-CD8E-4008-80C6-D0801104DB98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618" name="Text Box 1">
          <a:extLst>
            <a:ext uri="{FF2B5EF4-FFF2-40B4-BE49-F238E27FC236}">
              <a16:creationId xmlns:a16="http://schemas.microsoft.com/office/drawing/2014/main" id="{08F04B10-1F2D-4848-A53E-60E82B7D6CDF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619" name="Text Box 1">
          <a:extLst>
            <a:ext uri="{FF2B5EF4-FFF2-40B4-BE49-F238E27FC236}">
              <a16:creationId xmlns:a16="http://schemas.microsoft.com/office/drawing/2014/main" id="{CB74D84C-FE7B-4712-88A4-A53A0A028D57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620" name="Text Box 1">
          <a:extLst>
            <a:ext uri="{FF2B5EF4-FFF2-40B4-BE49-F238E27FC236}">
              <a16:creationId xmlns:a16="http://schemas.microsoft.com/office/drawing/2014/main" id="{A2C7C4AB-9122-4658-A614-2EECEBA97438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621" name="Text Box 1">
          <a:extLst>
            <a:ext uri="{FF2B5EF4-FFF2-40B4-BE49-F238E27FC236}">
              <a16:creationId xmlns:a16="http://schemas.microsoft.com/office/drawing/2014/main" id="{2BC0EBC7-C5E3-4577-96C2-DF6EE54C56C9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622" name="Text Box 1">
          <a:extLst>
            <a:ext uri="{FF2B5EF4-FFF2-40B4-BE49-F238E27FC236}">
              <a16:creationId xmlns:a16="http://schemas.microsoft.com/office/drawing/2014/main" id="{1F9298B4-09BE-497B-8F89-2A3C1932CEA9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623" name="Text Box 1">
          <a:extLst>
            <a:ext uri="{FF2B5EF4-FFF2-40B4-BE49-F238E27FC236}">
              <a16:creationId xmlns:a16="http://schemas.microsoft.com/office/drawing/2014/main" id="{7AE049DD-FF15-4482-8367-6CA9CB738B8C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624" name="Text Box 1">
          <a:extLst>
            <a:ext uri="{FF2B5EF4-FFF2-40B4-BE49-F238E27FC236}">
              <a16:creationId xmlns:a16="http://schemas.microsoft.com/office/drawing/2014/main" id="{E8394EA6-902F-475F-82AE-7694673A54FF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625" name="Text Box 1">
          <a:extLst>
            <a:ext uri="{FF2B5EF4-FFF2-40B4-BE49-F238E27FC236}">
              <a16:creationId xmlns:a16="http://schemas.microsoft.com/office/drawing/2014/main" id="{5CBE4561-FAA4-4B35-BF33-F8CB9B690887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626" name="Text Box 1">
          <a:extLst>
            <a:ext uri="{FF2B5EF4-FFF2-40B4-BE49-F238E27FC236}">
              <a16:creationId xmlns:a16="http://schemas.microsoft.com/office/drawing/2014/main" id="{7372A85C-6CC5-4D34-9C40-FDCC9EDE0DBA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627" name="Text Box 1">
          <a:extLst>
            <a:ext uri="{FF2B5EF4-FFF2-40B4-BE49-F238E27FC236}">
              <a16:creationId xmlns:a16="http://schemas.microsoft.com/office/drawing/2014/main" id="{07C988BC-B3FA-4744-B007-4A76F0EE55E6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628" name="Text Box 1">
          <a:extLst>
            <a:ext uri="{FF2B5EF4-FFF2-40B4-BE49-F238E27FC236}">
              <a16:creationId xmlns:a16="http://schemas.microsoft.com/office/drawing/2014/main" id="{A92FE8ED-5EA8-4968-BDE0-5B1640A330E9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629" name="Text Box 1">
          <a:extLst>
            <a:ext uri="{FF2B5EF4-FFF2-40B4-BE49-F238E27FC236}">
              <a16:creationId xmlns:a16="http://schemas.microsoft.com/office/drawing/2014/main" id="{DDC4D496-3EDB-4B8C-8CE8-771F673F907F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630" name="Text Box 1">
          <a:extLst>
            <a:ext uri="{FF2B5EF4-FFF2-40B4-BE49-F238E27FC236}">
              <a16:creationId xmlns:a16="http://schemas.microsoft.com/office/drawing/2014/main" id="{88F70807-4ACC-4103-B876-50B584074240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631" name="Text Box 1">
          <a:extLst>
            <a:ext uri="{FF2B5EF4-FFF2-40B4-BE49-F238E27FC236}">
              <a16:creationId xmlns:a16="http://schemas.microsoft.com/office/drawing/2014/main" id="{6073CAEC-5CE1-4FDE-851E-954731B1BA8A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632" name="Text Box 1">
          <a:extLst>
            <a:ext uri="{FF2B5EF4-FFF2-40B4-BE49-F238E27FC236}">
              <a16:creationId xmlns:a16="http://schemas.microsoft.com/office/drawing/2014/main" id="{5BE06C10-0BB0-47C0-A980-4EF45D2EFEAD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633" name="Text Box 1">
          <a:extLst>
            <a:ext uri="{FF2B5EF4-FFF2-40B4-BE49-F238E27FC236}">
              <a16:creationId xmlns:a16="http://schemas.microsoft.com/office/drawing/2014/main" id="{A1A1ED82-2860-403D-A36A-0517B9EB62D5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634" name="Text Box 1">
          <a:extLst>
            <a:ext uri="{FF2B5EF4-FFF2-40B4-BE49-F238E27FC236}">
              <a16:creationId xmlns:a16="http://schemas.microsoft.com/office/drawing/2014/main" id="{AADE8449-13C1-40DD-A044-6041C02D86EA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635" name="Text Box 1">
          <a:extLst>
            <a:ext uri="{FF2B5EF4-FFF2-40B4-BE49-F238E27FC236}">
              <a16:creationId xmlns:a16="http://schemas.microsoft.com/office/drawing/2014/main" id="{B50D7C30-A56E-4D34-A672-2D9311E9BE5C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636" name="Text Box 1">
          <a:extLst>
            <a:ext uri="{FF2B5EF4-FFF2-40B4-BE49-F238E27FC236}">
              <a16:creationId xmlns:a16="http://schemas.microsoft.com/office/drawing/2014/main" id="{2DF9BF82-A8D8-4C8C-8BC0-2C30A597DF12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637" name="Text Box 1">
          <a:extLst>
            <a:ext uri="{FF2B5EF4-FFF2-40B4-BE49-F238E27FC236}">
              <a16:creationId xmlns:a16="http://schemas.microsoft.com/office/drawing/2014/main" id="{ED63467C-9BFB-4643-BFAC-D499FBB36849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638" name="Text Box 1">
          <a:extLst>
            <a:ext uri="{FF2B5EF4-FFF2-40B4-BE49-F238E27FC236}">
              <a16:creationId xmlns:a16="http://schemas.microsoft.com/office/drawing/2014/main" id="{59714645-25CD-4A57-9111-69D2B54294CC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639" name="Text Box 1">
          <a:extLst>
            <a:ext uri="{FF2B5EF4-FFF2-40B4-BE49-F238E27FC236}">
              <a16:creationId xmlns:a16="http://schemas.microsoft.com/office/drawing/2014/main" id="{CE085758-FF38-4F5A-915D-D13E385D9166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640" name="Text Box 1">
          <a:extLst>
            <a:ext uri="{FF2B5EF4-FFF2-40B4-BE49-F238E27FC236}">
              <a16:creationId xmlns:a16="http://schemas.microsoft.com/office/drawing/2014/main" id="{C0F3BD84-DEA8-48C4-9F48-3C264665CF4F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641" name="Text Box 1">
          <a:extLst>
            <a:ext uri="{FF2B5EF4-FFF2-40B4-BE49-F238E27FC236}">
              <a16:creationId xmlns:a16="http://schemas.microsoft.com/office/drawing/2014/main" id="{AFEF4EDA-41CB-49D0-A507-E6428ED7DA5A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642" name="Text Box 1">
          <a:extLst>
            <a:ext uri="{FF2B5EF4-FFF2-40B4-BE49-F238E27FC236}">
              <a16:creationId xmlns:a16="http://schemas.microsoft.com/office/drawing/2014/main" id="{6171481D-67CC-4AE5-A096-FB132B1F9015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643" name="Text Box 1">
          <a:extLst>
            <a:ext uri="{FF2B5EF4-FFF2-40B4-BE49-F238E27FC236}">
              <a16:creationId xmlns:a16="http://schemas.microsoft.com/office/drawing/2014/main" id="{40F10722-EB49-41B4-B860-4E89D0422A4E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644" name="Text Box 1">
          <a:extLst>
            <a:ext uri="{FF2B5EF4-FFF2-40B4-BE49-F238E27FC236}">
              <a16:creationId xmlns:a16="http://schemas.microsoft.com/office/drawing/2014/main" id="{AEDC1541-85D2-49AA-B0CE-675AE70F5FD5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645" name="Text Box 1">
          <a:extLst>
            <a:ext uri="{FF2B5EF4-FFF2-40B4-BE49-F238E27FC236}">
              <a16:creationId xmlns:a16="http://schemas.microsoft.com/office/drawing/2014/main" id="{E495BAC7-8253-4C08-ADFB-FA44C3BE5DB5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646" name="Text Box 1">
          <a:extLst>
            <a:ext uri="{FF2B5EF4-FFF2-40B4-BE49-F238E27FC236}">
              <a16:creationId xmlns:a16="http://schemas.microsoft.com/office/drawing/2014/main" id="{F8AC6009-F329-4163-9181-8AD5836A51FA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647" name="Text Box 1">
          <a:extLst>
            <a:ext uri="{FF2B5EF4-FFF2-40B4-BE49-F238E27FC236}">
              <a16:creationId xmlns:a16="http://schemas.microsoft.com/office/drawing/2014/main" id="{1049C079-3894-457B-A510-FA02784F397A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648" name="Text Box 1">
          <a:extLst>
            <a:ext uri="{FF2B5EF4-FFF2-40B4-BE49-F238E27FC236}">
              <a16:creationId xmlns:a16="http://schemas.microsoft.com/office/drawing/2014/main" id="{D3F1C57D-0120-4CB7-8D1C-8D638AFC2601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649" name="Text Box 1">
          <a:extLst>
            <a:ext uri="{FF2B5EF4-FFF2-40B4-BE49-F238E27FC236}">
              <a16:creationId xmlns:a16="http://schemas.microsoft.com/office/drawing/2014/main" id="{7803B54D-36A9-4863-9C7B-4F71ABDFD4A8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650" name="Text Box 1">
          <a:extLst>
            <a:ext uri="{FF2B5EF4-FFF2-40B4-BE49-F238E27FC236}">
              <a16:creationId xmlns:a16="http://schemas.microsoft.com/office/drawing/2014/main" id="{00BCB80E-BB9E-4843-9BB6-167B1D5CD763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651" name="Text Box 1">
          <a:extLst>
            <a:ext uri="{FF2B5EF4-FFF2-40B4-BE49-F238E27FC236}">
              <a16:creationId xmlns:a16="http://schemas.microsoft.com/office/drawing/2014/main" id="{D812FD06-C112-450F-B2C6-0AB44EACA624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652" name="Text Box 1">
          <a:extLst>
            <a:ext uri="{FF2B5EF4-FFF2-40B4-BE49-F238E27FC236}">
              <a16:creationId xmlns:a16="http://schemas.microsoft.com/office/drawing/2014/main" id="{30B9094A-0850-474D-A58A-91545BAE5A96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653" name="Text Box 1">
          <a:extLst>
            <a:ext uri="{FF2B5EF4-FFF2-40B4-BE49-F238E27FC236}">
              <a16:creationId xmlns:a16="http://schemas.microsoft.com/office/drawing/2014/main" id="{2CDAAFE4-C489-4646-A4E9-99B12F5309DA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654" name="Text Box 1">
          <a:extLst>
            <a:ext uri="{FF2B5EF4-FFF2-40B4-BE49-F238E27FC236}">
              <a16:creationId xmlns:a16="http://schemas.microsoft.com/office/drawing/2014/main" id="{475DBB58-1C06-4FD3-928E-3FB1813A44EB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655" name="Text Box 1">
          <a:extLst>
            <a:ext uri="{FF2B5EF4-FFF2-40B4-BE49-F238E27FC236}">
              <a16:creationId xmlns:a16="http://schemas.microsoft.com/office/drawing/2014/main" id="{CAD9A828-F69B-4821-BA69-E2B9A9D7DF33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656" name="Text Box 1">
          <a:extLst>
            <a:ext uri="{FF2B5EF4-FFF2-40B4-BE49-F238E27FC236}">
              <a16:creationId xmlns:a16="http://schemas.microsoft.com/office/drawing/2014/main" id="{1AD1B6FC-E971-4F6D-9A5F-DAEACF707961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657" name="Text Box 1">
          <a:extLst>
            <a:ext uri="{FF2B5EF4-FFF2-40B4-BE49-F238E27FC236}">
              <a16:creationId xmlns:a16="http://schemas.microsoft.com/office/drawing/2014/main" id="{E10DB089-678E-4BDF-802A-8455EC86AACF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658" name="Text Box 1">
          <a:extLst>
            <a:ext uri="{FF2B5EF4-FFF2-40B4-BE49-F238E27FC236}">
              <a16:creationId xmlns:a16="http://schemas.microsoft.com/office/drawing/2014/main" id="{CE572DBD-CA0A-40ED-B771-A20569D43A2B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659" name="Text Box 1">
          <a:extLst>
            <a:ext uri="{FF2B5EF4-FFF2-40B4-BE49-F238E27FC236}">
              <a16:creationId xmlns:a16="http://schemas.microsoft.com/office/drawing/2014/main" id="{0BE8F3F0-4F81-4054-95E5-C7CCE1F3D67F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660" name="Text Box 1">
          <a:extLst>
            <a:ext uri="{FF2B5EF4-FFF2-40B4-BE49-F238E27FC236}">
              <a16:creationId xmlns:a16="http://schemas.microsoft.com/office/drawing/2014/main" id="{3E70BE32-86F4-4FCE-A655-457EEE78E24B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661" name="Text Box 1">
          <a:extLst>
            <a:ext uri="{FF2B5EF4-FFF2-40B4-BE49-F238E27FC236}">
              <a16:creationId xmlns:a16="http://schemas.microsoft.com/office/drawing/2014/main" id="{6F74041C-B530-431E-8122-1F4FBFD82EB1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662" name="Text Box 1">
          <a:extLst>
            <a:ext uri="{FF2B5EF4-FFF2-40B4-BE49-F238E27FC236}">
              <a16:creationId xmlns:a16="http://schemas.microsoft.com/office/drawing/2014/main" id="{31AC8203-F29E-4491-8070-6CEBC65D9F35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663" name="Text Box 1">
          <a:extLst>
            <a:ext uri="{FF2B5EF4-FFF2-40B4-BE49-F238E27FC236}">
              <a16:creationId xmlns:a16="http://schemas.microsoft.com/office/drawing/2014/main" id="{DD465547-8D8B-46B1-9C9A-7FEEA65FC515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664" name="Text Box 1">
          <a:extLst>
            <a:ext uri="{FF2B5EF4-FFF2-40B4-BE49-F238E27FC236}">
              <a16:creationId xmlns:a16="http://schemas.microsoft.com/office/drawing/2014/main" id="{C945D6F6-E35F-456C-A76C-7568B90F553B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665" name="Text Box 1">
          <a:extLst>
            <a:ext uri="{FF2B5EF4-FFF2-40B4-BE49-F238E27FC236}">
              <a16:creationId xmlns:a16="http://schemas.microsoft.com/office/drawing/2014/main" id="{32E3500E-6736-4134-AA39-8484CAC102AB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666" name="Text Box 1">
          <a:extLst>
            <a:ext uri="{FF2B5EF4-FFF2-40B4-BE49-F238E27FC236}">
              <a16:creationId xmlns:a16="http://schemas.microsoft.com/office/drawing/2014/main" id="{416E6D63-BA78-4A44-A8ED-CEF6C5E913F7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667" name="Text Box 1">
          <a:extLst>
            <a:ext uri="{FF2B5EF4-FFF2-40B4-BE49-F238E27FC236}">
              <a16:creationId xmlns:a16="http://schemas.microsoft.com/office/drawing/2014/main" id="{4D2EC72C-0E45-42C4-AF0D-7503788D7B02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668" name="Text Box 1">
          <a:extLst>
            <a:ext uri="{FF2B5EF4-FFF2-40B4-BE49-F238E27FC236}">
              <a16:creationId xmlns:a16="http://schemas.microsoft.com/office/drawing/2014/main" id="{E572E226-DCF0-4B43-964E-0663B8FBE68C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669" name="Text Box 1">
          <a:extLst>
            <a:ext uri="{FF2B5EF4-FFF2-40B4-BE49-F238E27FC236}">
              <a16:creationId xmlns:a16="http://schemas.microsoft.com/office/drawing/2014/main" id="{0328AF10-98B5-4D48-893C-2BD472059280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670" name="Text Box 1">
          <a:extLst>
            <a:ext uri="{FF2B5EF4-FFF2-40B4-BE49-F238E27FC236}">
              <a16:creationId xmlns:a16="http://schemas.microsoft.com/office/drawing/2014/main" id="{24D00E74-E3FF-462D-8EC2-8DD9F832E90C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671" name="Text Box 1">
          <a:extLst>
            <a:ext uri="{FF2B5EF4-FFF2-40B4-BE49-F238E27FC236}">
              <a16:creationId xmlns:a16="http://schemas.microsoft.com/office/drawing/2014/main" id="{4DE82B70-0C7A-4866-8949-DCC1FEF42207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672" name="Text Box 1">
          <a:extLst>
            <a:ext uri="{FF2B5EF4-FFF2-40B4-BE49-F238E27FC236}">
              <a16:creationId xmlns:a16="http://schemas.microsoft.com/office/drawing/2014/main" id="{FF1A5EEC-2208-4C71-B3F6-4F854975B71D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673" name="Text Box 1">
          <a:extLst>
            <a:ext uri="{FF2B5EF4-FFF2-40B4-BE49-F238E27FC236}">
              <a16:creationId xmlns:a16="http://schemas.microsoft.com/office/drawing/2014/main" id="{05005A41-F9F9-48D7-AD64-83706CC74363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674" name="Text Box 1">
          <a:extLst>
            <a:ext uri="{FF2B5EF4-FFF2-40B4-BE49-F238E27FC236}">
              <a16:creationId xmlns:a16="http://schemas.microsoft.com/office/drawing/2014/main" id="{62A2C07F-4CAA-4585-B221-25AAC2CE21F6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675" name="Text Box 1">
          <a:extLst>
            <a:ext uri="{FF2B5EF4-FFF2-40B4-BE49-F238E27FC236}">
              <a16:creationId xmlns:a16="http://schemas.microsoft.com/office/drawing/2014/main" id="{74217928-E4AD-4BF1-ACF2-D292588CFDA9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676" name="Text Box 1">
          <a:extLst>
            <a:ext uri="{FF2B5EF4-FFF2-40B4-BE49-F238E27FC236}">
              <a16:creationId xmlns:a16="http://schemas.microsoft.com/office/drawing/2014/main" id="{E4893C17-A76D-4FC5-B4F9-C542209CB38D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677" name="Text Box 1">
          <a:extLst>
            <a:ext uri="{FF2B5EF4-FFF2-40B4-BE49-F238E27FC236}">
              <a16:creationId xmlns:a16="http://schemas.microsoft.com/office/drawing/2014/main" id="{3E07450F-9F18-4683-A37A-54215A0120B9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678" name="Text Box 1">
          <a:extLst>
            <a:ext uri="{FF2B5EF4-FFF2-40B4-BE49-F238E27FC236}">
              <a16:creationId xmlns:a16="http://schemas.microsoft.com/office/drawing/2014/main" id="{544D3BE0-5E0A-41A1-BD77-B6EB198C0F42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679" name="Text Box 1">
          <a:extLst>
            <a:ext uri="{FF2B5EF4-FFF2-40B4-BE49-F238E27FC236}">
              <a16:creationId xmlns:a16="http://schemas.microsoft.com/office/drawing/2014/main" id="{C374F9F1-F908-444B-8F6D-B984909AA030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680" name="Text Box 1">
          <a:extLst>
            <a:ext uri="{FF2B5EF4-FFF2-40B4-BE49-F238E27FC236}">
              <a16:creationId xmlns:a16="http://schemas.microsoft.com/office/drawing/2014/main" id="{BD5A9531-A898-421E-884D-455B8C969F2C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681" name="Text Box 1">
          <a:extLst>
            <a:ext uri="{FF2B5EF4-FFF2-40B4-BE49-F238E27FC236}">
              <a16:creationId xmlns:a16="http://schemas.microsoft.com/office/drawing/2014/main" id="{2AC03F62-2167-4613-B536-24C9A6703190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682" name="Text Box 1">
          <a:extLst>
            <a:ext uri="{FF2B5EF4-FFF2-40B4-BE49-F238E27FC236}">
              <a16:creationId xmlns:a16="http://schemas.microsoft.com/office/drawing/2014/main" id="{DC7BB4B2-20DA-4EB4-BF05-93E2283B59EC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683" name="Text Box 1">
          <a:extLst>
            <a:ext uri="{FF2B5EF4-FFF2-40B4-BE49-F238E27FC236}">
              <a16:creationId xmlns:a16="http://schemas.microsoft.com/office/drawing/2014/main" id="{758EE82B-A1AB-4F6A-A77A-5F904F6F2927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684" name="Text Box 1">
          <a:extLst>
            <a:ext uri="{FF2B5EF4-FFF2-40B4-BE49-F238E27FC236}">
              <a16:creationId xmlns:a16="http://schemas.microsoft.com/office/drawing/2014/main" id="{328A43E4-365C-425F-B211-1105B79E1605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685" name="Text Box 1">
          <a:extLst>
            <a:ext uri="{FF2B5EF4-FFF2-40B4-BE49-F238E27FC236}">
              <a16:creationId xmlns:a16="http://schemas.microsoft.com/office/drawing/2014/main" id="{2F5E1E80-9069-418C-B0C9-302ECC5B29FE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686" name="Text Box 1">
          <a:extLst>
            <a:ext uri="{FF2B5EF4-FFF2-40B4-BE49-F238E27FC236}">
              <a16:creationId xmlns:a16="http://schemas.microsoft.com/office/drawing/2014/main" id="{14BE2FA3-0778-4EFF-86C5-42ECFD508C3B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687" name="Text Box 1">
          <a:extLst>
            <a:ext uri="{FF2B5EF4-FFF2-40B4-BE49-F238E27FC236}">
              <a16:creationId xmlns:a16="http://schemas.microsoft.com/office/drawing/2014/main" id="{4EC29A9F-BFF5-45EF-8C8F-CD0A0D674767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688" name="Text Box 1">
          <a:extLst>
            <a:ext uri="{FF2B5EF4-FFF2-40B4-BE49-F238E27FC236}">
              <a16:creationId xmlns:a16="http://schemas.microsoft.com/office/drawing/2014/main" id="{5B4AA6CB-A675-4832-AD8F-01F5A77EF814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689" name="Text Box 1">
          <a:extLst>
            <a:ext uri="{FF2B5EF4-FFF2-40B4-BE49-F238E27FC236}">
              <a16:creationId xmlns:a16="http://schemas.microsoft.com/office/drawing/2014/main" id="{21328913-A0C0-4F09-A10C-C3534E227E03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690" name="Text Box 1">
          <a:extLst>
            <a:ext uri="{FF2B5EF4-FFF2-40B4-BE49-F238E27FC236}">
              <a16:creationId xmlns:a16="http://schemas.microsoft.com/office/drawing/2014/main" id="{F65A6A1B-A08A-4816-8DC1-CCED90A41108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691" name="Text Box 1">
          <a:extLst>
            <a:ext uri="{FF2B5EF4-FFF2-40B4-BE49-F238E27FC236}">
              <a16:creationId xmlns:a16="http://schemas.microsoft.com/office/drawing/2014/main" id="{1F5819B0-9B0F-4E60-8C95-FE3E114AF595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692" name="Text Box 1">
          <a:extLst>
            <a:ext uri="{FF2B5EF4-FFF2-40B4-BE49-F238E27FC236}">
              <a16:creationId xmlns:a16="http://schemas.microsoft.com/office/drawing/2014/main" id="{BCEEB97D-8166-4757-AFC2-647C4F202F28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693" name="Text Box 1">
          <a:extLst>
            <a:ext uri="{FF2B5EF4-FFF2-40B4-BE49-F238E27FC236}">
              <a16:creationId xmlns:a16="http://schemas.microsoft.com/office/drawing/2014/main" id="{12C4BB85-D1CA-4A70-AB73-692654AAEB81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694" name="Text Box 1">
          <a:extLst>
            <a:ext uri="{FF2B5EF4-FFF2-40B4-BE49-F238E27FC236}">
              <a16:creationId xmlns:a16="http://schemas.microsoft.com/office/drawing/2014/main" id="{98EDFE1D-EC9B-4D4E-B14F-FA4485BDE913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695" name="Text Box 1">
          <a:extLst>
            <a:ext uri="{FF2B5EF4-FFF2-40B4-BE49-F238E27FC236}">
              <a16:creationId xmlns:a16="http://schemas.microsoft.com/office/drawing/2014/main" id="{75750BDF-967E-4F79-9E7F-71CF9335CE98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696" name="Text Box 1">
          <a:extLst>
            <a:ext uri="{FF2B5EF4-FFF2-40B4-BE49-F238E27FC236}">
              <a16:creationId xmlns:a16="http://schemas.microsoft.com/office/drawing/2014/main" id="{20D5EDDC-46A7-43C9-B075-E7B5E74BA992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697" name="Text Box 1">
          <a:extLst>
            <a:ext uri="{FF2B5EF4-FFF2-40B4-BE49-F238E27FC236}">
              <a16:creationId xmlns:a16="http://schemas.microsoft.com/office/drawing/2014/main" id="{14DC7FEF-ABA0-4ED1-B705-8E40B33291F2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698" name="Text Box 1">
          <a:extLst>
            <a:ext uri="{FF2B5EF4-FFF2-40B4-BE49-F238E27FC236}">
              <a16:creationId xmlns:a16="http://schemas.microsoft.com/office/drawing/2014/main" id="{48823BE9-DACC-44E2-9A8E-5373105BB052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699" name="Text Box 1">
          <a:extLst>
            <a:ext uri="{FF2B5EF4-FFF2-40B4-BE49-F238E27FC236}">
              <a16:creationId xmlns:a16="http://schemas.microsoft.com/office/drawing/2014/main" id="{1C6D602A-F728-4E0D-A557-3C8C6FB51BC4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700" name="Text Box 1">
          <a:extLst>
            <a:ext uri="{FF2B5EF4-FFF2-40B4-BE49-F238E27FC236}">
              <a16:creationId xmlns:a16="http://schemas.microsoft.com/office/drawing/2014/main" id="{1A6D433B-BEDF-4097-AAC8-552F846B53C8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701" name="Text Box 1">
          <a:extLst>
            <a:ext uri="{FF2B5EF4-FFF2-40B4-BE49-F238E27FC236}">
              <a16:creationId xmlns:a16="http://schemas.microsoft.com/office/drawing/2014/main" id="{E26F5D2E-13CF-481D-B173-981D3F1B1F3E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702" name="Text Box 1">
          <a:extLst>
            <a:ext uri="{FF2B5EF4-FFF2-40B4-BE49-F238E27FC236}">
              <a16:creationId xmlns:a16="http://schemas.microsoft.com/office/drawing/2014/main" id="{E3089B18-FBF9-432F-A6EB-9AB73157341A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703" name="Text Box 1">
          <a:extLst>
            <a:ext uri="{FF2B5EF4-FFF2-40B4-BE49-F238E27FC236}">
              <a16:creationId xmlns:a16="http://schemas.microsoft.com/office/drawing/2014/main" id="{69DCB9D3-E02C-4912-A1E2-E6D486CE1D49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704" name="Text Box 1">
          <a:extLst>
            <a:ext uri="{FF2B5EF4-FFF2-40B4-BE49-F238E27FC236}">
              <a16:creationId xmlns:a16="http://schemas.microsoft.com/office/drawing/2014/main" id="{357F499E-4F67-451B-8C4F-450C90E6EE5E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705" name="Text Box 1">
          <a:extLst>
            <a:ext uri="{FF2B5EF4-FFF2-40B4-BE49-F238E27FC236}">
              <a16:creationId xmlns:a16="http://schemas.microsoft.com/office/drawing/2014/main" id="{43AA9CC2-3C9C-485A-ACEA-0F80B4901120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706" name="Text Box 1">
          <a:extLst>
            <a:ext uri="{FF2B5EF4-FFF2-40B4-BE49-F238E27FC236}">
              <a16:creationId xmlns:a16="http://schemas.microsoft.com/office/drawing/2014/main" id="{52B50A5E-1E26-45B2-84DB-37E3B5EA7149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707" name="Text Box 1">
          <a:extLst>
            <a:ext uri="{FF2B5EF4-FFF2-40B4-BE49-F238E27FC236}">
              <a16:creationId xmlns:a16="http://schemas.microsoft.com/office/drawing/2014/main" id="{848B15D2-4EF8-4A0D-9951-EE0D1941FC20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708" name="Text Box 1">
          <a:extLst>
            <a:ext uri="{FF2B5EF4-FFF2-40B4-BE49-F238E27FC236}">
              <a16:creationId xmlns:a16="http://schemas.microsoft.com/office/drawing/2014/main" id="{E3B55982-7E00-454D-9B9A-6E94514EA0A0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709" name="Text Box 1">
          <a:extLst>
            <a:ext uri="{FF2B5EF4-FFF2-40B4-BE49-F238E27FC236}">
              <a16:creationId xmlns:a16="http://schemas.microsoft.com/office/drawing/2014/main" id="{F3B92120-4DFE-42E3-8152-2712286D50B6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710" name="Text Box 1">
          <a:extLst>
            <a:ext uri="{FF2B5EF4-FFF2-40B4-BE49-F238E27FC236}">
              <a16:creationId xmlns:a16="http://schemas.microsoft.com/office/drawing/2014/main" id="{06D19208-6FC4-48E0-9DEE-84E58EE13720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711" name="Text Box 1">
          <a:extLst>
            <a:ext uri="{FF2B5EF4-FFF2-40B4-BE49-F238E27FC236}">
              <a16:creationId xmlns:a16="http://schemas.microsoft.com/office/drawing/2014/main" id="{C0D7FCD9-8D24-4C7D-B2D6-DA7A8A37C9E1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712" name="Text Box 1">
          <a:extLst>
            <a:ext uri="{FF2B5EF4-FFF2-40B4-BE49-F238E27FC236}">
              <a16:creationId xmlns:a16="http://schemas.microsoft.com/office/drawing/2014/main" id="{1ACE5B42-30A4-440E-8AC1-EA6D255CA77B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713" name="Text Box 1">
          <a:extLst>
            <a:ext uri="{FF2B5EF4-FFF2-40B4-BE49-F238E27FC236}">
              <a16:creationId xmlns:a16="http://schemas.microsoft.com/office/drawing/2014/main" id="{FAB25BF2-8ED3-4232-8BD3-EB858715BB09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714" name="Text Box 1">
          <a:extLst>
            <a:ext uri="{FF2B5EF4-FFF2-40B4-BE49-F238E27FC236}">
              <a16:creationId xmlns:a16="http://schemas.microsoft.com/office/drawing/2014/main" id="{FDB5C143-E0F9-4735-98F5-64B6D705214B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715" name="Text Box 1">
          <a:extLst>
            <a:ext uri="{FF2B5EF4-FFF2-40B4-BE49-F238E27FC236}">
              <a16:creationId xmlns:a16="http://schemas.microsoft.com/office/drawing/2014/main" id="{EDB84221-0E42-4179-8419-D38A20E7FC45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716" name="Text Box 1">
          <a:extLst>
            <a:ext uri="{FF2B5EF4-FFF2-40B4-BE49-F238E27FC236}">
              <a16:creationId xmlns:a16="http://schemas.microsoft.com/office/drawing/2014/main" id="{1CEA8BC5-3BEA-4A0E-B068-BF79C0C2C201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717" name="Text Box 1">
          <a:extLst>
            <a:ext uri="{FF2B5EF4-FFF2-40B4-BE49-F238E27FC236}">
              <a16:creationId xmlns:a16="http://schemas.microsoft.com/office/drawing/2014/main" id="{2E5418A6-9A0D-46BC-9830-142319591C60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718" name="Text Box 1">
          <a:extLst>
            <a:ext uri="{FF2B5EF4-FFF2-40B4-BE49-F238E27FC236}">
              <a16:creationId xmlns:a16="http://schemas.microsoft.com/office/drawing/2014/main" id="{65C5880D-51B9-44EA-832D-B80559606A4A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719" name="Text Box 1">
          <a:extLst>
            <a:ext uri="{FF2B5EF4-FFF2-40B4-BE49-F238E27FC236}">
              <a16:creationId xmlns:a16="http://schemas.microsoft.com/office/drawing/2014/main" id="{FEE0B771-C732-4214-AD83-DF614E9F9ADF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720" name="Text Box 1">
          <a:extLst>
            <a:ext uri="{FF2B5EF4-FFF2-40B4-BE49-F238E27FC236}">
              <a16:creationId xmlns:a16="http://schemas.microsoft.com/office/drawing/2014/main" id="{F2F13D89-1126-4107-A3DF-0156D563DE59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721" name="Text Box 1">
          <a:extLst>
            <a:ext uri="{FF2B5EF4-FFF2-40B4-BE49-F238E27FC236}">
              <a16:creationId xmlns:a16="http://schemas.microsoft.com/office/drawing/2014/main" id="{69682460-D8CB-4375-BC28-CEA7F078D453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722" name="Text Box 1">
          <a:extLst>
            <a:ext uri="{FF2B5EF4-FFF2-40B4-BE49-F238E27FC236}">
              <a16:creationId xmlns:a16="http://schemas.microsoft.com/office/drawing/2014/main" id="{6B4A866F-F89C-4D6B-B5E5-2D090398616B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723" name="Text Box 1">
          <a:extLst>
            <a:ext uri="{FF2B5EF4-FFF2-40B4-BE49-F238E27FC236}">
              <a16:creationId xmlns:a16="http://schemas.microsoft.com/office/drawing/2014/main" id="{3EE5248C-894A-4E3D-A3A1-52E85A792752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724" name="Text Box 1">
          <a:extLst>
            <a:ext uri="{FF2B5EF4-FFF2-40B4-BE49-F238E27FC236}">
              <a16:creationId xmlns:a16="http://schemas.microsoft.com/office/drawing/2014/main" id="{D643215F-472E-4F05-ABEA-1052137C1E10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725" name="Text Box 1">
          <a:extLst>
            <a:ext uri="{FF2B5EF4-FFF2-40B4-BE49-F238E27FC236}">
              <a16:creationId xmlns:a16="http://schemas.microsoft.com/office/drawing/2014/main" id="{292B271E-BC05-48FA-B682-1F8DC06C62DA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726" name="Text Box 1">
          <a:extLst>
            <a:ext uri="{FF2B5EF4-FFF2-40B4-BE49-F238E27FC236}">
              <a16:creationId xmlns:a16="http://schemas.microsoft.com/office/drawing/2014/main" id="{596BF291-E628-434A-BAFF-1028B53456DA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727" name="Text Box 1">
          <a:extLst>
            <a:ext uri="{FF2B5EF4-FFF2-40B4-BE49-F238E27FC236}">
              <a16:creationId xmlns:a16="http://schemas.microsoft.com/office/drawing/2014/main" id="{689C1973-98C1-4169-974D-FBD0566254EF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728" name="Text Box 1">
          <a:extLst>
            <a:ext uri="{FF2B5EF4-FFF2-40B4-BE49-F238E27FC236}">
              <a16:creationId xmlns:a16="http://schemas.microsoft.com/office/drawing/2014/main" id="{8571546E-AD7C-4B36-89E6-BE68EFA7B6D3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729" name="Text Box 1">
          <a:extLst>
            <a:ext uri="{FF2B5EF4-FFF2-40B4-BE49-F238E27FC236}">
              <a16:creationId xmlns:a16="http://schemas.microsoft.com/office/drawing/2014/main" id="{A470B5E0-7711-4023-887C-AF77E970FC52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730" name="Text Box 1">
          <a:extLst>
            <a:ext uri="{FF2B5EF4-FFF2-40B4-BE49-F238E27FC236}">
              <a16:creationId xmlns:a16="http://schemas.microsoft.com/office/drawing/2014/main" id="{08F8807B-2F64-4731-ADE7-26867BF47F71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731" name="Text Box 1">
          <a:extLst>
            <a:ext uri="{FF2B5EF4-FFF2-40B4-BE49-F238E27FC236}">
              <a16:creationId xmlns:a16="http://schemas.microsoft.com/office/drawing/2014/main" id="{6B9808B6-475C-42BC-9365-218CC638C517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732" name="Text Box 1">
          <a:extLst>
            <a:ext uri="{FF2B5EF4-FFF2-40B4-BE49-F238E27FC236}">
              <a16:creationId xmlns:a16="http://schemas.microsoft.com/office/drawing/2014/main" id="{C2BAD0C4-7346-4F9C-ABF1-4928D0A971C1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733" name="Text Box 1">
          <a:extLst>
            <a:ext uri="{FF2B5EF4-FFF2-40B4-BE49-F238E27FC236}">
              <a16:creationId xmlns:a16="http://schemas.microsoft.com/office/drawing/2014/main" id="{2209101F-4FB4-469A-A979-DEAABEB77389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734" name="Text Box 1">
          <a:extLst>
            <a:ext uri="{FF2B5EF4-FFF2-40B4-BE49-F238E27FC236}">
              <a16:creationId xmlns:a16="http://schemas.microsoft.com/office/drawing/2014/main" id="{E5010BE5-8E09-4561-BCF9-F64F635BDE24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735" name="Text Box 1">
          <a:extLst>
            <a:ext uri="{FF2B5EF4-FFF2-40B4-BE49-F238E27FC236}">
              <a16:creationId xmlns:a16="http://schemas.microsoft.com/office/drawing/2014/main" id="{2058EAF1-7FFB-4B11-B18B-E83271B75219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736" name="Text Box 1">
          <a:extLst>
            <a:ext uri="{FF2B5EF4-FFF2-40B4-BE49-F238E27FC236}">
              <a16:creationId xmlns:a16="http://schemas.microsoft.com/office/drawing/2014/main" id="{903DEB50-9D8A-4E87-BA25-6D94B8CDA9E9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737" name="Text Box 1">
          <a:extLst>
            <a:ext uri="{FF2B5EF4-FFF2-40B4-BE49-F238E27FC236}">
              <a16:creationId xmlns:a16="http://schemas.microsoft.com/office/drawing/2014/main" id="{F633408C-6A83-4EDE-9B79-4F057135281D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0</xdr:colOff>
      <xdr:row>48</xdr:row>
      <xdr:rowOff>0</xdr:rowOff>
    </xdr:from>
    <xdr:ext cx="247650" cy="85725"/>
    <xdr:sp macro="" textlink="">
      <xdr:nvSpPr>
        <xdr:cNvPr id="10738" name="Text Box 1">
          <a:extLst>
            <a:ext uri="{FF2B5EF4-FFF2-40B4-BE49-F238E27FC236}">
              <a16:creationId xmlns:a16="http://schemas.microsoft.com/office/drawing/2014/main" id="{20EF95F9-3C91-452E-B17B-98ED99D1CF77}"/>
            </a:ext>
          </a:extLst>
        </xdr:cNvPr>
        <xdr:cNvSpPr txBox="1">
          <a:spLocks noChangeArrowheads="1"/>
        </xdr:cNvSpPr>
      </xdr:nvSpPr>
      <xdr:spPr bwMode="auto">
        <a:xfrm>
          <a:off x="25876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739" name="Text Box 1">
          <a:extLst>
            <a:ext uri="{FF2B5EF4-FFF2-40B4-BE49-F238E27FC236}">
              <a16:creationId xmlns:a16="http://schemas.microsoft.com/office/drawing/2014/main" id="{D0B16066-2E48-4314-8DCB-E2250EE24E8F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740" name="Text Box 1">
          <a:extLst>
            <a:ext uri="{FF2B5EF4-FFF2-40B4-BE49-F238E27FC236}">
              <a16:creationId xmlns:a16="http://schemas.microsoft.com/office/drawing/2014/main" id="{667B5BCD-EEBE-4EA0-89F5-66BF24011F27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741" name="Text Box 1">
          <a:extLst>
            <a:ext uri="{FF2B5EF4-FFF2-40B4-BE49-F238E27FC236}">
              <a16:creationId xmlns:a16="http://schemas.microsoft.com/office/drawing/2014/main" id="{B910116D-79B3-40CE-AB7B-39424A8E30B2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742" name="Text Box 1">
          <a:extLst>
            <a:ext uri="{FF2B5EF4-FFF2-40B4-BE49-F238E27FC236}">
              <a16:creationId xmlns:a16="http://schemas.microsoft.com/office/drawing/2014/main" id="{88310992-8A9C-42CE-B57E-9BAE4179C210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743" name="Text Box 1">
          <a:extLst>
            <a:ext uri="{FF2B5EF4-FFF2-40B4-BE49-F238E27FC236}">
              <a16:creationId xmlns:a16="http://schemas.microsoft.com/office/drawing/2014/main" id="{0BDCEF96-623D-4DAE-9B4E-2AF083D01F54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744" name="Text Box 1">
          <a:extLst>
            <a:ext uri="{FF2B5EF4-FFF2-40B4-BE49-F238E27FC236}">
              <a16:creationId xmlns:a16="http://schemas.microsoft.com/office/drawing/2014/main" id="{DF1D259E-9B89-4C8D-AC76-4651F9F969C2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745" name="Text Box 1">
          <a:extLst>
            <a:ext uri="{FF2B5EF4-FFF2-40B4-BE49-F238E27FC236}">
              <a16:creationId xmlns:a16="http://schemas.microsoft.com/office/drawing/2014/main" id="{EC590B53-DC7A-44E2-BB36-DDD6985822FD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746" name="Text Box 1">
          <a:extLst>
            <a:ext uri="{FF2B5EF4-FFF2-40B4-BE49-F238E27FC236}">
              <a16:creationId xmlns:a16="http://schemas.microsoft.com/office/drawing/2014/main" id="{80751F69-1E1B-4251-A92E-B765492507AD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747" name="Text Box 1">
          <a:extLst>
            <a:ext uri="{FF2B5EF4-FFF2-40B4-BE49-F238E27FC236}">
              <a16:creationId xmlns:a16="http://schemas.microsoft.com/office/drawing/2014/main" id="{135F4276-4C67-4FB3-9431-647DD7F3C6A5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748" name="Text Box 1">
          <a:extLst>
            <a:ext uri="{FF2B5EF4-FFF2-40B4-BE49-F238E27FC236}">
              <a16:creationId xmlns:a16="http://schemas.microsoft.com/office/drawing/2014/main" id="{DF6C7ABF-977A-42BF-ADAD-DED89CC08C09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749" name="Text Box 1">
          <a:extLst>
            <a:ext uri="{FF2B5EF4-FFF2-40B4-BE49-F238E27FC236}">
              <a16:creationId xmlns:a16="http://schemas.microsoft.com/office/drawing/2014/main" id="{0841E32A-888C-4C65-BC8F-E7A22F90B918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750" name="Text Box 1">
          <a:extLst>
            <a:ext uri="{FF2B5EF4-FFF2-40B4-BE49-F238E27FC236}">
              <a16:creationId xmlns:a16="http://schemas.microsoft.com/office/drawing/2014/main" id="{AAE03FDA-E9FE-49A3-B170-54F6D2A0476F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751" name="Text Box 1">
          <a:extLst>
            <a:ext uri="{FF2B5EF4-FFF2-40B4-BE49-F238E27FC236}">
              <a16:creationId xmlns:a16="http://schemas.microsoft.com/office/drawing/2014/main" id="{28EE21CA-12C9-4223-AA8E-C5683F25EB4D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752" name="Text Box 1">
          <a:extLst>
            <a:ext uri="{FF2B5EF4-FFF2-40B4-BE49-F238E27FC236}">
              <a16:creationId xmlns:a16="http://schemas.microsoft.com/office/drawing/2014/main" id="{FDC0E79A-9C51-4466-915B-931E2CCB4C69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753" name="Text Box 1">
          <a:extLst>
            <a:ext uri="{FF2B5EF4-FFF2-40B4-BE49-F238E27FC236}">
              <a16:creationId xmlns:a16="http://schemas.microsoft.com/office/drawing/2014/main" id="{F6889C61-D5A2-4CF4-B23F-4F57B756C20D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754" name="Text Box 1">
          <a:extLst>
            <a:ext uri="{FF2B5EF4-FFF2-40B4-BE49-F238E27FC236}">
              <a16:creationId xmlns:a16="http://schemas.microsoft.com/office/drawing/2014/main" id="{07CAD365-9CDA-433C-9003-A1F8E0D0B4B9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755" name="Text Box 1">
          <a:extLst>
            <a:ext uri="{FF2B5EF4-FFF2-40B4-BE49-F238E27FC236}">
              <a16:creationId xmlns:a16="http://schemas.microsoft.com/office/drawing/2014/main" id="{5D39EBE8-F035-4C85-87F0-E52BA07E1C4C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756" name="Text Box 1">
          <a:extLst>
            <a:ext uri="{FF2B5EF4-FFF2-40B4-BE49-F238E27FC236}">
              <a16:creationId xmlns:a16="http://schemas.microsoft.com/office/drawing/2014/main" id="{A2BC7EEC-8F86-4D0D-B29E-1F432704D9A6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757" name="Text Box 1">
          <a:extLst>
            <a:ext uri="{FF2B5EF4-FFF2-40B4-BE49-F238E27FC236}">
              <a16:creationId xmlns:a16="http://schemas.microsoft.com/office/drawing/2014/main" id="{DD716B5B-6D49-4149-826E-DFB9A33DD21B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758" name="Text Box 1">
          <a:extLst>
            <a:ext uri="{FF2B5EF4-FFF2-40B4-BE49-F238E27FC236}">
              <a16:creationId xmlns:a16="http://schemas.microsoft.com/office/drawing/2014/main" id="{F36BAF1C-6470-47B0-BAD1-5F833A213671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759" name="Text Box 1">
          <a:extLst>
            <a:ext uri="{FF2B5EF4-FFF2-40B4-BE49-F238E27FC236}">
              <a16:creationId xmlns:a16="http://schemas.microsoft.com/office/drawing/2014/main" id="{896F39FD-0F93-4E40-8620-13EFEAA6C45A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760" name="Text Box 1">
          <a:extLst>
            <a:ext uri="{FF2B5EF4-FFF2-40B4-BE49-F238E27FC236}">
              <a16:creationId xmlns:a16="http://schemas.microsoft.com/office/drawing/2014/main" id="{2EDE3AE9-A1DE-45D0-902B-B62BCCD0452E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761" name="Text Box 1">
          <a:extLst>
            <a:ext uri="{FF2B5EF4-FFF2-40B4-BE49-F238E27FC236}">
              <a16:creationId xmlns:a16="http://schemas.microsoft.com/office/drawing/2014/main" id="{33F6BDB6-FF66-433F-957F-0D51AB6FA41B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762" name="Text Box 1">
          <a:extLst>
            <a:ext uri="{FF2B5EF4-FFF2-40B4-BE49-F238E27FC236}">
              <a16:creationId xmlns:a16="http://schemas.microsoft.com/office/drawing/2014/main" id="{5BC8E99E-87E9-4747-A7A9-AE2F064BC42F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763" name="Text Box 1">
          <a:extLst>
            <a:ext uri="{FF2B5EF4-FFF2-40B4-BE49-F238E27FC236}">
              <a16:creationId xmlns:a16="http://schemas.microsoft.com/office/drawing/2014/main" id="{304AAA6B-4C12-4534-91F9-0D11E635CECB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764" name="Text Box 1">
          <a:extLst>
            <a:ext uri="{FF2B5EF4-FFF2-40B4-BE49-F238E27FC236}">
              <a16:creationId xmlns:a16="http://schemas.microsoft.com/office/drawing/2014/main" id="{618713C0-6E1A-4249-8E02-7F1ACB5C53A9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765" name="Text Box 1">
          <a:extLst>
            <a:ext uri="{FF2B5EF4-FFF2-40B4-BE49-F238E27FC236}">
              <a16:creationId xmlns:a16="http://schemas.microsoft.com/office/drawing/2014/main" id="{77760A2B-395D-4978-92BC-26FDB0363048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766" name="Text Box 1">
          <a:extLst>
            <a:ext uri="{FF2B5EF4-FFF2-40B4-BE49-F238E27FC236}">
              <a16:creationId xmlns:a16="http://schemas.microsoft.com/office/drawing/2014/main" id="{16A41043-D7CE-4E72-A3FA-CCB84001CE38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767" name="Text Box 1">
          <a:extLst>
            <a:ext uri="{FF2B5EF4-FFF2-40B4-BE49-F238E27FC236}">
              <a16:creationId xmlns:a16="http://schemas.microsoft.com/office/drawing/2014/main" id="{BD7575A2-F637-4F18-B8AE-6DA22DFA2449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768" name="Text Box 1">
          <a:extLst>
            <a:ext uri="{FF2B5EF4-FFF2-40B4-BE49-F238E27FC236}">
              <a16:creationId xmlns:a16="http://schemas.microsoft.com/office/drawing/2014/main" id="{1CA48377-C906-4081-A042-4C7C78B41BEC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85725"/>
    <xdr:sp macro="" textlink="">
      <xdr:nvSpPr>
        <xdr:cNvPr id="10769" name="Text Box 1">
          <a:extLst>
            <a:ext uri="{FF2B5EF4-FFF2-40B4-BE49-F238E27FC236}">
              <a16:creationId xmlns:a16="http://schemas.microsoft.com/office/drawing/2014/main" id="{600DAE10-7898-494E-9C4B-EB0F4ED34F10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0</xdr:colOff>
      <xdr:row>48</xdr:row>
      <xdr:rowOff>0</xdr:rowOff>
    </xdr:from>
    <xdr:ext cx="247650" cy="45719"/>
    <xdr:sp macro="" textlink="">
      <xdr:nvSpPr>
        <xdr:cNvPr id="10770" name="Text Box 1">
          <a:extLst>
            <a:ext uri="{FF2B5EF4-FFF2-40B4-BE49-F238E27FC236}">
              <a16:creationId xmlns:a16="http://schemas.microsoft.com/office/drawing/2014/main" id="{04C7868F-5518-434A-8F58-99FE7D63ECFE}"/>
            </a:ext>
          </a:extLst>
        </xdr:cNvPr>
        <xdr:cNvSpPr txBox="1">
          <a:spLocks noChangeArrowheads="1"/>
        </xdr:cNvSpPr>
      </xdr:nvSpPr>
      <xdr:spPr bwMode="auto">
        <a:xfrm>
          <a:off x="29648150" y="1377950"/>
          <a:ext cx="247650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565150</xdr:colOff>
      <xdr:row>48</xdr:row>
      <xdr:rowOff>0</xdr:rowOff>
    </xdr:from>
    <xdr:ext cx="247650" cy="85725"/>
    <xdr:sp macro="" textlink="">
      <xdr:nvSpPr>
        <xdr:cNvPr id="10771" name="Text Box 1">
          <a:extLst>
            <a:ext uri="{FF2B5EF4-FFF2-40B4-BE49-F238E27FC236}">
              <a16:creationId xmlns:a16="http://schemas.microsoft.com/office/drawing/2014/main" id="{30F65C9F-A5F5-401D-85EC-8A3598A3C25E}"/>
            </a:ext>
          </a:extLst>
        </xdr:cNvPr>
        <xdr:cNvSpPr txBox="1">
          <a:spLocks noChangeArrowheads="1"/>
        </xdr:cNvSpPr>
      </xdr:nvSpPr>
      <xdr:spPr bwMode="auto">
        <a:xfrm>
          <a:off x="155575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21</xdr:col>
      <xdr:colOff>565150</xdr:colOff>
      <xdr:row>48</xdr:row>
      <xdr:rowOff>0</xdr:rowOff>
    </xdr:from>
    <xdr:ext cx="247650" cy="85725"/>
    <xdr:sp macro="" textlink="">
      <xdr:nvSpPr>
        <xdr:cNvPr id="10772" name="Text Box 1">
          <a:extLst>
            <a:ext uri="{FF2B5EF4-FFF2-40B4-BE49-F238E27FC236}">
              <a16:creationId xmlns:a16="http://schemas.microsoft.com/office/drawing/2014/main" id="{EF6F2984-A67E-434B-88FF-7D9F6EAB0239}"/>
            </a:ext>
          </a:extLst>
        </xdr:cNvPr>
        <xdr:cNvSpPr txBox="1">
          <a:spLocks noChangeArrowheads="1"/>
        </xdr:cNvSpPr>
      </xdr:nvSpPr>
      <xdr:spPr bwMode="auto">
        <a:xfrm>
          <a:off x="159067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22</xdr:col>
      <xdr:colOff>565150</xdr:colOff>
      <xdr:row>48</xdr:row>
      <xdr:rowOff>0</xdr:rowOff>
    </xdr:from>
    <xdr:ext cx="247650" cy="85725"/>
    <xdr:sp macro="" textlink="">
      <xdr:nvSpPr>
        <xdr:cNvPr id="10773" name="Text Box 1">
          <a:extLst>
            <a:ext uri="{FF2B5EF4-FFF2-40B4-BE49-F238E27FC236}">
              <a16:creationId xmlns:a16="http://schemas.microsoft.com/office/drawing/2014/main" id="{7996CC20-2C3D-47E6-BF74-1B1C5CC75161}"/>
            </a:ext>
          </a:extLst>
        </xdr:cNvPr>
        <xdr:cNvSpPr txBox="1">
          <a:spLocks noChangeArrowheads="1"/>
        </xdr:cNvSpPr>
      </xdr:nvSpPr>
      <xdr:spPr bwMode="auto">
        <a:xfrm>
          <a:off x="164719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565150</xdr:colOff>
      <xdr:row>48</xdr:row>
      <xdr:rowOff>0</xdr:rowOff>
    </xdr:from>
    <xdr:ext cx="247650" cy="85725"/>
    <xdr:sp macro="" textlink="">
      <xdr:nvSpPr>
        <xdr:cNvPr id="10774" name="Text Box 1">
          <a:extLst>
            <a:ext uri="{FF2B5EF4-FFF2-40B4-BE49-F238E27FC236}">
              <a16:creationId xmlns:a16="http://schemas.microsoft.com/office/drawing/2014/main" id="{458E02E3-AB23-4B60-A949-78F4E3351ED1}"/>
            </a:ext>
          </a:extLst>
        </xdr:cNvPr>
        <xdr:cNvSpPr txBox="1">
          <a:spLocks noChangeArrowheads="1"/>
        </xdr:cNvSpPr>
      </xdr:nvSpPr>
      <xdr:spPr bwMode="auto">
        <a:xfrm>
          <a:off x="170497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24</xdr:col>
      <xdr:colOff>565150</xdr:colOff>
      <xdr:row>48</xdr:row>
      <xdr:rowOff>0</xdr:rowOff>
    </xdr:from>
    <xdr:ext cx="247650" cy="85725"/>
    <xdr:sp macro="" textlink="">
      <xdr:nvSpPr>
        <xdr:cNvPr id="10775" name="Text Box 1">
          <a:extLst>
            <a:ext uri="{FF2B5EF4-FFF2-40B4-BE49-F238E27FC236}">
              <a16:creationId xmlns:a16="http://schemas.microsoft.com/office/drawing/2014/main" id="{1E48F9CF-AA66-4B55-A957-3AC10DD14FE8}"/>
            </a:ext>
          </a:extLst>
        </xdr:cNvPr>
        <xdr:cNvSpPr txBox="1">
          <a:spLocks noChangeArrowheads="1"/>
        </xdr:cNvSpPr>
      </xdr:nvSpPr>
      <xdr:spPr bwMode="auto">
        <a:xfrm>
          <a:off x="176149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25</xdr:col>
      <xdr:colOff>565150</xdr:colOff>
      <xdr:row>48</xdr:row>
      <xdr:rowOff>0</xdr:rowOff>
    </xdr:from>
    <xdr:ext cx="247650" cy="85725"/>
    <xdr:sp macro="" textlink="">
      <xdr:nvSpPr>
        <xdr:cNvPr id="10776" name="Text Box 1">
          <a:extLst>
            <a:ext uri="{FF2B5EF4-FFF2-40B4-BE49-F238E27FC236}">
              <a16:creationId xmlns:a16="http://schemas.microsoft.com/office/drawing/2014/main" id="{C00DC19D-9530-429C-813B-2EA67367C5A1}"/>
            </a:ext>
          </a:extLst>
        </xdr:cNvPr>
        <xdr:cNvSpPr txBox="1">
          <a:spLocks noChangeArrowheads="1"/>
        </xdr:cNvSpPr>
      </xdr:nvSpPr>
      <xdr:spPr bwMode="auto">
        <a:xfrm>
          <a:off x="182435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26</xdr:col>
      <xdr:colOff>565150</xdr:colOff>
      <xdr:row>48</xdr:row>
      <xdr:rowOff>0</xdr:rowOff>
    </xdr:from>
    <xdr:ext cx="247650" cy="85725"/>
    <xdr:sp macro="" textlink="">
      <xdr:nvSpPr>
        <xdr:cNvPr id="10777" name="Text Box 1">
          <a:extLst>
            <a:ext uri="{FF2B5EF4-FFF2-40B4-BE49-F238E27FC236}">
              <a16:creationId xmlns:a16="http://schemas.microsoft.com/office/drawing/2014/main" id="{1085F002-AB7F-4B59-B5C5-9CA8378EC620}"/>
            </a:ext>
          </a:extLst>
        </xdr:cNvPr>
        <xdr:cNvSpPr txBox="1">
          <a:spLocks noChangeArrowheads="1"/>
        </xdr:cNvSpPr>
      </xdr:nvSpPr>
      <xdr:spPr bwMode="auto">
        <a:xfrm>
          <a:off x="18764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565150</xdr:colOff>
      <xdr:row>48</xdr:row>
      <xdr:rowOff>0</xdr:rowOff>
    </xdr:from>
    <xdr:ext cx="247650" cy="85725"/>
    <xdr:sp macro="" textlink="">
      <xdr:nvSpPr>
        <xdr:cNvPr id="10778" name="Text Box 1">
          <a:extLst>
            <a:ext uri="{FF2B5EF4-FFF2-40B4-BE49-F238E27FC236}">
              <a16:creationId xmlns:a16="http://schemas.microsoft.com/office/drawing/2014/main" id="{984A675F-61A4-49BA-85C7-C1D36267674D}"/>
            </a:ext>
          </a:extLst>
        </xdr:cNvPr>
        <xdr:cNvSpPr txBox="1">
          <a:spLocks noChangeArrowheads="1"/>
        </xdr:cNvSpPr>
      </xdr:nvSpPr>
      <xdr:spPr bwMode="auto">
        <a:xfrm>
          <a:off x="193040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565150</xdr:colOff>
      <xdr:row>48</xdr:row>
      <xdr:rowOff>0</xdr:rowOff>
    </xdr:from>
    <xdr:ext cx="247650" cy="85725"/>
    <xdr:sp macro="" textlink="">
      <xdr:nvSpPr>
        <xdr:cNvPr id="10779" name="Text Box 1">
          <a:extLst>
            <a:ext uri="{FF2B5EF4-FFF2-40B4-BE49-F238E27FC236}">
              <a16:creationId xmlns:a16="http://schemas.microsoft.com/office/drawing/2014/main" id="{9A431882-6FF9-465F-9481-3CFD62B367B6}"/>
            </a:ext>
          </a:extLst>
        </xdr:cNvPr>
        <xdr:cNvSpPr txBox="1">
          <a:spLocks noChangeArrowheads="1"/>
        </xdr:cNvSpPr>
      </xdr:nvSpPr>
      <xdr:spPr bwMode="auto">
        <a:xfrm>
          <a:off x="204089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565150</xdr:colOff>
      <xdr:row>48</xdr:row>
      <xdr:rowOff>0</xdr:rowOff>
    </xdr:from>
    <xdr:ext cx="247650" cy="85725"/>
    <xdr:sp macro="" textlink="">
      <xdr:nvSpPr>
        <xdr:cNvPr id="10780" name="Text Box 1">
          <a:extLst>
            <a:ext uri="{FF2B5EF4-FFF2-40B4-BE49-F238E27FC236}">
              <a16:creationId xmlns:a16="http://schemas.microsoft.com/office/drawing/2014/main" id="{573AB535-4F93-4FD6-8F40-AEB48148A9B0}"/>
            </a:ext>
          </a:extLst>
        </xdr:cNvPr>
        <xdr:cNvSpPr txBox="1">
          <a:spLocks noChangeArrowheads="1"/>
        </xdr:cNvSpPr>
      </xdr:nvSpPr>
      <xdr:spPr bwMode="auto">
        <a:xfrm>
          <a:off x="210629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31</xdr:col>
      <xdr:colOff>565150</xdr:colOff>
      <xdr:row>48</xdr:row>
      <xdr:rowOff>0</xdr:rowOff>
    </xdr:from>
    <xdr:ext cx="247650" cy="85725"/>
    <xdr:sp macro="" textlink="">
      <xdr:nvSpPr>
        <xdr:cNvPr id="10781" name="Text Box 1">
          <a:extLst>
            <a:ext uri="{FF2B5EF4-FFF2-40B4-BE49-F238E27FC236}">
              <a16:creationId xmlns:a16="http://schemas.microsoft.com/office/drawing/2014/main" id="{31A535A2-C263-4439-9804-FE6E3E3921B5}"/>
            </a:ext>
          </a:extLst>
        </xdr:cNvPr>
        <xdr:cNvSpPr txBox="1">
          <a:spLocks noChangeArrowheads="1"/>
        </xdr:cNvSpPr>
      </xdr:nvSpPr>
      <xdr:spPr bwMode="auto">
        <a:xfrm>
          <a:off x="216789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32</xdr:col>
      <xdr:colOff>565150</xdr:colOff>
      <xdr:row>48</xdr:row>
      <xdr:rowOff>0</xdr:rowOff>
    </xdr:from>
    <xdr:ext cx="247650" cy="85725"/>
    <xdr:sp macro="" textlink="">
      <xdr:nvSpPr>
        <xdr:cNvPr id="10782" name="Text Box 1">
          <a:extLst>
            <a:ext uri="{FF2B5EF4-FFF2-40B4-BE49-F238E27FC236}">
              <a16:creationId xmlns:a16="http://schemas.microsoft.com/office/drawing/2014/main" id="{56FB6AC5-3E8B-4AC3-8AEC-243C16481F25}"/>
            </a:ext>
          </a:extLst>
        </xdr:cNvPr>
        <xdr:cNvSpPr txBox="1">
          <a:spLocks noChangeArrowheads="1"/>
        </xdr:cNvSpPr>
      </xdr:nvSpPr>
      <xdr:spPr bwMode="auto">
        <a:xfrm>
          <a:off x="223329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33</xdr:col>
      <xdr:colOff>565150</xdr:colOff>
      <xdr:row>48</xdr:row>
      <xdr:rowOff>0</xdr:rowOff>
    </xdr:from>
    <xdr:ext cx="247650" cy="85725"/>
    <xdr:sp macro="" textlink="">
      <xdr:nvSpPr>
        <xdr:cNvPr id="10783" name="Text Box 1">
          <a:extLst>
            <a:ext uri="{FF2B5EF4-FFF2-40B4-BE49-F238E27FC236}">
              <a16:creationId xmlns:a16="http://schemas.microsoft.com/office/drawing/2014/main" id="{7A178B01-E051-49BC-AF91-8E4A20E21AEE}"/>
            </a:ext>
          </a:extLst>
        </xdr:cNvPr>
        <xdr:cNvSpPr txBox="1">
          <a:spLocks noChangeArrowheads="1"/>
        </xdr:cNvSpPr>
      </xdr:nvSpPr>
      <xdr:spPr bwMode="auto">
        <a:xfrm>
          <a:off x="229489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565150</xdr:colOff>
      <xdr:row>48</xdr:row>
      <xdr:rowOff>0</xdr:rowOff>
    </xdr:from>
    <xdr:ext cx="247650" cy="85725"/>
    <xdr:sp macro="" textlink="">
      <xdr:nvSpPr>
        <xdr:cNvPr id="10784" name="Text Box 1">
          <a:extLst>
            <a:ext uri="{FF2B5EF4-FFF2-40B4-BE49-F238E27FC236}">
              <a16:creationId xmlns:a16="http://schemas.microsoft.com/office/drawing/2014/main" id="{1588AE49-2931-4563-AB43-F1618D3912A4}"/>
            </a:ext>
          </a:extLst>
        </xdr:cNvPr>
        <xdr:cNvSpPr txBox="1">
          <a:spLocks noChangeArrowheads="1"/>
        </xdr:cNvSpPr>
      </xdr:nvSpPr>
      <xdr:spPr bwMode="auto">
        <a:xfrm>
          <a:off x="235648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35</xdr:col>
      <xdr:colOff>565150</xdr:colOff>
      <xdr:row>48</xdr:row>
      <xdr:rowOff>0</xdr:rowOff>
    </xdr:from>
    <xdr:ext cx="247650" cy="85725"/>
    <xdr:sp macro="" textlink="">
      <xdr:nvSpPr>
        <xdr:cNvPr id="10785" name="Text Box 1">
          <a:extLst>
            <a:ext uri="{FF2B5EF4-FFF2-40B4-BE49-F238E27FC236}">
              <a16:creationId xmlns:a16="http://schemas.microsoft.com/office/drawing/2014/main" id="{02897FA4-ADBF-4358-BC95-AB73B749DBA4}"/>
            </a:ext>
          </a:extLst>
        </xdr:cNvPr>
        <xdr:cNvSpPr txBox="1">
          <a:spLocks noChangeArrowheads="1"/>
        </xdr:cNvSpPr>
      </xdr:nvSpPr>
      <xdr:spPr bwMode="auto">
        <a:xfrm>
          <a:off x="245935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36</xdr:col>
      <xdr:colOff>565150</xdr:colOff>
      <xdr:row>48</xdr:row>
      <xdr:rowOff>0</xdr:rowOff>
    </xdr:from>
    <xdr:ext cx="247650" cy="85725"/>
    <xdr:sp macro="" textlink="">
      <xdr:nvSpPr>
        <xdr:cNvPr id="10786" name="Text Box 1">
          <a:extLst>
            <a:ext uri="{FF2B5EF4-FFF2-40B4-BE49-F238E27FC236}">
              <a16:creationId xmlns:a16="http://schemas.microsoft.com/office/drawing/2014/main" id="{471C8AE9-4BB0-451A-89F8-5365C3B32929}"/>
            </a:ext>
          </a:extLst>
        </xdr:cNvPr>
        <xdr:cNvSpPr txBox="1">
          <a:spLocks noChangeArrowheads="1"/>
        </xdr:cNvSpPr>
      </xdr:nvSpPr>
      <xdr:spPr bwMode="auto">
        <a:xfrm>
          <a:off x="252095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37</xdr:col>
      <xdr:colOff>565150</xdr:colOff>
      <xdr:row>48</xdr:row>
      <xdr:rowOff>0</xdr:rowOff>
    </xdr:from>
    <xdr:ext cx="247650" cy="85725"/>
    <xdr:sp macro="" textlink="">
      <xdr:nvSpPr>
        <xdr:cNvPr id="10787" name="Text Box 1">
          <a:extLst>
            <a:ext uri="{FF2B5EF4-FFF2-40B4-BE49-F238E27FC236}">
              <a16:creationId xmlns:a16="http://schemas.microsoft.com/office/drawing/2014/main" id="{79238F4A-FDD2-46CC-BE41-1DCDAE68B925}"/>
            </a:ext>
          </a:extLst>
        </xdr:cNvPr>
        <xdr:cNvSpPr txBox="1">
          <a:spLocks noChangeArrowheads="1"/>
        </xdr:cNvSpPr>
      </xdr:nvSpPr>
      <xdr:spPr bwMode="auto">
        <a:xfrm>
          <a:off x="258254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565150</xdr:colOff>
      <xdr:row>48</xdr:row>
      <xdr:rowOff>0</xdr:rowOff>
    </xdr:from>
    <xdr:ext cx="247650" cy="85725"/>
    <xdr:sp macro="" textlink="">
      <xdr:nvSpPr>
        <xdr:cNvPr id="10788" name="Text Box 1">
          <a:extLst>
            <a:ext uri="{FF2B5EF4-FFF2-40B4-BE49-F238E27FC236}">
              <a16:creationId xmlns:a16="http://schemas.microsoft.com/office/drawing/2014/main" id="{F0AA9FAB-43ED-4F41-ABE0-BBC33428554D}"/>
            </a:ext>
          </a:extLst>
        </xdr:cNvPr>
        <xdr:cNvSpPr txBox="1">
          <a:spLocks noChangeArrowheads="1"/>
        </xdr:cNvSpPr>
      </xdr:nvSpPr>
      <xdr:spPr bwMode="auto">
        <a:xfrm>
          <a:off x="264414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565150</xdr:colOff>
      <xdr:row>48</xdr:row>
      <xdr:rowOff>0</xdr:rowOff>
    </xdr:from>
    <xdr:ext cx="247650" cy="85725"/>
    <xdr:sp macro="" textlink="">
      <xdr:nvSpPr>
        <xdr:cNvPr id="10789" name="Text Box 1">
          <a:extLst>
            <a:ext uri="{FF2B5EF4-FFF2-40B4-BE49-F238E27FC236}">
              <a16:creationId xmlns:a16="http://schemas.microsoft.com/office/drawing/2014/main" id="{A9C8E8D9-BD07-496D-AAE1-ED5E1D8ABBF8}"/>
            </a:ext>
          </a:extLst>
        </xdr:cNvPr>
        <xdr:cNvSpPr txBox="1">
          <a:spLocks noChangeArrowheads="1"/>
        </xdr:cNvSpPr>
      </xdr:nvSpPr>
      <xdr:spPr bwMode="auto">
        <a:xfrm>
          <a:off x="270954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40</xdr:col>
      <xdr:colOff>565150</xdr:colOff>
      <xdr:row>48</xdr:row>
      <xdr:rowOff>0</xdr:rowOff>
    </xdr:from>
    <xdr:ext cx="247650" cy="85725"/>
    <xdr:sp macro="" textlink="">
      <xdr:nvSpPr>
        <xdr:cNvPr id="10790" name="Text Box 1">
          <a:extLst>
            <a:ext uri="{FF2B5EF4-FFF2-40B4-BE49-F238E27FC236}">
              <a16:creationId xmlns:a16="http://schemas.microsoft.com/office/drawing/2014/main" id="{D82376BE-F1A2-4136-A756-A9C48C325904}"/>
            </a:ext>
          </a:extLst>
        </xdr:cNvPr>
        <xdr:cNvSpPr txBox="1">
          <a:spLocks noChangeArrowheads="1"/>
        </xdr:cNvSpPr>
      </xdr:nvSpPr>
      <xdr:spPr bwMode="auto">
        <a:xfrm>
          <a:off x="277114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603250</xdr:colOff>
      <xdr:row>48</xdr:row>
      <xdr:rowOff>0</xdr:rowOff>
    </xdr:from>
    <xdr:ext cx="247650" cy="85725"/>
    <xdr:sp macro="" textlink="">
      <xdr:nvSpPr>
        <xdr:cNvPr id="10791" name="Text Box 1">
          <a:extLst>
            <a:ext uri="{FF2B5EF4-FFF2-40B4-BE49-F238E27FC236}">
              <a16:creationId xmlns:a16="http://schemas.microsoft.com/office/drawing/2014/main" id="{7BD57789-5553-4AFA-A9A9-DAE1E28545F9}"/>
            </a:ext>
          </a:extLst>
        </xdr:cNvPr>
        <xdr:cNvSpPr txBox="1">
          <a:spLocks noChangeArrowheads="1"/>
        </xdr:cNvSpPr>
      </xdr:nvSpPr>
      <xdr:spPr bwMode="auto">
        <a:xfrm>
          <a:off x="283654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42</xdr:col>
      <xdr:colOff>565150</xdr:colOff>
      <xdr:row>48</xdr:row>
      <xdr:rowOff>0</xdr:rowOff>
    </xdr:from>
    <xdr:ext cx="247650" cy="85725"/>
    <xdr:sp macro="" textlink="">
      <xdr:nvSpPr>
        <xdr:cNvPr id="10792" name="Text Box 1">
          <a:extLst>
            <a:ext uri="{FF2B5EF4-FFF2-40B4-BE49-F238E27FC236}">
              <a16:creationId xmlns:a16="http://schemas.microsoft.com/office/drawing/2014/main" id="{8B261DDA-E763-4817-931F-4472659D03E8}"/>
            </a:ext>
          </a:extLst>
        </xdr:cNvPr>
        <xdr:cNvSpPr txBox="1">
          <a:spLocks noChangeArrowheads="1"/>
        </xdr:cNvSpPr>
      </xdr:nvSpPr>
      <xdr:spPr bwMode="auto">
        <a:xfrm>
          <a:off x="2837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43</xdr:col>
      <xdr:colOff>565150</xdr:colOff>
      <xdr:row>48</xdr:row>
      <xdr:rowOff>0</xdr:rowOff>
    </xdr:from>
    <xdr:ext cx="247650" cy="85725"/>
    <xdr:sp macro="" textlink="">
      <xdr:nvSpPr>
        <xdr:cNvPr id="10793" name="Text Box 1">
          <a:extLst>
            <a:ext uri="{FF2B5EF4-FFF2-40B4-BE49-F238E27FC236}">
              <a16:creationId xmlns:a16="http://schemas.microsoft.com/office/drawing/2014/main" id="{4D250551-7624-4C3C-BA1C-199EC7DBD5C6}"/>
            </a:ext>
          </a:extLst>
        </xdr:cNvPr>
        <xdr:cNvSpPr txBox="1">
          <a:spLocks noChangeArrowheads="1"/>
        </xdr:cNvSpPr>
      </xdr:nvSpPr>
      <xdr:spPr bwMode="auto">
        <a:xfrm>
          <a:off x="28943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565150</xdr:colOff>
      <xdr:row>48</xdr:row>
      <xdr:rowOff>0</xdr:rowOff>
    </xdr:from>
    <xdr:ext cx="247650" cy="85725"/>
    <xdr:sp macro="" textlink="">
      <xdr:nvSpPr>
        <xdr:cNvPr id="10794" name="Text Box 1">
          <a:extLst>
            <a:ext uri="{FF2B5EF4-FFF2-40B4-BE49-F238E27FC236}">
              <a16:creationId xmlns:a16="http://schemas.microsoft.com/office/drawing/2014/main" id="{08BAD94E-85B1-4875-B71C-0F987B48D27F}"/>
            </a:ext>
          </a:extLst>
        </xdr:cNvPr>
        <xdr:cNvSpPr txBox="1">
          <a:spLocks noChangeArrowheads="1"/>
        </xdr:cNvSpPr>
      </xdr:nvSpPr>
      <xdr:spPr bwMode="auto">
        <a:xfrm>
          <a:off x="30213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44</xdr:col>
      <xdr:colOff>565150</xdr:colOff>
      <xdr:row>48</xdr:row>
      <xdr:rowOff>0</xdr:rowOff>
    </xdr:from>
    <xdr:ext cx="247650" cy="85725"/>
    <xdr:sp macro="" textlink="">
      <xdr:nvSpPr>
        <xdr:cNvPr id="10795" name="Text Box 1">
          <a:extLst>
            <a:ext uri="{FF2B5EF4-FFF2-40B4-BE49-F238E27FC236}">
              <a16:creationId xmlns:a16="http://schemas.microsoft.com/office/drawing/2014/main" id="{B2D6159D-77B2-4E3B-8E8B-BE151682CB58}"/>
            </a:ext>
          </a:extLst>
        </xdr:cNvPr>
        <xdr:cNvSpPr txBox="1">
          <a:spLocks noChangeArrowheads="1"/>
        </xdr:cNvSpPr>
      </xdr:nvSpPr>
      <xdr:spPr bwMode="auto">
        <a:xfrm>
          <a:off x="29559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565150</xdr:colOff>
      <xdr:row>48</xdr:row>
      <xdr:rowOff>0</xdr:rowOff>
    </xdr:from>
    <xdr:ext cx="247650" cy="85725"/>
    <xdr:sp macro="" textlink="">
      <xdr:nvSpPr>
        <xdr:cNvPr id="10796" name="Text Box 1">
          <a:extLst>
            <a:ext uri="{FF2B5EF4-FFF2-40B4-BE49-F238E27FC236}">
              <a16:creationId xmlns:a16="http://schemas.microsoft.com/office/drawing/2014/main" id="{6C8DD32C-92FE-4A09-9624-FB3BA7601111}"/>
            </a:ext>
          </a:extLst>
        </xdr:cNvPr>
        <xdr:cNvSpPr txBox="1">
          <a:spLocks noChangeArrowheads="1"/>
        </xdr:cNvSpPr>
      </xdr:nvSpPr>
      <xdr:spPr bwMode="auto">
        <a:xfrm>
          <a:off x="30829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584200</xdr:colOff>
      <xdr:row>48</xdr:row>
      <xdr:rowOff>0</xdr:rowOff>
    </xdr:from>
    <xdr:ext cx="247650" cy="85725"/>
    <xdr:sp macro="" textlink="">
      <xdr:nvSpPr>
        <xdr:cNvPr id="10797" name="Text Box 1">
          <a:extLst>
            <a:ext uri="{FF2B5EF4-FFF2-40B4-BE49-F238E27FC236}">
              <a16:creationId xmlns:a16="http://schemas.microsoft.com/office/drawing/2014/main" id="{771CCCFF-2117-45DA-A0B3-85925CF2B234}"/>
            </a:ext>
          </a:extLst>
        </xdr:cNvPr>
        <xdr:cNvSpPr txBox="1">
          <a:spLocks noChangeArrowheads="1"/>
        </xdr:cNvSpPr>
      </xdr:nvSpPr>
      <xdr:spPr bwMode="auto">
        <a:xfrm>
          <a:off x="302323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565150</xdr:colOff>
      <xdr:row>48</xdr:row>
      <xdr:rowOff>0</xdr:rowOff>
    </xdr:from>
    <xdr:ext cx="247650" cy="85725"/>
    <xdr:sp macro="" textlink="">
      <xdr:nvSpPr>
        <xdr:cNvPr id="10798" name="Text Box 1">
          <a:extLst>
            <a:ext uri="{FF2B5EF4-FFF2-40B4-BE49-F238E27FC236}">
              <a16:creationId xmlns:a16="http://schemas.microsoft.com/office/drawing/2014/main" id="{EDCDF3FB-D7B9-4D55-B8F2-4D0DC2C5C66A}"/>
            </a:ext>
          </a:extLst>
        </xdr:cNvPr>
        <xdr:cNvSpPr txBox="1">
          <a:spLocks noChangeArrowheads="1"/>
        </xdr:cNvSpPr>
      </xdr:nvSpPr>
      <xdr:spPr bwMode="auto">
        <a:xfrm>
          <a:off x="30829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565150</xdr:colOff>
      <xdr:row>46</xdr:row>
      <xdr:rowOff>152400</xdr:rowOff>
    </xdr:from>
    <xdr:ext cx="247650" cy="85725"/>
    <xdr:sp macro="" textlink="">
      <xdr:nvSpPr>
        <xdr:cNvPr id="10799" name="Text Box 1">
          <a:extLst>
            <a:ext uri="{FF2B5EF4-FFF2-40B4-BE49-F238E27FC236}">
              <a16:creationId xmlns:a16="http://schemas.microsoft.com/office/drawing/2014/main" id="{6ACBDCAD-C829-4B22-B3AF-FBDCAF2EF4ED}"/>
            </a:ext>
          </a:extLst>
        </xdr:cNvPr>
        <xdr:cNvSpPr txBox="1">
          <a:spLocks noChangeArrowheads="1"/>
        </xdr:cNvSpPr>
      </xdr:nvSpPr>
      <xdr:spPr bwMode="auto">
        <a:xfrm>
          <a:off x="23564850" y="12001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35</xdr:col>
      <xdr:colOff>565150</xdr:colOff>
      <xdr:row>46</xdr:row>
      <xdr:rowOff>152400</xdr:rowOff>
    </xdr:from>
    <xdr:ext cx="247650" cy="85725"/>
    <xdr:sp macro="" textlink="">
      <xdr:nvSpPr>
        <xdr:cNvPr id="10800" name="Text Box 1">
          <a:extLst>
            <a:ext uri="{FF2B5EF4-FFF2-40B4-BE49-F238E27FC236}">
              <a16:creationId xmlns:a16="http://schemas.microsoft.com/office/drawing/2014/main" id="{5FFD8464-31E7-438E-9613-7897D7490570}"/>
            </a:ext>
          </a:extLst>
        </xdr:cNvPr>
        <xdr:cNvSpPr txBox="1">
          <a:spLocks noChangeArrowheads="1"/>
        </xdr:cNvSpPr>
      </xdr:nvSpPr>
      <xdr:spPr bwMode="auto">
        <a:xfrm>
          <a:off x="24593550" y="12001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565150</xdr:colOff>
      <xdr:row>47</xdr:row>
      <xdr:rowOff>152400</xdr:rowOff>
    </xdr:from>
    <xdr:ext cx="247650" cy="85725"/>
    <xdr:sp macro="" textlink="">
      <xdr:nvSpPr>
        <xdr:cNvPr id="10801" name="Text Box 1">
          <a:extLst>
            <a:ext uri="{FF2B5EF4-FFF2-40B4-BE49-F238E27FC236}">
              <a16:creationId xmlns:a16="http://schemas.microsoft.com/office/drawing/2014/main" id="{D1F379C6-2260-4509-9B22-64E0801F00F4}"/>
            </a:ext>
          </a:extLst>
        </xdr:cNvPr>
        <xdr:cNvSpPr txBox="1">
          <a:spLocks noChangeArrowheads="1"/>
        </xdr:cNvSpPr>
      </xdr:nvSpPr>
      <xdr:spPr bwMode="auto">
        <a:xfrm>
          <a:off x="23564850" y="13652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35</xdr:col>
      <xdr:colOff>565150</xdr:colOff>
      <xdr:row>47</xdr:row>
      <xdr:rowOff>152400</xdr:rowOff>
    </xdr:from>
    <xdr:ext cx="247650" cy="85725"/>
    <xdr:sp macro="" textlink="">
      <xdr:nvSpPr>
        <xdr:cNvPr id="10802" name="Text Box 1">
          <a:extLst>
            <a:ext uri="{FF2B5EF4-FFF2-40B4-BE49-F238E27FC236}">
              <a16:creationId xmlns:a16="http://schemas.microsoft.com/office/drawing/2014/main" id="{D49EB0DE-D022-4067-84D8-B5EB21D26C23}"/>
            </a:ext>
          </a:extLst>
        </xdr:cNvPr>
        <xdr:cNvSpPr txBox="1">
          <a:spLocks noChangeArrowheads="1"/>
        </xdr:cNvSpPr>
      </xdr:nvSpPr>
      <xdr:spPr bwMode="auto">
        <a:xfrm>
          <a:off x="24593550" y="13652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42</xdr:col>
      <xdr:colOff>565150</xdr:colOff>
      <xdr:row>48</xdr:row>
      <xdr:rowOff>0</xdr:rowOff>
    </xdr:from>
    <xdr:ext cx="247650" cy="85725"/>
    <xdr:sp macro="" textlink="">
      <xdr:nvSpPr>
        <xdr:cNvPr id="10803" name="Text Box 1">
          <a:extLst>
            <a:ext uri="{FF2B5EF4-FFF2-40B4-BE49-F238E27FC236}">
              <a16:creationId xmlns:a16="http://schemas.microsoft.com/office/drawing/2014/main" id="{1AC0A249-0DE6-4A9A-9407-B63239201CD5}"/>
            </a:ext>
          </a:extLst>
        </xdr:cNvPr>
        <xdr:cNvSpPr txBox="1">
          <a:spLocks noChangeArrowheads="1"/>
        </xdr:cNvSpPr>
      </xdr:nvSpPr>
      <xdr:spPr bwMode="auto">
        <a:xfrm>
          <a:off x="2837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565150</xdr:colOff>
      <xdr:row>46</xdr:row>
      <xdr:rowOff>152400</xdr:rowOff>
    </xdr:from>
    <xdr:ext cx="247650" cy="85725"/>
    <xdr:sp macro="" textlink="">
      <xdr:nvSpPr>
        <xdr:cNvPr id="10804" name="Text Box 1">
          <a:extLst>
            <a:ext uri="{FF2B5EF4-FFF2-40B4-BE49-F238E27FC236}">
              <a16:creationId xmlns:a16="http://schemas.microsoft.com/office/drawing/2014/main" id="{3522EE86-E16C-47F1-BE89-F87ACAE77C71}"/>
            </a:ext>
          </a:extLst>
        </xdr:cNvPr>
        <xdr:cNvSpPr txBox="1">
          <a:spLocks noChangeArrowheads="1"/>
        </xdr:cNvSpPr>
      </xdr:nvSpPr>
      <xdr:spPr bwMode="auto">
        <a:xfrm>
          <a:off x="28327350" y="12001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42</xdr:col>
      <xdr:colOff>565150</xdr:colOff>
      <xdr:row>46</xdr:row>
      <xdr:rowOff>152400</xdr:rowOff>
    </xdr:from>
    <xdr:ext cx="247650" cy="85725"/>
    <xdr:sp macro="" textlink="">
      <xdr:nvSpPr>
        <xdr:cNvPr id="10805" name="Text Box 1">
          <a:extLst>
            <a:ext uri="{FF2B5EF4-FFF2-40B4-BE49-F238E27FC236}">
              <a16:creationId xmlns:a16="http://schemas.microsoft.com/office/drawing/2014/main" id="{2D8BFB70-F14E-465B-BD3E-7D8C466E7E47}"/>
            </a:ext>
          </a:extLst>
        </xdr:cNvPr>
        <xdr:cNvSpPr txBox="1">
          <a:spLocks noChangeArrowheads="1"/>
        </xdr:cNvSpPr>
      </xdr:nvSpPr>
      <xdr:spPr bwMode="auto">
        <a:xfrm>
          <a:off x="28378150" y="12001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565150</xdr:colOff>
      <xdr:row>47</xdr:row>
      <xdr:rowOff>152400</xdr:rowOff>
    </xdr:from>
    <xdr:ext cx="247650" cy="85725"/>
    <xdr:sp macro="" textlink="">
      <xdr:nvSpPr>
        <xdr:cNvPr id="10806" name="Text Box 1">
          <a:extLst>
            <a:ext uri="{FF2B5EF4-FFF2-40B4-BE49-F238E27FC236}">
              <a16:creationId xmlns:a16="http://schemas.microsoft.com/office/drawing/2014/main" id="{0DD4E061-67C8-4698-958D-F16B2BAAF275}"/>
            </a:ext>
          </a:extLst>
        </xdr:cNvPr>
        <xdr:cNvSpPr txBox="1">
          <a:spLocks noChangeArrowheads="1"/>
        </xdr:cNvSpPr>
      </xdr:nvSpPr>
      <xdr:spPr bwMode="auto">
        <a:xfrm>
          <a:off x="28327350" y="13652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42</xdr:col>
      <xdr:colOff>565150</xdr:colOff>
      <xdr:row>47</xdr:row>
      <xdr:rowOff>152400</xdr:rowOff>
    </xdr:from>
    <xdr:ext cx="247650" cy="85725"/>
    <xdr:sp macro="" textlink="">
      <xdr:nvSpPr>
        <xdr:cNvPr id="10807" name="Text Box 1">
          <a:extLst>
            <a:ext uri="{FF2B5EF4-FFF2-40B4-BE49-F238E27FC236}">
              <a16:creationId xmlns:a16="http://schemas.microsoft.com/office/drawing/2014/main" id="{653F0ECF-B786-41CC-B2EF-36CE1598F969}"/>
            </a:ext>
          </a:extLst>
        </xdr:cNvPr>
        <xdr:cNvSpPr txBox="1">
          <a:spLocks noChangeArrowheads="1"/>
        </xdr:cNvSpPr>
      </xdr:nvSpPr>
      <xdr:spPr bwMode="auto">
        <a:xfrm>
          <a:off x="28378150" y="13652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42</xdr:col>
      <xdr:colOff>565150</xdr:colOff>
      <xdr:row>47</xdr:row>
      <xdr:rowOff>152400</xdr:rowOff>
    </xdr:from>
    <xdr:ext cx="247650" cy="85725"/>
    <xdr:sp macro="" textlink="">
      <xdr:nvSpPr>
        <xdr:cNvPr id="10808" name="Text Box 1">
          <a:extLst>
            <a:ext uri="{FF2B5EF4-FFF2-40B4-BE49-F238E27FC236}">
              <a16:creationId xmlns:a16="http://schemas.microsoft.com/office/drawing/2014/main" id="{B5166B2F-076A-4728-B90E-8B29837255F0}"/>
            </a:ext>
          </a:extLst>
        </xdr:cNvPr>
        <xdr:cNvSpPr txBox="1">
          <a:spLocks noChangeArrowheads="1"/>
        </xdr:cNvSpPr>
      </xdr:nvSpPr>
      <xdr:spPr bwMode="auto">
        <a:xfrm>
          <a:off x="28378150" y="13652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565150</xdr:colOff>
      <xdr:row>48</xdr:row>
      <xdr:rowOff>0</xdr:rowOff>
    </xdr:from>
    <xdr:ext cx="247650" cy="85725"/>
    <xdr:sp macro="" textlink="">
      <xdr:nvSpPr>
        <xdr:cNvPr id="10809" name="Text Box 1">
          <a:extLst>
            <a:ext uri="{FF2B5EF4-FFF2-40B4-BE49-F238E27FC236}">
              <a16:creationId xmlns:a16="http://schemas.microsoft.com/office/drawing/2014/main" id="{071BD6A1-7EF0-4B1A-8C01-3DAD02C99389}"/>
            </a:ext>
          </a:extLst>
        </xdr:cNvPr>
        <xdr:cNvSpPr txBox="1">
          <a:spLocks noChangeArrowheads="1"/>
        </xdr:cNvSpPr>
      </xdr:nvSpPr>
      <xdr:spPr bwMode="auto">
        <a:xfrm>
          <a:off x="283273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42</xdr:col>
      <xdr:colOff>603250</xdr:colOff>
      <xdr:row>48</xdr:row>
      <xdr:rowOff>0</xdr:rowOff>
    </xdr:from>
    <xdr:ext cx="247650" cy="85725"/>
    <xdr:sp macro="" textlink="">
      <xdr:nvSpPr>
        <xdr:cNvPr id="10810" name="Text Box 1">
          <a:extLst>
            <a:ext uri="{FF2B5EF4-FFF2-40B4-BE49-F238E27FC236}">
              <a16:creationId xmlns:a16="http://schemas.microsoft.com/office/drawing/2014/main" id="{DC455A2A-1023-4408-8D5F-E63DE3610936}"/>
            </a:ext>
          </a:extLst>
        </xdr:cNvPr>
        <xdr:cNvSpPr txBox="1">
          <a:spLocks noChangeArrowheads="1"/>
        </xdr:cNvSpPr>
      </xdr:nvSpPr>
      <xdr:spPr bwMode="auto">
        <a:xfrm>
          <a:off x="2837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565150</xdr:colOff>
      <xdr:row>48</xdr:row>
      <xdr:rowOff>0</xdr:rowOff>
    </xdr:from>
    <xdr:ext cx="247650" cy="85725"/>
    <xdr:sp macro="" textlink="">
      <xdr:nvSpPr>
        <xdr:cNvPr id="10811" name="Text Box 1">
          <a:extLst>
            <a:ext uri="{FF2B5EF4-FFF2-40B4-BE49-F238E27FC236}">
              <a16:creationId xmlns:a16="http://schemas.microsoft.com/office/drawing/2014/main" id="{651193DA-B567-441E-849A-9600361C427E}"/>
            </a:ext>
          </a:extLst>
        </xdr:cNvPr>
        <xdr:cNvSpPr txBox="1">
          <a:spLocks noChangeArrowheads="1"/>
        </xdr:cNvSpPr>
      </xdr:nvSpPr>
      <xdr:spPr bwMode="auto">
        <a:xfrm>
          <a:off x="155575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21</xdr:col>
      <xdr:colOff>565150</xdr:colOff>
      <xdr:row>48</xdr:row>
      <xdr:rowOff>0</xdr:rowOff>
    </xdr:from>
    <xdr:ext cx="247650" cy="85725"/>
    <xdr:sp macro="" textlink="">
      <xdr:nvSpPr>
        <xdr:cNvPr id="10812" name="Text Box 1">
          <a:extLst>
            <a:ext uri="{FF2B5EF4-FFF2-40B4-BE49-F238E27FC236}">
              <a16:creationId xmlns:a16="http://schemas.microsoft.com/office/drawing/2014/main" id="{C34A15D5-CC14-4CEC-B2C3-D9E486199F9D}"/>
            </a:ext>
          </a:extLst>
        </xdr:cNvPr>
        <xdr:cNvSpPr txBox="1">
          <a:spLocks noChangeArrowheads="1"/>
        </xdr:cNvSpPr>
      </xdr:nvSpPr>
      <xdr:spPr bwMode="auto">
        <a:xfrm>
          <a:off x="159067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21</xdr:col>
      <xdr:colOff>565150</xdr:colOff>
      <xdr:row>48</xdr:row>
      <xdr:rowOff>0</xdr:rowOff>
    </xdr:from>
    <xdr:ext cx="247650" cy="85725"/>
    <xdr:sp macro="" textlink="">
      <xdr:nvSpPr>
        <xdr:cNvPr id="10813" name="Text Box 1">
          <a:extLst>
            <a:ext uri="{FF2B5EF4-FFF2-40B4-BE49-F238E27FC236}">
              <a16:creationId xmlns:a16="http://schemas.microsoft.com/office/drawing/2014/main" id="{BC6A07A0-26A8-42D0-B484-AB761EBB4BE2}"/>
            </a:ext>
          </a:extLst>
        </xdr:cNvPr>
        <xdr:cNvSpPr txBox="1">
          <a:spLocks noChangeArrowheads="1"/>
        </xdr:cNvSpPr>
      </xdr:nvSpPr>
      <xdr:spPr bwMode="auto">
        <a:xfrm>
          <a:off x="159067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22</xdr:col>
      <xdr:colOff>565150</xdr:colOff>
      <xdr:row>48</xdr:row>
      <xdr:rowOff>0</xdr:rowOff>
    </xdr:from>
    <xdr:ext cx="247650" cy="85725"/>
    <xdr:sp macro="" textlink="">
      <xdr:nvSpPr>
        <xdr:cNvPr id="10814" name="Text Box 1">
          <a:extLst>
            <a:ext uri="{FF2B5EF4-FFF2-40B4-BE49-F238E27FC236}">
              <a16:creationId xmlns:a16="http://schemas.microsoft.com/office/drawing/2014/main" id="{8B3189D2-EA61-4788-86AB-A5D2E7118B06}"/>
            </a:ext>
          </a:extLst>
        </xdr:cNvPr>
        <xdr:cNvSpPr txBox="1">
          <a:spLocks noChangeArrowheads="1"/>
        </xdr:cNvSpPr>
      </xdr:nvSpPr>
      <xdr:spPr bwMode="auto">
        <a:xfrm>
          <a:off x="164719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22</xdr:col>
      <xdr:colOff>565150</xdr:colOff>
      <xdr:row>48</xdr:row>
      <xdr:rowOff>0</xdr:rowOff>
    </xdr:from>
    <xdr:ext cx="247650" cy="85725"/>
    <xdr:sp macro="" textlink="">
      <xdr:nvSpPr>
        <xdr:cNvPr id="10815" name="Text Box 1">
          <a:extLst>
            <a:ext uri="{FF2B5EF4-FFF2-40B4-BE49-F238E27FC236}">
              <a16:creationId xmlns:a16="http://schemas.microsoft.com/office/drawing/2014/main" id="{53542CE1-8B6D-45FC-9BA0-26DC749E920D}"/>
            </a:ext>
          </a:extLst>
        </xdr:cNvPr>
        <xdr:cNvSpPr txBox="1">
          <a:spLocks noChangeArrowheads="1"/>
        </xdr:cNvSpPr>
      </xdr:nvSpPr>
      <xdr:spPr bwMode="auto">
        <a:xfrm>
          <a:off x="164719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565150</xdr:colOff>
      <xdr:row>48</xdr:row>
      <xdr:rowOff>0</xdr:rowOff>
    </xdr:from>
    <xdr:ext cx="247650" cy="85725"/>
    <xdr:sp macro="" textlink="">
      <xdr:nvSpPr>
        <xdr:cNvPr id="10816" name="Text Box 1">
          <a:extLst>
            <a:ext uri="{FF2B5EF4-FFF2-40B4-BE49-F238E27FC236}">
              <a16:creationId xmlns:a16="http://schemas.microsoft.com/office/drawing/2014/main" id="{0339631A-9A05-4149-B1D8-E98A69F37AF0}"/>
            </a:ext>
          </a:extLst>
        </xdr:cNvPr>
        <xdr:cNvSpPr txBox="1">
          <a:spLocks noChangeArrowheads="1"/>
        </xdr:cNvSpPr>
      </xdr:nvSpPr>
      <xdr:spPr bwMode="auto">
        <a:xfrm>
          <a:off x="170497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565150</xdr:colOff>
      <xdr:row>48</xdr:row>
      <xdr:rowOff>0</xdr:rowOff>
    </xdr:from>
    <xdr:ext cx="247650" cy="85725"/>
    <xdr:sp macro="" textlink="">
      <xdr:nvSpPr>
        <xdr:cNvPr id="10817" name="Text Box 1">
          <a:extLst>
            <a:ext uri="{FF2B5EF4-FFF2-40B4-BE49-F238E27FC236}">
              <a16:creationId xmlns:a16="http://schemas.microsoft.com/office/drawing/2014/main" id="{AC6EA958-7209-4C8C-8A37-4CC215C54392}"/>
            </a:ext>
          </a:extLst>
        </xdr:cNvPr>
        <xdr:cNvSpPr txBox="1">
          <a:spLocks noChangeArrowheads="1"/>
        </xdr:cNvSpPr>
      </xdr:nvSpPr>
      <xdr:spPr bwMode="auto">
        <a:xfrm>
          <a:off x="170497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24</xdr:col>
      <xdr:colOff>565150</xdr:colOff>
      <xdr:row>48</xdr:row>
      <xdr:rowOff>0</xdr:rowOff>
    </xdr:from>
    <xdr:ext cx="247650" cy="85725"/>
    <xdr:sp macro="" textlink="">
      <xdr:nvSpPr>
        <xdr:cNvPr id="10818" name="Text Box 1">
          <a:extLst>
            <a:ext uri="{FF2B5EF4-FFF2-40B4-BE49-F238E27FC236}">
              <a16:creationId xmlns:a16="http://schemas.microsoft.com/office/drawing/2014/main" id="{0A7895B1-BE32-4439-A0D4-807EB20494F1}"/>
            </a:ext>
          </a:extLst>
        </xdr:cNvPr>
        <xdr:cNvSpPr txBox="1">
          <a:spLocks noChangeArrowheads="1"/>
        </xdr:cNvSpPr>
      </xdr:nvSpPr>
      <xdr:spPr bwMode="auto">
        <a:xfrm>
          <a:off x="176149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24</xdr:col>
      <xdr:colOff>565150</xdr:colOff>
      <xdr:row>48</xdr:row>
      <xdr:rowOff>0</xdr:rowOff>
    </xdr:from>
    <xdr:ext cx="247650" cy="85725"/>
    <xdr:sp macro="" textlink="">
      <xdr:nvSpPr>
        <xdr:cNvPr id="10819" name="Text Box 1">
          <a:extLst>
            <a:ext uri="{FF2B5EF4-FFF2-40B4-BE49-F238E27FC236}">
              <a16:creationId xmlns:a16="http://schemas.microsoft.com/office/drawing/2014/main" id="{CF252F3F-17D3-4703-97C5-2921E065773B}"/>
            </a:ext>
          </a:extLst>
        </xdr:cNvPr>
        <xdr:cNvSpPr txBox="1">
          <a:spLocks noChangeArrowheads="1"/>
        </xdr:cNvSpPr>
      </xdr:nvSpPr>
      <xdr:spPr bwMode="auto">
        <a:xfrm>
          <a:off x="176149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25</xdr:col>
      <xdr:colOff>565150</xdr:colOff>
      <xdr:row>48</xdr:row>
      <xdr:rowOff>0</xdr:rowOff>
    </xdr:from>
    <xdr:ext cx="247650" cy="85725"/>
    <xdr:sp macro="" textlink="">
      <xdr:nvSpPr>
        <xdr:cNvPr id="10820" name="Text Box 1">
          <a:extLst>
            <a:ext uri="{FF2B5EF4-FFF2-40B4-BE49-F238E27FC236}">
              <a16:creationId xmlns:a16="http://schemas.microsoft.com/office/drawing/2014/main" id="{21C68137-115A-4CEA-AF4F-FFA16DEC14C8}"/>
            </a:ext>
          </a:extLst>
        </xdr:cNvPr>
        <xdr:cNvSpPr txBox="1">
          <a:spLocks noChangeArrowheads="1"/>
        </xdr:cNvSpPr>
      </xdr:nvSpPr>
      <xdr:spPr bwMode="auto">
        <a:xfrm>
          <a:off x="182435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25</xdr:col>
      <xdr:colOff>565150</xdr:colOff>
      <xdr:row>48</xdr:row>
      <xdr:rowOff>0</xdr:rowOff>
    </xdr:from>
    <xdr:ext cx="247650" cy="85725"/>
    <xdr:sp macro="" textlink="">
      <xdr:nvSpPr>
        <xdr:cNvPr id="10821" name="Text Box 1">
          <a:extLst>
            <a:ext uri="{FF2B5EF4-FFF2-40B4-BE49-F238E27FC236}">
              <a16:creationId xmlns:a16="http://schemas.microsoft.com/office/drawing/2014/main" id="{C6C5C037-BA5D-40B7-B704-FEA38D540804}"/>
            </a:ext>
          </a:extLst>
        </xdr:cNvPr>
        <xdr:cNvSpPr txBox="1">
          <a:spLocks noChangeArrowheads="1"/>
        </xdr:cNvSpPr>
      </xdr:nvSpPr>
      <xdr:spPr bwMode="auto">
        <a:xfrm>
          <a:off x="182435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26</xdr:col>
      <xdr:colOff>565150</xdr:colOff>
      <xdr:row>48</xdr:row>
      <xdr:rowOff>0</xdr:rowOff>
    </xdr:from>
    <xdr:ext cx="247650" cy="85725"/>
    <xdr:sp macro="" textlink="">
      <xdr:nvSpPr>
        <xdr:cNvPr id="10822" name="Text Box 1">
          <a:extLst>
            <a:ext uri="{FF2B5EF4-FFF2-40B4-BE49-F238E27FC236}">
              <a16:creationId xmlns:a16="http://schemas.microsoft.com/office/drawing/2014/main" id="{7A3FCB6F-C660-48F1-9401-F99B9D386BD4}"/>
            </a:ext>
          </a:extLst>
        </xdr:cNvPr>
        <xdr:cNvSpPr txBox="1">
          <a:spLocks noChangeArrowheads="1"/>
        </xdr:cNvSpPr>
      </xdr:nvSpPr>
      <xdr:spPr bwMode="auto">
        <a:xfrm>
          <a:off x="18764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26</xdr:col>
      <xdr:colOff>565150</xdr:colOff>
      <xdr:row>48</xdr:row>
      <xdr:rowOff>0</xdr:rowOff>
    </xdr:from>
    <xdr:ext cx="247650" cy="85725"/>
    <xdr:sp macro="" textlink="">
      <xdr:nvSpPr>
        <xdr:cNvPr id="10823" name="Text Box 1">
          <a:extLst>
            <a:ext uri="{FF2B5EF4-FFF2-40B4-BE49-F238E27FC236}">
              <a16:creationId xmlns:a16="http://schemas.microsoft.com/office/drawing/2014/main" id="{B30A2D36-8898-4D67-9F39-E11B8B166F11}"/>
            </a:ext>
          </a:extLst>
        </xdr:cNvPr>
        <xdr:cNvSpPr txBox="1">
          <a:spLocks noChangeArrowheads="1"/>
        </xdr:cNvSpPr>
      </xdr:nvSpPr>
      <xdr:spPr bwMode="auto">
        <a:xfrm>
          <a:off x="18764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565150</xdr:colOff>
      <xdr:row>48</xdr:row>
      <xdr:rowOff>0</xdr:rowOff>
    </xdr:from>
    <xdr:ext cx="247650" cy="85725"/>
    <xdr:sp macro="" textlink="">
      <xdr:nvSpPr>
        <xdr:cNvPr id="10824" name="Text Box 1">
          <a:extLst>
            <a:ext uri="{FF2B5EF4-FFF2-40B4-BE49-F238E27FC236}">
              <a16:creationId xmlns:a16="http://schemas.microsoft.com/office/drawing/2014/main" id="{4E5C02AB-C0BF-4378-9729-18DA1F7A7D9A}"/>
            </a:ext>
          </a:extLst>
        </xdr:cNvPr>
        <xdr:cNvSpPr txBox="1">
          <a:spLocks noChangeArrowheads="1"/>
        </xdr:cNvSpPr>
      </xdr:nvSpPr>
      <xdr:spPr bwMode="auto">
        <a:xfrm>
          <a:off x="193040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565150</xdr:colOff>
      <xdr:row>48</xdr:row>
      <xdr:rowOff>0</xdr:rowOff>
    </xdr:from>
    <xdr:ext cx="247650" cy="85725"/>
    <xdr:sp macro="" textlink="">
      <xdr:nvSpPr>
        <xdr:cNvPr id="10825" name="Text Box 1">
          <a:extLst>
            <a:ext uri="{FF2B5EF4-FFF2-40B4-BE49-F238E27FC236}">
              <a16:creationId xmlns:a16="http://schemas.microsoft.com/office/drawing/2014/main" id="{641B0950-4F3F-4CE8-8E3D-D9D4E17B2002}"/>
            </a:ext>
          </a:extLst>
        </xdr:cNvPr>
        <xdr:cNvSpPr txBox="1">
          <a:spLocks noChangeArrowheads="1"/>
        </xdr:cNvSpPr>
      </xdr:nvSpPr>
      <xdr:spPr bwMode="auto">
        <a:xfrm>
          <a:off x="193040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565150</xdr:colOff>
      <xdr:row>48</xdr:row>
      <xdr:rowOff>0</xdr:rowOff>
    </xdr:from>
    <xdr:ext cx="247650" cy="85725"/>
    <xdr:sp macro="" textlink="">
      <xdr:nvSpPr>
        <xdr:cNvPr id="10826" name="Text Box 1">
          <a:extLst>
            <a:ext uri="{FF2B5EF4-FFF2-40B4-BE49-F238E27FC236}">
              <a16:creationId xmlns:a16="http://schemas.microsoft.com/office/drawing/2014/main" id="{A6CDC0A1-992A-432F-AA79-65A65FF246F1}"/>
            </a:ext>
          </a:extLst>
        </xdr:cNvPr>
        <xdr:cNvSpPr txBox="1">
          <a:spLocks noChangeArrowheads="1"/>
        </xdr:cNvSpPr>
      </xdr:nvSpPr>
      <xdr:spPr bwMode="auto">
        <a:xfrm>
          <a:off x="204089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565150</xdr:colOff>
      <xdr:row>48</xdr:row>
      <xdr:rowOff>0</xdr:rowOff>
    </xdr:from>
    <xdr:ext cx="247650" cy="85725"/>
    <xdr:sp macro="" textlink="">
      <xdr:nvSpPr>
        <xdr:cNvPr id="10827" name="Text Box 1">
          <a:extLst>
            <a:ext uri="{FF2B5EF4-FFF2-40B4-BE49-F238E27FC236}">
              <a16:creationId xmlns:a16="http://schemas.microsoft.com/office/drawing/2014/main" id="{E1680F94-48A7-4A2C-81AE-034C1B67BD26}"/>
            </a:ext>
          </a:extLst>
        </xdr:cNvPr>
        <xdr:cNvSpPr txBox="1">
          <a:spLocks noChangeArrowheads="1"/>
        </xdr:cNvSpPr>
      </xdr:nvSpPr>
      <xdr:spPr bwMode="auto">
        <a:xfrm>
          <a:off x="204089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565150</xdr:colOff>
      <xdr:row>48</xdr:row>
      <xdr:rowOff>0</xdr:rowOff>
    </xdr:from>
    <xdr:ext cx="247650" cy="85725"/>
    <xdr:sp macro="" textlink="">
      <xdr:nvSpPr>
        <xdr:cNvPr id="10828" name="Text Box 1">
          <a:extLst>
            <a:ext uri="{FF2B5EF4-FFF2-40B4-BE49-F238E27FC236}">
              <a16:creationId xmlns:a16="http://schemas.microsoft.com/office/drawing/2014/main" id="{2ACFA7A3-EFF0-477B-A6D2-E6CEA4FBB1DC}"/>
            </a:ext>
          </a:extLst>
        </xdr:cNvPr>
        <xdr:cNvSpPr txBox="1">
          <a:spLocks noChangeArrowheads="1"/>
        </xdr:cNvSpPr>
      </xdr:nvSpPr>
      <xdr:spPr bwMode="auto">
        <a:xfrm>
          <a:off x="210629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565150</xdr:colOff>
      <xdr:row>48</xdr:row>
      <xdr:rowOff>0</xdr:rowOff>
    </xdr:from>
    <xdr:ext cx="247650" cy="85725"/>
    <xdr:sp macro="" textlink="">
      <xdr:nvSpPr>
        <xdr:cNvPr id="10829" name="Text Box 1">
          <a:extLst>
            <a:ext uri="{FF2B5EF4-FFF2-40B4-BE49-F238E27FC236}">
              <a16:creationId xmlns:a16="http://schemas.microsoft.com/office/drawing/2014/main" id="{DE93C2C6-D665-4995-AA9C-185B509B237B}"/>
            </a:ext>
          </a:extLst>
        </xdr:cNvPr>
        <xdr:cNvSpPr txBox="1">
          <a:spLocks noChangeArrowheads="1"/>
        </xdr:cNvSpPr>
      </xdr:nvSpPr>
      <xdr:spPr bwMode="auto">
        <a:xfrm>
          <a:off x="210629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31</xdr:col>
      <xdr:colOff>565150</xdr:colOff>
      <xdr:row>48</xdr:row>
      <xdr:rowOff>0</xdr:rowOff>
    </xdr:from>
    <xdr:ext cx="247650" cy="85725"/>
    <xdr:sp macro="" textlink="">
      <xdr:nvSpPr>
        <xdr:cNvPr id="10830" name="Text Box 1">
          <a:extLst>
            <a:ext uri="{FF2B5EF4-FFF2-40B4-BE49-F238E27FC236}">
              <a16:creationId xmlns:a16="http://schemas.microsoft.com/office/drawing/2014/main" id="{335F8353-6A06-4CDC-B7BB-BEFFDD7569C0}"/>
            </a:ext>
          </a:extLst>
        </xdr:cNvPr>
        <xdr:cNvSpPr txBox="1">
          <a:spLocks noChangeArrowheads="1"/>
        </xdr:cNvSpPr>
      </xdr:nvSpPr>
      <xdr:spPr bwMode="auto">
        <a:xfrm>
          <a:off x="216789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31</xdr:col>
      <xdr:colOff>565150</xdr:colOff>
      <xdr:row>48</xdr:row>
      <xdr:rowOff>0</xdr:rowOff>
    </xdr:from>
    <xdr:ext cx="247650" cy="85725"/>
    <xdr:sp macro="" textlink="">
      <xdr:nvSpPr>
        <xdr:cNvPr id="10831" name="Text Box 1">
          <a:extLst>
            <a:ext uri="{FF2B5EF4-FFF2-40B4-BE49-F238E27FC236}">
              <a16:creationId xmlns:a16="http://schemas.microsoft.com/office/drawing/2014/main" id="{4AB9C17F-2F6D-431C-B33D-3192FC2201A6}"/>
            </a:ext>
          </a:extLst>
        </xdr:cNvPr>
        <xdr:cNvSpPr txBox="1">
          <a:spLocks noChangeArrowheads="1"/>
        </xdr:cNvSpPr>
      </xdr:nvSpPr>
      <xdr:spPr bwMode="auto">
        <a:xfrm>
          <a:off x="216789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32</xdr:col>
      <xdr:colOff>565150</xdr:colOff>
      <xdr:row>48</xdr:row>
      <xdr:rowOff>0</xdr:rowOff>
    </xdr:from>
    <xdr:ext cx="247650" cy="85725"/>
    <xdr:sp macro="" textlink="">
      <xdr:nvSpPr>
        <xdr:cNvPr id="10832" name="Text Box 1">
          <a:extLst>
            <a:ext uri="{FF2B5EF4-FFF2-40B4-BE49-F238E27FC236}">
              <a16:creationId xmlns:a16="http://schemas.microsoft.com/office/drawing/2014/main" id="{A981BC71-3650-4877-B9FA-97896A9BA5CE}"/>
            </a:ext>
          </a:extLst>
        </xdr:cNvPr>
        <xdr:cNvSpPr txBox="1">
          <a:spLocks noChangeArrowheads="1"/>
        </xdr:cNvSpPr>
      </xdr:nvSpPr>
      <xdr:spPr bwMode="auto">
        <a:xfrm>
          <a:off x="223329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32</xdr:col>
      <xdr:colOff>565150</xdr:colOff>
      <xdr:row>48</xdr:row>
      <xdr:rowOff>0</xdr:rowOff>
    </xdr:from>
    <xdr:ext cx="247650" cy="85725"/>
    <xdr:sp macro="" textlink="">
      <xdr:nvSpPr>
        <xdr:cNvPr id="10833" name="Text Box 1">
          <a:extLst>
            <a:ext uri="{FF2B5EF4-FFF2-40B4-BE49-F238E27FC236}">
              <a16:creationId xmlns:a16="http://schemas.microsoft.com/office/drawing/2014/main" id="{9C217EC2-F205-4E51-9176-D07071AE1F06}"/>
            </a:ext>
          </a:extLst>
        </xdr:cNvPr>
        <xdr:cNvSpPr txBox="1">
          <a:spLocks noChangeArrowheads="1"/>
        </xdr:cNvSpPr>
      </xdr:nvSpPr>
      <xdr:spPr bwMode="auto">
        <a:xfrm>
          <a:off x="223329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33</xdr:col>
      <xdr:colOff>565150</xdr:colOff>
      <xdr:row>48</xdr:row>
      <xdr:rowOff>0</xdr:rowOff>
    </xdr:from>
    <xdr:ext cx="247650" cy="85725"/>
    <xdr:sp macro="" textlink="">
      <xdr:nvSpPr>
        <xdr:cNvPr id="10834" name="Text Box 1">
          <a:extLst>
            <a:ext uri="{FF2B5EF4-FFF2-40B4-BE49-F238E27FC236}">
              <a16:creationId xmlns:a16="http://schemas.microsoft.com/office/drawing/2014/main" id="{F13E0578-3B4F-4D02-B93F-78081B29C7A9}"/>
            </a:ext>
          </a:extLst>
        </xdr:cNvPr>
        <xdr:cNvSpPr txBox="1">
          <a:spLocks noChangeArrowheads="1"/>
        </xdr:cNvSpPr>
      </xdr:nvSpPr>
      <xdr:spPr bwMode="auto">
        <a:xfrm>
          <a:off x="229489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33</xdr:col>
      <xdr:colOff>565150</xdr:colOff>
      <xdr:row>48</xdr:row>
      <xdr:rowOff>0</xdr:rowOff>
    </xdr:from>
    <xdr:ext cx="247650" cy="85725"/>
    <xdr:sp macro="" textlink="">
      <xdr:nvSpPr>
        <xdr:cNvPr id="10835" name="Text Box 1">
          <a:extLst>
            <a:ext uri="{FF2B5EF4-FFF2-40B4-BE49-F238E27FC236}">
              <a16:creationId xmlns:a16="http://schemas.microsoft.com/office/drawing/2014/main" id="{764AC984-A7DA-460A-9DC6-7DFF13019EE0}"/>
            </a:ext>
          </a:extLst>
        </xdr:cNvPr>
        <xdr:cNvSpPr txBox="1">
          <a:spLocks noChangeArrowheads="1"/>
        </xdr:cNvSpPr>
      </xdr:nvSpPr>
      <xdr:spPr bwMode="auto">
        <a:xfrm>
          <a:off x="229489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565150</xdr:colOff>
      <xdr:row>48</xdr:row>
      <xdr:rowOff>0</xdr:rowOff>
    </xdr:from>
    <xdr:ext cx="247650" cy="85725"/>
    <xdr:sp macro="" textlink="">
      <xdr:nvSpPr>
        <xdr:cNvPr id="10836" name="Text Box 1">
          <a:extLst>
            <a:ext uri="{FF2B5EF4-FFF2-40B4-BE49-F238E27FC236}">
              <a16:creationId xmlns:a16="http://schemas.microsoft.com/office/drawing/2014/main" id="{DD1109ED-0526-4E32-8893-CAA49401A9ED}"/>
            </a:ext>
          </a:extLst>
        </xdr:cNvPr>
        <xdr:cNvSpPr txBox="1">
          <a:spLocks noChangeArrowheads="1"/>
        </xdr:cNvSpPr>
      </xdr:nvSpPr>
      <xdr:spPr bwMode="auto">
        <a:xfrm>
          <a:off x="235648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565150</xdr:colOff>
      <xdr:row>48</xdr:row>
      <xdr:rowOff>0</xdr:rowOff>
    </xdr:from>
    <xdr:ext cx="247650" cy="85725"/>
    <xdr:sp macro="" textlink="">
      <xdr:nvSpPr>
        <xdr:cNvPr id="10837" name="Text Box 1">
          <a:extLst>
            <a:ext uri="{FF2B5EF4-FFF2-40B4-BE49-F238E27FC236}">
              <a16:creationId xmlns:a16="http://schemas.microsoft.com/office/drawing/2014/main" id="{62404B92-C6DA-4DFD-8B90-B77F11C264D1}"/>
            </a:ext>
          </a:extLst>
        </xdr:cNvPr>
        <xdr:cNvSpPr txBox="1">
          <a:spLocks noChangeArrowheads="1"/>
        </xdr:cNvSpPr>
      </xdr:nvSpPr>
      <xdr:spPr bwMode="auto">
        <a:xfrm>
          <a:off x="235648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35</xdr:col>
      <xdr:colOff>565150</xdr:colOff>
      <xdr:row>48</xdr:row>
      <xdr:rowOff>0</xdr:rowOff>
    </xdr:from>
    <xdr:ext cx="247650" cy="85725"/>
    <xdr:sp macro="" textlink="">
      <xdr:nvSpPr>
        <xdr:cNvPr id="10838" name="Text Box 1">
          <a:extLst>
            <a:ext uri="{FF2B5EF4-FFF2-40B4-BE49-F238E27FC236}">
              <a16:creationId xmlns:a16="http://schemas.microsoft.com/office/drawing/2014/main" id="{DA12550E-88A0-48F1-AB84-F39B466E7B55}"/>
            </a:ext>
          </a:extLst>
        </xdr:cNvPr>
        <xdr:cNvSpPr txBox="1">
          <a:spLocks noChangeArrowheads="1"/>
        </xdr:cNvSpPr>
      </xdr:nvSpPr>
      <xdr:spPr bwMode="auto">
        <a:xfrm>
          <a:off x="245935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35</xdr:col>
      <xdr:colOff>565150</xdr:colOff>
      <xdr:row>48</xdr:row>
      <xdr:rowOff>0</xdr:rowOff>
    </xdr:from>
    <xdr:ext cx="247650" cy="85725"/>
    <xdr:sp macro="" textlink="">
      <xdr:nvSpPr>
        <xdr:cNvPr id="10839" name="Text Box 1">
          <a:extLst>
            <a:ext uri="{FF2B5EF4-FFF2-40B4-BE49-F238E27FC236}">
              <a16:creationId xmlns:a16="http://schemas.microsoft.com/office/drawing/2014/main" id="{86727CAD-9E20-44EC-A987-A184DC54CEE1}"/>
            </a:ext>
          </a:extLst>
        </xdr:cNvPr>
        <xdr:cNvSpPr txBox="1">
          <a:spLocks noChangeArrowheads="1"/>
        </xdr:cNvSpPr>
      </xdr:nvSpPr>
      <xdr:spPr bwMode="auto">
        <a:xfrm>
          <a:off x="245935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36</xdr:col>
      <xdr:colOff>565150</xdr:colOff>
      <xdr:row>48</xdr:row>
      <xdr:rowOff>0</xdr:rowOff>
    </xdr:from>
    <xdr:ext cx="247650" cy="85725"/>
    <xdr:sp macro="" textlink="">
      <xdr:nvSpPr>
        <xdr:cNvPr id="10840" name="Text Box 1">
          <a:extLst>
            <a:ext uri="{FF2B5EF4-FFF2-40B4-BE49-F238E27FC236}">
              <a16:creationId xmlns:a16="http://schemas.microsoft.com/office/drawing/2014/main" id="{10398036-32A2-45AD-A32F-2AB495189221}"/>
            </a:ext>
          </a:extLst>
        </xdr:cNvPr>
        <xdr:cNvSpPr txBox="1">
          <a:spLocks noChangeArrowheads="1"/>
        </xdr:cNvSpPr>
      </xdr:nvSpPr>
      <xdr:spPr bwMode="auto">
        <a:xfrm>
          <a:off x="252095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36</xdr:col>
      <xdr:colOff>565150</xdr:colOff>
      <xdr:row>48</xdr:row>
      <xdr:rowOff>0</xdr:rowOff>
    </xdr:from>
    <xdr:ext cx="247650" cy="85725"/>
    <xdr:sp macro="" textlink="">
      <xdr:nvSpPr>
        <xdr:cNvPr id="10841" name="Text Box 1">
          <a:extLst>
            <a:ext uri="{FF2B5EF4-FFF2-40B4-BE49-F238E27FC236}">
              <a16:creationId xmlns:a16="http://schemas.microsoft.com/office/drawing/2014/main" id="{6781BF18-8410-403A-B832-FC11695B3613}"/>
            </a:ext>
          </a:extLst>
        </xdr:cNvPr>
        <xdr:cNvSpPr txBox="1">
          <a:spLocks noChangeArrowheads="1"/>
        </xdr:cNvSpPr>
      </xdr:nvSpPr>
      <xdr:spPr bwMode="auto">
        <a:xfrm>
          <a:off x="252095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37</xdr:col>
      <xdr:colOff>565150</xdr:colOff>
      <xdr:row>48</xdr:row>
      <xdr:rowOff>0</xdr:rowOff>
    </xdr:from>
    <xdr:ext cx="247650" cy="85725"/>
    <xdr:sp macro="" textlink="">
      <xdr:nvSpPr>
        <xdr:cNvPr id="10842" name="Text Box 1">
          <a:extLst>
            <a:ext uri="{FF2B5EF4-FFF2-40B4-BE49-F238E27FC236}">
              <a16:creationId xmlns:a16="http://schemas.microsoft.com/office/drawing/2014/main" id="{4AB715B4-5920-4407-A64B-614DAAE7B28F}"/>
            </a:ext>
          </a:extLst>
        </xdr:cNvPr>
        <xdr:cNvSpPr txBox="1">
          <a:spLocks noChangeArrowheads="1"/>
        </xdr:cNvSpPr>
      </xdr:nvSpPr>
      <xdr:spPr bwMode="auto">
        <a:xfrm>
          <a:off x="258254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37</xdr:col>
      <xdr:colOff>565150</xdr:colOff>
      <xdr:row>48</xdr:row>
      <xdr:rowOff>0</xdr:rowOff>
    </xdr:from>
    <xdr:ext cx="247650" cy="85725"/>
    <xdr:sp macro="" textlink="">
      <xdr:nvSpPr>
        <xdr:cNvPr id="10843" name="Text Box 1">
          <a:extLst>
            <a:ext uri="{FF2B5EF4-FFF2-40B4-BE49-F238E27FC236}">
              <a16:creationId xmlns:a16="http://schemas.microsoft.com/office/drawing/2014/main" id="{75CC44B1-8001-46BB-BDCD-656D0ED19C91}"/>
            </a:ext>
          </a:extLst>
        </xdr:cNvPr>
        <xdr:cNvSpPr txBox="1">
          <a:spLocks noChangeArrowheads="1"/>
        </xdr:cNvSpPr>
      </xdr:nvSpPr>
      <xdr:spPr bwMode="auto">
        <a:xfrm>
          <a:off x="258254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565150</xdr:colOff>
      <xdr:row>48</xdr:row>
      <xdr:rowOff>0</xdr:rowOff>
    </xdr:from>
    <xdr:ext cx="247650" cy="85725"/>
    <xdr:sp macro="" textlink="">
      <xdr:nvSpPr>
        <xdr:cNvPr id="10844" name="Text Box 1">
          <a:extLst>
            <a:ext uri="{FF2B5EF4-FFF2-40B4-BE49-F238E27FC236}">
              <a16:creationId xmlns:a16="http://schemas.microsoft.com/office/drawing/2014/main" id="{201CB5AD-D10F-4669-8CE5-02B2DCFF7A27}"/>
            </a:ext>
          </a:extLst>
        </xdr:cNvPr>
        <xdr:cNvSpPr txBox="1">
          <a:spLocks noChangeArrowheads="1"/>
        </xdr:cNvSpPr>
      </xdr:nvSpPr>
      <xdr:spPr bwMode="auto">
        <a:xfrm>
          <a:off x="264414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565150</xdr:colOff>
      <xdr:row>48</xdr:row>
      <xdr:rowOff>0</xdr:rowOff>
    </xdr:from>
    <xdr:ext cx="247650" cy="85725"/>
    <xdr:sp macro="" textlink="">
      <xdr:nvSpPr>
        <xdr:cNvPr id="10845" name="Text Box 1">
          <a:extLst>
            <a:ext uri="{FF2B5EF4-FFF2-40B4-BE49-F238E27FC236}">
              <a16:creationId xmlns:a16="http://schemas.microsoft.com/office/drawing/2014/main" id="{7AE11CFD-B744-4845-A6B9-BDED50A39397}"/>
            </a:ext>
          </a:extLst>
        </xdr:cNvPr>
        <xdr:cNvSpPr txBox="1">
          <a:spLocks noChangeArrowheads="1"/>
        </xdr:cNvSpPr>
      </xdr:nvSpPr>
      <xdr:spPr bwMode="auto">
        <a:xfrm>
          <a:off x="264414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565150</xdr:colOff>
      <xdr:row>48</xdr:row>
      <xdr:rowOff>0</xdr:rowOff>
    </xdr:from>
    <xdr:ext cx="247650" cy="85725"/>
    <xdr:sp macro="" textlink="">
      <xdr:nvSpPr>
        <xdr:cNvPr id="10846" name="Text Box 1">
          <a:extLst>
            <a:ext uri="{FF2B5EF4-FFF2-40B4-BE49-F238E27FC236}">
              <a16:creationId xmlns:a16="http://schemas.microsoft.com/office/drawing/2014/main" id="{208F7B40-2AAB-4126-929A-6B1F729C73C7}"/>
            </a:ext>
          </a:extLst>
        </xdr:cNvPr>
        <xdr:cNvSpPr txBox="1">
          <a:spLocks noChangeArrowheads="1"/>
        </xdr:cNvSpPr>
      </xdr:nvSpPr>
      <xdr:spPr bwMode="auto">
        <a:xfrm>
          <a:off x="270954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565150</xdr:colOff>
      <xdr:row>48</xdr:row>
      <xdr:rowOff>0</xdr:rowOff>
    </xdr:from>
    <xdr:ext cx="247650" cy="85725"/>
    <xdr:sp macro="" textlink="">
      <xdr:nvSpPr>
        <xdr:cNvPr id="10847" name="Text Box 1">
          <a:extLst>
            <a:ext uri="{FF2B5EF4-FFF2-40B4-BE49-F238E27FC236}">
              <a16:creationId xmlns:a16="http://schemas.microsoft.com/office/drawing/2014/main" id="{1DC59754-406B-4C55-AE55-B86106A8BCED}"/>
            </a:ext>
          </a:extLst>
        </xdr:cNvPr>
        <xdr:cNvSpPr txBox="1">
          <a:spLocks noChangeArrowheads="1"/>
        </xdr:cNvSpPr>
      </xdr:nvSpPr>
      <xdr:spPr bwMode="auto">
        <a:xfrm>
          <a:off x="270954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40</xdr:col>
      <xdr:colOff>565150</xdr:colOff>
      <xdr:row>48</xdr:row>
      <xdr:rowOff>0</xdr:rowOff>
    </xdr:from>
    <xdr:ext cx="247650" cy="85725"/>
    <xdr:sp macro="" textlink="">
      <xdr:nvSpPr>
        <xdr:cNvPr id="10848" name="Text Box 1">
          <a:extLst>
            <a:ext uri="{FF2B5EF4-FFF2-40B4-BE49-F238E27FC236}">
              <a16:creationId xmlns:a16="http://schemas.microsoft.com/office/drawing/2014/main" id="{3BEF427F-C1DC-4BE1-9354-5B7660F9136A}"/>
            </a:ext>
          </a:extLst>
        </xdr:cNvPr>
        <xdr:cNvSpPr txBox="1">
          <a:spLocks noChangeArrowheads="1"/>
        </xdr:cNvSpPr>
      </xdr:nvSpPr>
      <xdr:spPr bwMode="auto">
        <a:xfrm>
          <a:off x="277114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40</xdr:col>
      <xdr:colOff>565150</xdr:colOff>
      <xdr:row>48</xdr:row>
      <xdr:rowOff>0</xdr:rowOff>
    </xdr:from>
    <xdr:ext cx="247650" cy="85725"/>
    <xdr:sp macro="" textlink="">
      <xdr:nvSpPr>
        <xdr:cNvPr id="10849" name="Text Box 1">
          <a:extLst>
            <a:ext uri="{FF2B5EF4-FFF2-40B4-BE49-F238E27FC236}">
              <a16:creationId xmlns:a16="http://schemas.microsoft.com/office/drawing/2014/main" id="{F20FBC39-F90E-4EA9-9C22-F48B5FEC3F7E}"/>
            </a:ext>
          </a:extLst>
        </xdr:cNvPr>
        <xdr:cNvSpPr txBox="1">
          <a:spLocks noChangeArrowheads="1"/>
        </xdr:cNvSpPr>
      </xdr:nvSpPr>
      <xdr:spPr bwMode="auto">
        <a:xfrm>
          <a:off x="277114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565150</xdr:colOff>
      <xdr:row>48</xdr:row>
      <xdr:rowOff>0</xdr:rowOff>
    </xdr:from>
    <xdr:ext cx="247650" cy="85725"/>
    <xdr:sp macro="" textlink="">
      <xdr:nvSpPr>
        <xdr:cNvPr id="10850" name="Text Box 1">
          <a:extLst>
            <a:ext uri="{FF2B5EF4-FFF2-40B4-BE49-F238E27FC236}">
              <a16:creationId xmlns:a16="http://schemas.microsoft.com/office/drawing/2014/main" id="{5C6D54E5-10C7-44DD-BB56-A09A7A382D60}"/>
            </a:ext>
          </a:extLst>
        </xdr:cNvPr>
        <xdr:cNvSpPr txBox="1">
          <a:spLocks noChangeArrowheads="1"/>
        </xdr:cNvSpPr>
      </xdr:nvSpPr>
      <xdr:spPr bwMode="auto">
        <a:xfrm>
          <a:off x="283273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565150</xdr:colOff>
      <xdr:row>48</xdr:row>
      <xdr:rowOff>0</xdr:rowOff>
    </xdr:from>
    <xdr:ext cx="247650" cy="85725"/>
    <xdr:sp macro="" textlink="">
      <xdr:nvSpPr>
        <xdr:cNvPr id="10851" name="Text Box 1">
          <a:extLst>
            <a:ext uri="{FF2B5EF4-FFF2-40B4-BE49-F238E27FC236}">
              <a16:creationId xmlns:a16="http://schemas.microsoft.com/office/drawing/2014/main" id="{9368FF4C-A173-4EBA-822F-549A1881A30D}"/>
            </a:ext>
          </a:extLst>
        </xdr:cNvPr>
        <xdr:cNvSpPr txBox="1">
          <a:spLocks noChangeArrowheads="1"/>
        </xdr:cNvSpPr>
      </xdr:nvSpPr>
      <xdr:spPr bwMode="auto">
        <a:xfrm>
          <a:off x="283273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42</xdr:col>
      <xdr:colOff>565150</xdr:colOff>
      <xdr:row>48</xdr:row>
      <xdr:rowOff>0</xdr:rowOff>
    </xdr:from>
    <xdr:ext cx="247650" cy="85725"/>
    <xdr:sp macro="" textlink="">
      <xdr:nvSpPr>
        <xdr:cNvPr id="10852" name="Text Box 1">
          <a:extLst>
            <a:ext uri="{FF2B5EF4-FFF2-40B4-BE49-F238E27FC236}">
              <a16:creationId xmlns:a16="http://schemas.microsoft.com/office/drawing/2014/main" id="{99EF801D-2415-4100-ADA3-682D5CF26897}"/>
            </a:ext>
          </a:extLst>
        </xdr:cNvPr>
        <xdr:cNvSpPr txBox="1">
          <a:spLocks noChangeArrowheads="1"/>
        </xdr:cNvSpPr>
      </xdr:nvSpPr>
      <xdr:spPr bwMode="auto">
        <a:xfrm>
          <a:off x="2837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42</xdr:col>
      <xdr:colOff>565150</xdr:colOff>
      <xdr:row>48</xdr:row>
      <xdr:rowOff>0</xdr:rowOff>
    </xdr:from>
    <xdr:ext cx="247650" cy="85725"/>
    <xdr:sp macro="" textlink="">
      <xdr:nvSpPr>
        <xdr:cNvPr id="10853" name="Text Box 1">
          <a:extLst>
            <a:ext uri="{FF2B5EF4-FFF2-40B4-BE49-F238E27FC236}">
              <a16:creationId xmlns:a16="http://schemas.microsoft.com/office/drawing/2014/main" id="{6CA39137-8319-464A-9125-ECA35F2AC334}"/>
            </a:ext>
          </a:extLst>
        </xdr:cNvPr>
        <xdr:cNvSpPr txBox="1">
          <a:spLocks noChangeArrowheads="1"/>
        </xdr:cNvSpPr>
      </xdr:nvSpPr>
      <xdr:spPr bwMode="auto">
        <a:xfrm>
          <a:off x="2837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43</xdr:col>
      <xdr:colOff>565150</xdr:colOff>
      <xdr:row>48</xdr:row>
      <xdr:rowOff>0</xdr:rowOff>
    </xdr:from>
    <xdr:ext cx="247650" cy="85725"/>
    <xdr:sp macro="" textlink="">
      <xdr:nvSpPr>
        <xdr:cNvPr id="10854" name="Text Box 1">
          <a:extLst>
            <a:ext uri="{FF2B5EF4-FFF2-40B4-BE49-F238E27FC236}">
              <a16:creationId xmlns:a16="http://schemas.microsoft.com/office/drawing/2014/main" id="{AF612166-6982-4AC2-8873-3348FDB306B8}"/>
            </a:ext>
          </a:extLst>
        </xdr:cNvPr>
        <xdr:cNvSpPr txBox="1">
          <a:spLocks noChangeArrowheads="1"/>
        </xdr:cNvSpPr>
      </xdr:nvSpPr>
      <xdr:spPr bwMode="auto">
        <a:xfrm>
          <a:off x="28943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43</xdr:col>
      <xdr:colOff>565150</xdr:colOff>
      <xdr:row>48</xdr:row>
      <xdr:rowOff>0</xdr:rowOff>
    </xdr:from>
    <xdr:ext cx="247650" cy="85725"/>
    <xdr:sp macro="" textlink="">
      <xdr:nvSpPr>
        <xdr:cNvPr id="10855" name="Text Box 1">
          <a:extLst>
            <a:ext uri="{FF2B5EF4-FFF2-40B4-BE49-F238E27FC236}">
              <a16:creationId xmlns:a16="http://schemas.microsoft.com/office/drawing/2014/main" id="{7915F2EB-2B9A-4207-9E7B-6528569BB881}"/>
            </a:ext>
          </a:extLst>
        </xdr:cNvPr>
        <xdr:cNvSpPr txBox="1">
          <a:spLocks noChangeArrowheads="1"/>
        </xdr:cNvSpPr>
      </xdr:nvSpPr>
      <xdr:spPr bwMode="auto">
        <a:xfrm>
          <a:off x="28943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44</xdr:col>
      <xdr:colOff>565150</xdr:colOff>
      <xdr:row>48</xdr:row>
      <xdr:rowOff>0</xdr:rowOff>
    </xdr:from>
    <xdr:ext cx="247650" cy="85725"/>
    <xdr:sp macro="" textlink="">
      <xdr:nvSpPr>
        <xdr:cNvPr id="10856" name="Text Box 1">
          <a:extLst>
            <a:ext uri="{FF2B5EF4-FFF2-40B4-BE49-F238E27FC236}">
              <a16:creationId xmlns:a16="http://schemas.microsoft.com/office/drawing/2014/main" id="{1362E0BA-4259-4FA9-A97E-0F9ED5FCF2C0}"/>
            </a:ext>
          </a:extLst>
        </xdr:cNvPr>
        <xdr:cNvSpPr txBox="1">
          <a:spLocks noChangeArrowheads="1"/>
        </xdr:cNvSpPr>
      </xdr:nvSpPr>
      <xdr:spPr bwMode="auto">
        <a:xfrm>
          <a:off x="29559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44</xdr:col>
      <xdr:colOff>565150</xdr:colOff>
      <xdr:row>48</xdr:row>
      <xdr:rowOff>0</xdr:rowOff>
    </xdr:from>
    <xdr:ext cx="247650" cy="85725"/>
    <xdr:sp macro="" textlink="">
      <xdr:nvSpPr>
        <xdr:cNvPr id="10857" name="Text Box 1">
          <a:extLst>
            <a:ext uri="{FF2B5EF4-FFF2-40B4-BE49-F238E27FC236}">
              <a16:creationId xmlns:a16="http://schemas.microsoft.com/office/drawing/2014/main" id="{21DC7ADF-3366-4F47-B5ED-2DFB3E8168AA}"/>
            </a:ext>
          </a:extLst>
        </xdr:cNvPr>
        <xdr:cNvSpPr txBox="1">
          <a:spLocks noChangeArrowheads="1"/>
        </xdr:cNvSpPr>
      </xdr:nvSpPr>
      <xdr:spPr bwMode="auto">
        <a:xfrm>
          <a:off x="29559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565150</xdr:colOff>
      <xdr:row>48</xdr:row>
      <xdr:rowOff>0</xdr:rowOff>
    </xdr:from>
    <xdr:ext cx="247650" cy="85725"/>
    <xdr:sp macro="" textlink="">
      <xdr:nvSpPr>
        <xdr:cNvPr id="10858" name="Text Box 1">
          <a:extLst>
            <a:ext uri="{FF2B5EF4-FFF2-40B4-BE49-F238E27FC236}">
              <a16:creationId xmlns:a16="http://schemas.microsoft.com/office/drawing/2014/main" id="{9CD91E8B-A154-42AF-87B3-772FBCDB79C8}"/>
            </a:ext>
          </a:extLst>
        </xdr:cNvPr>
        <xdr:cNvSpPr txBox="1">
          <a:spLocks noChangeArrowheads="1"/>
        </xdr:cNvSpPr>
      </xdr:nvSpPr>
      <xdr:spPr bwMode="auto">
        <a:xfrm>
          <a:off x="30213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565150</xdr:colOff>
      <xdr:row>48</xdr:row>
      <xdr:rowOff>0</xdr:rowOff>
    </xdr:from>
    <xdr:ext cx="247650" cy="85725"/>
    <xdr:sp macro="" textlink="">
      <xdr:nvSpPr>
        <xdr:cNvPr id="10859" name="Text Box 1">
          <a:extLst>
            <a:ext uri="{FF2B5EF4-FFF2-40B4-BE49-F238E27FC236}">
              <a16:creationId xmlns:a16="http://schemas.microsoft.com/office/drawing/2014/main" id="{6CC4896C-9FCE-4DF5-ADA2-3321C1550A92}"/>
            </a:ext>
          </a:extLst>
        </xdr:cNvPr>
        <xdr:cNvSpPr txBox="1">
          <a:spLocks noChangeArrowheads="1"/>
        </xdr:cNvSpPr>
      </xdr:nvSpPr>
      <xdr:spPr bwMode="auto">
        <a:xfrm>
          <a:off x="30213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565150</xdr:colOff>
      <xdr:row>48</xdr:row>
      <xdr:rowOff>0</xdr:rowOff>
    </xdr:from>
    <xdr:ext cx="247650" cy="85725"/>
    <xdr:sp macro="" textlink="">
      <xdr:nvSpPr>
        <xdr:cNvPr id="10860" name="Text Box 1">
          <a:extLst>
            <a:ext uri="{FF2B5EF4-FFF2-40B4-BE49-F238E27FC236}">
              <a16:creationId xmlns:a16="http://schemas.microsoft.com/office/drawing/2014/main" id="{59C3A18A-0E4C-4E44-895F-65522C3E88CF}"/>
            </a:ext>
          </a:extLst>
        </xdr:cNvPr>
        <xdr:cNvSpPr txBox="1">
          <a:spLocks noChangeArrowheads="1"/>
        </xdr:cNvSpPr>
      </xdr:nvSpPr>
      <xdr:spPr bwMode="auto">
        <a:xfrm>
          <a:off x="30829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565150</xdr:colOff>
      <xdr:row>48</xdr:row>
      <xdr:rowOff>0</xdr:rowOff>
    </xdr:from>
    <xdr:ext cx="247650" cy="85725"/>
    <xdr:sp macro="" textlink="">
      <xdr:nvSpPr>
        <xdr:cNvPr id="10861" name="Text Box 1">
          <a:extLst>
            <a:ext uri="{FF2B5EF4-FFF2-40B4-BE49-F238E27FC236}">
              <a16:creationId xmlns:a16="http://schemas.microsoft.com/office/drawing/2014/main" id="{60E4D2E8-B1A3-410B-AAC8-C943E9288544}"/>
            </a:ext>
          </a:extLst>
        </xdr:cNvPr>
        <xdr:cNvSpPr txBox="1">
          <a:spLocks noChangeArrowheads="1"/>
        </xdr:cNvSpPr>
      </xdr:nvSpPr>
      <xdr:spPr bwMode="auto">
        <a:xfrm>
          <a:off x="30829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35</xdr:col>
      <xdr:colOff>565150</xdr:colOff>
      <xdr:row>47</xdr:row>
      <xdr:rowOff>152400</xdr:rowOff>
    </xdr:from>
    <xdr:ext cx="247650" cy="85725"/>
    <xdr:sp macro="" textlink="">
      <xdr:nvSpPr>
        <xdr:cNvPr id="10862" name="Text Box 1">
          <a:extLst>
            <a:ext uri="{FF2B5EF4-FFF2-40B4-BE49-F238E27FC236}">
              <a16:creationId xmlns:a16="http://schemas.microsoft.com/office/drawing/2014/main" id="{C7909771-1E16-4A5B-AB0A-C316FFF47000}"/>
            </a:ext>
          </a:extLst>
        </xdr:cNvPr>
        <xdr:cNvSpPr txBox="1">
          <a:spLocks noChangeArrowheads="1"/>
        </xdr:cNvSpPr>
      </xdr:nvSpPr>
      <xdr:spPr bwMode="auto">
        <a:xfrm>
          <a:off x="24593550" y="13652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35</xdr:col>
      <xdr:colOff>565150</xdr:colOff>
      <xdr:row>48</xdr:row>
      <xdr:rowOff>0</xdr:rowOff>
    </xdr:from>
    <xdr:ext cx="247650" cy="85725"/>
    <xdr:sp macro="" textlink="">
      <xdr:nvSpPr>
        <xdr:cNvPr id="10863" name="Text Box 1">
          <a:extLst>
            <a:ext uri="{FF2B5EF4-FFF2-40B4-BE49-F238E27FC236}">
              <a16:creationId xmlns:a16="http://schemas.microsoft.com/office/drawing/2014/main" id="{CF1511DB-6782-44DB-BFEF-469FB8CEA7E8}"/>
            </a:ext>
          </a:extLst>
        </xdr:cNvPr>
        <xdr:cNvSpPr txBox="1">
          <a:spLocks noChangeArrowheads="1"/>
        </xdr:cNvSpPr>
      </xdr:nvSpPr>
      <xdr:spPr bwMode="auto">
        <a:xfrm>
          <a:off x="245935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35</xdr:col>
      <xdr:colOff>565150</xdr:colOff>
      <xdr:row>47</xdr:row>
      <xdr:rowOff>152400</xdr:rowOff>
    </xdr:from>
    <xdr:ext cx="247650" cy="85725"/>
    <xdr:sp macro="" textlink="">
      <xdr:nvSpPr>
        <xdr:cNvPr id="10864" name="Text Box 1">
          <a:extLst>
            <a:ext uri="{FF2B5EF4-FFF2-40B4-BE49-F238E27FC236}">
              <a16:creationId xmlns:a16="http://schemas.microsoft.com/office/drawing/2014/main" id="{EBA72C9A-BEE5-478A-9052-ED98D4626EFB}"/>
            </a:ext>
          </a:extLst>
        </xdr:cNvPr>
        <xdr:cNvSpPr txBox="1">
          <a:spLocks noChangeArrowheads="1"/>
        </xdr:cNvSpPr>
      </xdr:nvSpPr>
      <xdr:spPr bwMode="auto">
        <a:xfrm>
          <a:off x="24593550" y="13652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565150</xdr:colOff>
      <xdr:row>48</xdr:row>
      <xdr:rowOff>0</xdr:rowOff>
    </xdr:from>
    <xdr:ext cx="247650" cy="85725"/>
    <xdr:sp macro="" textlink="">
      <xdr:nvSpPr>
        <xdr:cNvPr id="10865" name="Text Box 1">
          <a:extLst>
            <a:ext uri="{FF2B5EF4-FFF2-40B4-BE49-F238E27FC236}">
              <a16:creationId xmlns:a16="http://schemas.microsoft.com/office/drawing/2014/main" id="{B651C432-E5F9-4C55-A861-69EF2914DE7C}"/>
            </a:ext>
          </a:extLst>
        </xdr:cNvPr>
        <xdr:cNvSpPr txBox="1">
          <a:spLocks noChangeArrowheads="1"/>
        </xdr:cNvSpPr>
      </xdr:nvSpPr>
      <xdr:spPr bwMode="auto">
        <a:xfrm>
          <a:off x="155575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565150</xdr:colOff>
      <xdr:row>48</xdr:row>
      <xdr:rowOff>0</xdr:rowOff>
    </xdr:from>
    <xdr:ext cx="247650" cy="85725"/>
    <xdr:sp macro="" textlink="">
      <xdr:nvSpPr>
        <xdr:cNvPr id="10866" name="Text Box 1">
          <a:extLst>
            <a:ext uri="{FF2B5EF4-FFF2-40B4-BE49-F238E27FC236}">
              <a16:creationId xmlns:a16="http://schemas.microsoft.com/office/drawing/2014/main" id="{568D0F65-528A-47C8-B294-9CDDEFC30169}"/>
            </a:ext>
          </a:extLst>
        </xdr:cNvPr>
        <xdr:cNvSpPr txBox="1">
          <a:spLocks noChangeArrowheads="1"/>
        </xdr:cNvSpPr>
      </xdr:nvSpPr>
      <xdr:spPr bwMode="auto">
        <a:xfrm>
          <a:off x="155575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21</xdr:col>
      <xdr:colOff>565150</xdr:colOff>
      <xdr:row>48</xdr:row>
      <xdr:rowOff>0</xdr:rowOff>
    </xdr:from>
    <xdr:ext cx="247650" cy="85725"/>
    <xdr:sp macro="" textlink="">
      <xdr:nvSpPr>
        <xdr:cNvPr id="10867" name="Text Box 1">
          <a:extLst>
            <a:ext uri="{FF2B5EF4-FFF2-40B4-BE49-F238E27FC236}">
              <a16:creationId xmlns:a16="http://schemas.microsoft.com/office/drawing/2014/main" id="{258AC6D5-DBE2-4980-B6C3-9287157C70EA}"/>
            </a:ext>
          </a:extLst>
        </xdr:cNvPr>
        <xdr:cNvSpPr txBox="1">
          <a:spLocks noChangeArrowheads="1"/>
        </xdr:cNvSpPr>
      </xdr:nvSpPr>
      <xdr:spPr bwMode="auto">
        <a:xfrm>
          <a:off x="159067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21</xdr:col>
      <xdr:colOff>565150</xdr:colOff>
      <xdr:row>48</xdr:row>
      <xdr:rowOff>0</xdr:rowOff>
    </xdr:from>
    <xdr:ext cx="247650" cy="85725"/>
    <xdr:sp macro="" textlink="">
      <xdr:nvSpPr>
        <xdr:cNvPr id="10868" name="Text Box 1">
          <a:extLst>
            <a:ext uri="{FF2B5EF4-FFF2-40B4-BE49-F238E27FC236}">
              <a16:creationId xmlns:a16="http://schemas.microsoft.com/office/drawing/2014/main" id="{68556913-BC25-4D43-ACEC-4375264A8160}"/>
            </a:ext>
          </a:extLst>
        </xdr:cNvPr>
        <xdr:cNvSpPr txBox="1">
          <a:spLocks noChangeArrowheads="1"/>
        </xdr:cNvSpPr>
      </xdr:nvSpPr>
      <xdr:spPr bwMode="auto">
        <a:xfrm>
          <a:off x="159067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21</xdr:col>
      <xdr:colOff>565150</xdr:colOff>
      <xdr:row>48</xdr:row>
      <xdr:rowOff>0</xdr:rowOff>
    </xdr:from>
    <xdr:ext cx="247650" cy="85725"/>
    <xdr:sp macro="" textlink="">
      <xdr:nvSpPr>
        <xdr:cNvPr id="10869" name="Text Box 1">
          <a:extLst>
            <a:ext uri="{FF2B5EF4-FFF2-40B4-BE49-F238E27FC236}">
              <a16:creationId xmlns:a16="http://schemas.microsoft.com/office/drawing/2014/main" id="{D95501BF-C12A-406B-9841-9BBC71C622E8}"/>
            </a:ext>
          </a:extLst>
        </xdr:cNvPr>
        <xdr:cNvSpPr txBox="1">
          <a:spLocks noChangeArrowheads="1"/>
        </xdr:cNvSpPr>
      </xdr:nvSpPr>
      <xdr:spPr bwMode="auto">
        <a:xfrm>
          <a:off x="159067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21</xdr:col>
      <xdr:colOff>565150</xdr:colOff>
      <xdr:row>48</xdr:row>
      <xdr:rowOff>0</xdr:rowOff>
    </xdr:from>
    <xdr:ext cx="247650" cy="85725"/>
    <xdr:sp macro="" textlink="">
      <xdr:nvSpPr>
        <xdr:cNvPr id="10870" name="Text Box 1">
          <a:extLst>
            <a:ext uri="{FF2B5EF4-FFF2-40B4-BE49-F238E27FC236}">
              <a16:creationId xmlns:a16="http://schemas.microsoft.com/office/drawing/2014/main" id="{AD6D3456-5FF6-498A-82C4-0121121B6F92}"/>
            </a:ext>
          </a:extLst>
        </xdr:cNvPr>
        <xdr:cNvSpPr txBox="1">
          <a:spLocks noChangeArrowheads="1"/>
        </xdr:cNvSpPr>
      </xdr:nvSpPr>
      <xdr:spPr bwMode="auto">
        <a:xfrm>
          <a:off x="159067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22</xdr:col>
      <xdr:colOff>565150</xdr:colOff>
      <xdr:row>48</xdr:row>
      <xdr:rowOff>0</xdr:rowOff>
    </xdr:from>
    <xdr:ext cx="247650" cy="85725"/>
    <xdr:sp macro="" textlink="">
      <xdr:nvSpPr>
        <xdr:cNvPr id="10871" name="Text Box 1">
          <a:extLst>
            <a:ext uri="{FF2B5EF4-FFF2-40B4-BE49-F238E27FC236}">
              <a16:creationId xmlns:a16="http://schemas.microsoft.com/office/drawing/2014/main" id="{9E3AEE6E-29D1-449E-92CA-14E5C58E245E}"/>
            </a:ext>
          </a:extLst>
        </xdr:cNvPr>
        <xdr:cNvSpPr txBox="1">
          <a:spLocks noChangeArrowheads="1"/>
        </xdr:cNvSpPr>
      </xdr:nvSpPr>
      <xdr:spPr bwMode="auto">
        <a:xfrm>
          <a:off x="164719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22</xdr:col>
      <xdr:colOff>565150</xdr:colOff>
      <xdr:row>48</xdr:row>
      <xdr:rowOff>0</xdr:rowOff>
    </xdr:from>
    <xdr:ext cx="247650" cy="85725"/>
    <xdr:sp macro="" textlink="">
      <xdr:nvSpPr>
        <xdr:cNvPr id="10872" name="Text Box 1">
          <a:extLst>
            <a:ext uri="{FF2B5EF4-FFF2-40B4-BE49-F238E27FC236}">
              <a16:creationId xmlns:a16="http://schemas.microsoft.com/office/drawing/2014/main" id="{8E421537-2A38-4AC7-B950-84659FF97FCA}"/>
            </a:ext>
          </a:extLst>
        </xdr:cNvPr>
        <xdr:cNvSpPr txBox="1">
          <a:spLocks noChangeArrowheads="1"/>
        </xdr:cNvSpPr>
      </xdr:nvSpPr>
      <xdr:spPr bwMode="auto">
        <a:xfrm>
          <a:off x="164719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22</xdr:col>
      <xdr:colOff>565150</xdr:colOff>
      <xdr:row>48</xdr:row>
      <xdr:rowOff>0</xdr:rowOff>
    </xdr:from>
    <xdr:ext cx="247650" cy="85725"/>
    <xdr:sp macro="" textlink="">
      <xdr:nvSpPr>
        <xdr:cNvPr id="10873" name="Text Box 1">
          <a:extLst>
            <a:ext uri="{FF2B5EF4-FFF2-40B4-BE49-F238E27FC236}">
              <a16:creationId xmlns:a16="http://schemas.microsoft.com/office/drawing/2014/main" id="{0490EC89-17FE-4895-B3FA-F33D57BC6F3B}"/>
            </a:ext>
          </a:extLst>
        </xdr:cNvPr>
        <xdr:cNvSpPr txBox="1">
          <a:spLocks noChangeArrowheads="1"/>
        </xdr:cNvSpPr>
      </xdr:nvSpPr>
      <xdr:spPr bwMode="auto">
        <a:xfrm>
          <a:off x="164719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22</xdr:col>
      <xdr:colOff>565150</xdr:colOff>
      <xdr:row>48</xdr:row>
      <xdr:rowOff>0</xdr:rowOff>
    </xdr:from>
    <xdr:ext cx="247650" cy="85725"/>
    <xdr:sp macro="" textlink="">
      <xdr:nvSpPr>
        <xdr:cNvPr id="10874" name="Text Box 1">
          <a:extLst>
            <a:ext uri="{FF2B5EF4-FFF2-40B4-BE49-F238E27FC236}">
              <a16:creationId xmlns:a16="http://schemas.microsoft.com/office/drawing/2014/main" id="{2A264CDD-E8EA-42EC-9E47-2BF944825248}"/>
            </a:ext>
          </a:extLst>
        </xdr:cNvPr>
        <xdr:cNvSpPr txBox="1">
          <a:spLocks noChangeArrowheads="1"/>
        </xdr:cNvSpPr>
      </xdr:nvSpPr>
      <xdr:spPr bwMode="auto">
        <a:xfrm>
          <a:off x="164719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565150</xdr:colOff>
      <xdr:row>48</xdr:row>
      <xdr:rowOff>0</xdr:rowOff>
    </xdr:from>
    <xdr:ext cx="247650" cy="85725"/>
    <xdr:sp macro="" textlink="">
      <xdr:nvSpPr>
        <xdr:cNvPr id="10875" name="Text Box 1">
          <a:extLst>
            <a:ext uri="{FF2B5EF4-FFF2-40B4-BE49-F238E27FC236}">
              <a16:creationId xmlns:a16="http://schemas.microsoft.com/office/drawing/2014/main" id="{F5E71D86-D38D-49CF-9248-85574611432B}"/>
            </a:ext>
          </a:extLst>
        </xdr:cNvPr>
        <xdr:cNvSpPr txBox="1">
          <a:spLocks noChangeArrowheads="1"/>
        </xdr:cNvSpPr>
      </xdr:nvSpPr>
      <xdr:spPr bwMode="auto">
        <a:xfrm>
          <a:off x="170497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565150</xdr:colOff>
      <xdr:row>48</xdr:row>
      <xdr:rowOff>0</xdr:rowOff>
    </xdr:from>
    <xdr:ext cx="247650" cy="85725"/>
    <xdr:sp macro="" textlink="">
      <xdr:nvSpPr>
        <xdr:cNvPr id="10876" name="Text Box 1">
          <a:extLst>
            <a:ext uri="{FF2B5EF4-FFF2-40B4-BE49-F238E27FC236}">
              <a16:creationId xmlns:a16="http://schemas.microsoft.com/office/drawing/2014/main" id="{AED90511-DC6B-45D4-B906-8DEC1A5AFB33}"/>
            </a:ext>
          </a:extLst>
        </xdr:cNvPr>
        <xdr:cNvSpPr txBox="1">
          <a:spLocks noChangeArrowheads="1"/>
        </xdr:cNvSpPr>
      </xdr:nvSpPr>
      <xdr:spPr bwMode="auto">
        <a:xfrm>
          <a:off x="170497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565150</xdr:colOff>
      <xdr:row>48</xdr:row>
      <xdr:rowOff>0</xdr:rowOff>
    </xdr:from>
    <xdr:ext cx="247650" cy="85725"/>
    <xdr:sp macro="" textlink="">
      <xdr:nvSpPr>
        <xdr:cNvPr id="10877" name="Text Box 1">
          <a:extLst>
            <a:ext uri="{FF2B5EF4-FFF2-40B4-BE49-F238E27FC236}">
              <a16:creationId xmlns:a16="http://schemas.microsoft.com/office/drawing/2014/main" id="{541DC6E9-AC50-45BC-96D4-1892A328A9A0}"/>
            </a:ext>
          </a:extLst>
        </xdr:cNvPr>
        <xdr:cNvSpPr txBox="1">
          <a:spLocks noChangeArrowheads="1"/>
        </xdr:cNvSpPr>
      </xdr:nvSpPr>
      <xdr:spPr bwMode="auto">
        <a:xfrm>
          <a:off x="170497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565150</xdr:colOff>
      <xdr:row>48</xdr:row>
      <xdr:rowOff>0</xdr:rowOff>
    </xdr:from>
    <xdr:ext cx="247650" cy="85725"/>
    <xdr:sp macro="" textlink="">
      <xdr:nvSpPr>
        <xdr:cNvPr id="10878" name="Text Box 1">
          <a:extLst>
            <a:ext uri="{FF2B5EF4-FFF2-40B4-BE49-F238E27FC236}">
              <a16:creationId xmlns:a16="http://schemas.microsoft.com/office/drawing/2014/main" id="{2F6CDCEE-78A9-4AF6-920F-A33231E23218}"/>
            </a:ext>
          </a:extLst>
        </xdr:cNvPr>
        <xdr:cNvSpPr txBox="1">
          <a:spLocks noChangeArrowheads="1"/>
        </xdr:cNvSpPr>
      </xdr:nvSpPr>
      <xdr:spPr bwMode="auto">
        <a:xfrm>
          <a:off x="170497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24</xdr:col>
      <xdr:colOff>565150</xdr:colOff>
      <xdr:row>48</xdr:row>
      <xdr:rowOff>0</xdr:rowOff>
    </xdr:from>
    <xdr:ext cx="247650" cy="85725"/>
    <xdr:sp macro="" textlink="">
      <xdr:nvSpPr>
        <xdr:cNvPr id="10879" name="Text Box 1">
          <a:extLst>
            <a:ext uri="{FF2B5EF4-FFF2-40B4-BE49-F238E27FC236}">
              <a16:creationId xmlns:a16="http://schemas.microsoft.com/office/drawing/2014/main" id="{B7DDD7A3-3B04-46E8-9DEF-12395C927884}"/>
            </a:ext>
          </a:extLst>
        </xdr:cNvPr>
        <xdr:cNvSpPr txBox="1">
          <a:spLocks noChangeArrowheads="1"/>
        </xdr:cNvSpPr>
      </xdr:nvSpPr>
      <xdr:spPr bwMode="auto">
        <a:xfrm>
          <a:off x="176149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24</xdr:col>
      <xdr:colOff>565150</xdr:colOff>
      <xdr:row>48</xdr:row>
      <xdr:rowOff>0</xdr:rowOff>
    </xdr:from>
    <xdr:ext cx="247650" cy="85725"/>
    <xdr:sp macro="" textlink="">
      <xdr:nvSpPr>
        <xdr:cNvPr id="10880" name="Text Box 1">
          <a:extLst>
            <a:ext uri="{FF2B5EF4-FFF2-40B4-BE49-F238E27FC236}">
              <a16:creationId xmlns:a16="http://schemas.microsoft.com/office/drawing/2014/main" id="{445B4890-8126-4E53-8F1C-50078CD3EAB3}"/>
            </a:ext>
          </a:extLst>
        </xdr:cNvPr>
        <xdr:cNvSpPr txBox="1">
          <a:spLocks noChangeArrowheads="1"/>
        </xdr:cNvSpPr>
      </xdr:nvSpPr>
      <xdr:spPr bwMode="auto">
        <a:xfrm>
          <a:off x="176149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24</xdr:col>
      <xdr:colOff>565150</xdr:colOff>
      <xdr:row>48</xdr:row>
      <xdr:rowOff>0</xdr:rowOff>
    </xdr:from>
    <xdr:ext cx="247650" cy="85725"/>
    <xdr:sp macro="" textlink="">
      <xdr:nvSpPr>
        <xdr:cNvPr id="10881" name="Text Box 1">
          <a:extLst>
            <a:ext uri="{FF2B5EF4-FFF2-40B4-BE49-F238E27FC236}">
              <a16:creationId xmlns:a16="http://schemas.microsoft.com/office/drawing/2014/main" id="{D88E28B2-05D0-477F-B903-3842E9A4087E}"/>
            </a:ext>
          </a:extLst>
        </xdr:cNvPr>
        <xdr:cNvSpPr txBox="1">
          <a:spLocks noChangeArrowheads="1"/>
        </xdr:cNvSpPr>
      </xdr:nvSpPr>
      <xdr:spPr bwMode="auto">
        <a:xfrm>
          <a:off x="176149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24</xdr:col>
      <xdr:colOff>565150</xdr:colOff>
      <xdr:row>48</xdr:row>
      <xdr:rowOff>0</xdr:rowOff>
    </xdr:from>
    <xdr:ext cx="247650" cy="85725"/>
    <xdr:sp macro="" textlink="">
      <xdr:nvSpPr>
        <xdr:cNvPr id="10882" name="Text Box 1">
          <a:extLst>
            <a:ext uri="{FF2B5EF4-FFF2-40B4-BE49-F238E27FC236}">
              <a16:creationId xmlns:a16="http://schemas.microsoft.com/office/drawing/2014/main" id="{BD0D94EE-1FF8-456D-893D-68CD697D41A3}"/>
            </a:ext>
          </a:extLst>
        </xdr:cNvPr>
        <xdr:cNvSpPr txBox="1">
          <a:spLocks noChangeArrowheads="1"/>
        </xdr:cNvSpPr>
      </xdr:nvSpPr>
      <xdr:spPr bwMode="auto">
        <a:xfrm>
          <a:off x="176149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25</xdr:col>
      <xdr:colOff>565150</xdr:colOff>
      <xdr:row>48</xdr:row>
      <xdr:rowOff>0</xdr:rowOff>
    </xdr:from>
    <xdr:ext cx="247650" cy="85725"/>
    <xdr:sp macro="" textlink="">
      <xdr:nvSpPr>
        <xdr:cNvPr id="10883" name="Text Box 1">
          <a:extLst>
            <a:ext uri="{FF2B5EF4-FFF2-40B4-BE49-F238E27FC236}">
              <a16:creationId xmlns:a16="http://schemas.microsoft.com/office/drawing/2014/main" id="{102570C0-7272-41CA-8AC1-AFA549B948D4}"/>
            </a:ext>
          </a:extLst>
        </xdr:cNvPr>
        <xdr:cNvSpPr txBox="1">
          <a:spLocks noChangeArrowheads="1"/>
        </xdr:cNvSpPr>
      </xdr:nvSpPr>
      <xdr:spPr bwMode="auto">
        <a:xfrm>
          <a:off x="182435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25</xdr:col>
      <xdr:colOff>565150</xdr:colOff>
      <xdr:row>48</xdr:row>
      <xdr:rowOff>0</xdr:rowOff>
    </xdr:from>
    <xdr:ext cx="247650" cy="85725"/>
    <xdr:sp macro="" textlink="">
      <xdr:nvSpPr>
        <xdr:cNvPr id="10884" name="Text Box 1">
          <a:extLst>
            <a:ext uri="{FF2B5EF4-FFF2-40B4-BE49-F238E27FC236}">
              <a16:creationId xmlns:a16="http://schemas.microsoft.com/office/drawing/2014/main" id="{ECB34801-F4A7-41C3-AB1E-64E68D5688C9}"/>
            </a:ext>
          </a:extLst>
        </xdr:cNvPr>
        <xdr:cNvSpPr txBox="1">
          <a:spLocks noChangeArrowheads="1"/>
        </xdr:cNvSpPr>
      </xdr:nvSpPr>
      <xdr:spPr bwMode="auto">
        <a:xfrm>
          <a:off x="182435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25</xdr:col>
      <xdr:colOff>565150</xdr:colOff>
      <xdr:row>48</xdr:row>
      <xdr:rowOff>0</xdr:rowOff>
    </xdr:from>
    <xdr:ext cx="247650" cy="85725"/>
    <xdr:sp macro="" textlink="">
      <xdr:nvSpPr>
        <xdr:cNvPr id="10885" name="Text Box 1">
          <a:extLst>
            <a:ext uri="{FF2B5EF4-FFF2-40B4-BE49-F238E27FC236}">
              <a16:creationId xmlns:a16="http://schemas.microsoft.com/office/drawing/2014/main" id="{B5612C2D-207E-460D-8B4C-4E283DA915DB}"/>
            </a:ext>
          </a:extLst>
        </xdr:cNvPr>
        <xdr:cNvSpPr txBox="1">
          <a:spLocks noChangeArrowheads="1"/>
        </xdr:cNvSpPr>
      </xdr:nvSpPr>
      <xdr:spPr bwMode="auto">
        <a:xfrm>
          <a:off x="182435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25</xdr:col>
      <xdr:colOff>565150</xdr:colOff>
      <xdr:row>48</xdr:row>
      <xdr:rowOff>0</xdr:rowOff>
    </xdr:from>
    <xdr:ext cx="247650" cy="85725"/>
    <xdr:sp macro="" textlink="">
      <xdr:nvSpPr>
        <xdr:cNvPr id="10886" name="Text Box 1">
          <a:extLst>
            <a:ext uri="{FF2B5EF4-FFF2-40B4-BE49-F238E27FC236}">
              <a16:creationId xmlns:a16="http://schemas.microsoft.com/office/drawing/2014/main" id="{AE594AB4-4B67-48AB-AE03-8536D4667476}"/>
            </a:ext>
          </a:extLst>
        </xdr:cNvPr>
        <xdr:cNvSpPr txBox="1">
          <a:spLocks noChangeArrowheads="1"/>
        </xdr:cNvSpPr>
      </xdr:nvSpPr>
      <xdr:spPr bwMode="auto">
        <a:xfrm>
          <a:off x="182435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26</xdr:col>
      <xdr:colOff>565150</xdr:colOff>
      <xdr:row>48</xdr:row>
      <xdr:rowOff>0</xdr:rowOff>
    </xdr:from>
    <xdr:ext cx="247650" cy="85725"/>
    <xdr:sp macro="" textlink="">
      <xdr:nvSpPr>
        <xdr:cNvPr id="10887" name="Text Box 1">
          <a:extLst>
            <a:ext uri="{FF2B5EF4-FFF2-40B4-BE49-F238E27FC236}">
              <a16:creationId xmlns:a16="http://schemas.microsoft.com/office/drawing/2014/main" id="{850D1D74-2BC6-4B14-9761-93BCC2A9F633}"/>
            </a:ext>
          </a:extLst>
        </xdr:cNvPr>
        <xdr:cNvSpPr txBox="1">
          <a:spLocks noChangeArrowheads="1"/>
        </xdr:cNvSpPr>
      </xdr:nvSpPr>
      <xdr:spPr bwMode="auto">
        <a:xfrm>
          <a:off x="18764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26</xdr:col>
      <xdr:colOff>565150</xdr:colOff>
      <xdr:row>48</xdr:row>
      <xdr:rowOff>0</xdr:rowOff>
    </xdr:from>
    <xdr:ext cx="247650" cy="85725"/>
    <xdr:sp macro="" textlink="">
      <xdr:nvSpPr>
        <xdr:cNvPr id="10888" name="Text Box 1">
          <a:extLst>
            <a:ext uri="{FF2B5EF4-FFF2-40B4-BE49-F238E27FC236}">
              <a16:creationId xmlns:a16="http://schemas.microsoft.com/office/drawing/2014/main" id="{494E3FD6-0F63-4840-94E6-7D29CAA06921}"/>
            </a:ext>
          </a:extLst>
        </xdr:cNvPr>
        <xdr:cNvSpPr txBox="1">
          <a:spLocks noChangeArrowheads="1"/>
        </xdr:cNvSpPr>
      </xdr:nvSpPr>
      <xdr:spPr bwMode="auto">
        <a:xfrm>
          <a:off x="18764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26</xdr:col>
      <xdr:colOff>565150</xdr:colOff>
      <xdr:row>48</xdr:row>
      <xdr:rowOff>0</xdr:rowOff>
    </xdr:from>
    <xdr:ext cx="247650" cy="85725"/>
    <xdr:sp macro="" textlink="">
      <xdr:nvSpPr>
        <xdr:cNvPr id="10889" name="Text Box 1">
          <a:extLst>
            <a:ext uri="{FF2B5EF4-FFF2-40B4-BE49-F238E27FC236}">
              <a16:creationId xmlns:a16="http://schemas.microsoft.com/office/drawing/2014/main" id="{EAD8A4D2-DC2A-41E0-8DD4-0C350FBEED0B}"/>
            </a:ext>
          </a:extLst>
        </xdr:cNvPr>
        <xdr:cNvSpPr txBox="1">
          <a:spLocks noChangeArrowheads="1"/>
        </xdr:cNvSpPr>
      </xdr:nvSpPr>
      <xdr:spPr bwMode="auto">
        <a:xfrm>
          <a:off x="18764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26</xdr:col>
      <xdr:colOff>565150</xdr:colOff>
      <xdr:row>48</xdr:row>
      <xdr:rowOff>0</xdr:rowOff>
    </xdr:from>
    <xdr:ext cx="247650" cy="85725"/>
    <xdr:sp macro="" textlink="">
      <xdr:nvSpPr>
        <xdr:cNvPr id="10890" name="Text Box 1">
          <a:extLst>
            <a:ext uri="{FF2B5EF4-FFF2-40B4-BE49-F238E27FC236}">
              <a16:creationId xmlns:a16="http://schemas.microsoft.com/office/drawing/2014/main" id="{932C4365-5DE0-4F26-A0B2-3D9852F522FA}"/>
            </a:ext>
          </a:extLst>
        </xdr:cNvPr>
        <xdr:cNvSpPr txBox="1">
          <a:spLocks noChangeArrowheads="1"/>
        </xdr:cNvSpPr>
      </xdr:nvSpPr>
      <xdr:spPr bwMode="auto">
        <a:xfrm>
          <a:off x="18764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565150</xdr:colOff>
      <xdr:row>48</xdr:row>
      <xdr:rowOff>0</xdr:rowOff>
    </xdr:from>
    <xdr:ext cx="247650" cy="85725"/>
    <xdr:sp macro="" textlink="">
      <xdr:nvSpPr>
        <xdr:cNvPr id="10891" name="Text Box 1">
          <a:extLst>
            <a:ext uri="{FF2B5EF4-FFF2-40B4-BE49-F238E27FC236}">
              <a16:creationId xmlns:a16="http://schemas.microsoft.com/office/drawing/2014/main" id="{2FA5F995-52EE-4920-B0FF-F58B7A701312}"/>
            </a:ext>
          </a:extLst>
        </xdr:cNvPr>
        <xdr:cNvSpPr txBox="1">
          <a:spLocks noChangeArrowheads="1"/>
        </xdr:cNvSpPr>
      </xdr:nvSpPr>
      <xdr:spPr bwMode="auto">
        <a:xfrm>
          <a:off x="193040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565150</xdr:colOff>
      <xdr:row>48</xdr:row>
      <xdr:rowOff>0</xdr:rowOff>
    </xdr:from>
    <xdr:ext cx="247650" cy="85725"/>
    <xdr:sp macro="" textlink="">
      <xdr:nvSpPr>
        <xdr:cNvPr id="10892" name="Text Box 1">
          <a:extLst>
            <a:ext uri="{FF2B5EF4-FFF2-40B4-BE49-F238E27FC236}">
              <a16:creationId xmlns:a16="http://schemas.microsoft.com/office/drawing/2014/main" id="{BD021883-18CC-4567-AF1B-543FC9BA79E3}"/>
            </a:ext>
          </a:extLst>
        </xdr:cNvPr>
        <xdr:cNvSpPr txBox="1">
          <a:spLocks noChangeArrowheads="1"/>
        </xdr:cNvSpPr>
      </xdr:nvSpPr>
      <xdr:spPr bwMode="auto">
        <a:xfrm>
          <a:off x="193040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565150</xdr:colOff>
      <xdr:row>48</xdr:row>
      <xdr:rowOff>0</xdr:rowOff>
    </xdr:from>
    <xdr:ext cx="247650" cy="85725"/>
    <xdr:sp macro="" textlink="">
      <xdr:nvSpPr>
        <xdr:cNvPr id="10893" name="Text Box 1">
          <a:extLst>
            <a:ext uri="{FF2B5EF4-FFF2-40B4-BE49-F238E27FC236}">
              <a16:creationId xmlns:a16="http://schemas.microsoft.com/office/drawing/2014/main" id="{13147499-B1BE-4C7F-AB7E-8061B7495C75}"/>
            </a:ext>
          </a:extLst>
        </xdr:cNvPr>
        <xdr:cNvSpPr txBox="1">
          <a:spLocks noChangeArrowheads="1"/>
        </xdr:cNvSpPr>
      </xdr:nvSpPr>
      <xdr:spPr bwMode="auto">
        <a:xfrm>
          <a:off x="193040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565150</xdr:colOff>
      <xdr:row>48</xdr:row>
      <xdr:rowOff>0</xdr:rowOff>
    </xdr:from>
    <xdr:ext cx="247650" cy="85725"/>
    <xdr:sp macro="" textlink="">
      <xdr:nvSpPr>
        <xdr:cNvPr id="10894" name="Text Box 1">
          <a:extLst>
            <a:ext uri="{FF2B5EF4-FFF2-40B4-BE49-F238E27FC236}">
              <a16:creationId xmlns:a16="http://schemas.microsoft.com/office/drawing/2014/main" id="{83E511D6-DE35-4FC5-B472-31E7F5E650FD}"/>
            </a:ext>
          </a:extLst>
        </xdr:cNvPr>
        <xdr:cNvSpPr txBox="1">
          <a:spLocks noChangeArrowheads="1"/>
        </xdr:cNvSpPr>
      </xdr:nvSpPr>
      <xdr:spPr bwMode="auto">
        <a:xfrm>
          <a:off x="193040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565150</xdr:colOff>
      <xdr:row>48</xdr:row>
      <xdr:rowOff>0</xdr:rowOff>
    </xdr:from>
    <xdr:ext cx="247650" cy="85725"/>
    <xdr:sp macro="" textlink="">
      <xdr:nvSpPr>
        <xdr:cNvPr id="10895" name="Text Box 1">
          <a:extLst>
            <a:ext uri="{FF2B5EF4-FFF2-40B4-BE49-F238E27FC236}">
              <a16:creationId xmlns:a16="http://schemas.microsoft.com/office/drawing/2014/main" id="{DCB9340C-392B-47A4-807F-C26177920736}"/>
            </a:ext>
          </a:extLst>
        </xdr:cNvPr>
        <xdr:cNvSpPr txBox="1">
          <a:spLocks noChangeArrowheads="1"/>
        </xdr:cNvSpPr>
      </xdr:nvSpPr>
      <xdr:spPr bwMode="auto">
        <a:xfrm>
          <a:off x="204089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565150</xdr:colOff>
      <xdr:row>48</xdr:row>
      <xdr:rowOff>0</xdr:rowOff>
    </xdr:from>
    <xdr:ext cx="247650" cy="85725"/>
    <xdr:sp macro="" textlink="">
      <xdr:nvSpPr>
        <xdr:cNvPr id="10896" name="Text Box 1">
          <a:extLst>
            <a:ext uri="{FF2B5EF4-FFF2-40B4-BE49-F238E27FC236}">
              <a16:creationId xmlns:a16="http://schemas.microsoft.com/office/drawing/2014/main" id="{535A344B-BBD3-44DF-BC29-5815D895DFE7}"/>
            </a:ext>
          </a:extLst>
        </xdr:cNvPr>
        <xdr:cNvSpPr txBox="1">
          <a:spLocks noChangeArrowheads="1"/>
        </xdr:cNvSpPr>
      </xdr:nvSpPr>
      <xdr:spPr bwMode="auto">
        <a:xfrm>
          <a:off x="204089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565150</xdr:colOff>
      <xdr:row>48</xdr:row>
      <xdr:rowOff>0</xdr:rowOff>
    </xdr:from>
    <xdr:ext cx="247650" cy="85725"/>
    <xdr:sp macro="" textlink="">
      <xdr:nvSpPr>
        <xdr:cNvPr id="10897" name="Text Box 1">
          <a:extLst>
            <a:ext uri="{FF2B5EF4-FFF2-40B4-BE49-F238E27FC236}">
              <a16:creationId xmlns:a16="http://schemas.microsoft.com/office/drawing/2014/main" id="{F4EAB4D3-D3E5-448E-B8A4-7859BBD69BCD}"/>
            </a:ext>
          </a:extLst>
        </xdr:cNvPr>
        <xdr:cNvSpPr txBox="1">
          <a:spLocks noChangeArrowheads="1"/>
        </xdr:cNvSpPr>
      </xdr:nvSpPr>
      <xdr:spPr bwMode="auto">
        <a:xfrm>
          <a:off x="204089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565150</xdr:colOff>
      <xdr:row>48</xdr:row>
      <xdr:rowOff>0</xdr:rowOff>
    </xdr:from>
    <xdr:ext cx="247650" cy="85725"/>
    <xdr:sp macro="" textlink="">
      <xdr:nvSpPr>
        <xdr:cNvPr id="10898" name="Text Box 1">
          <a:extLst>
            <a:ext uri="{FF2B5EF4-FFF2-40B4-BE49-F238E27FC236}">
              <a16:creationId xmlns:a16="http://schemas.microsoft.com/office/drawing/2014/main" id="{79E0F378-D54F-4DB4-A0DF-76700FFD1AC8}"/>
            </a:ext>
          </a:extLst>
        </xdr:cNvPr>
        <xdr:cNvSpPr txBox="1">
          <a:spLocks noChangeArrowheads="1"/>
        </xdr:cNvSpPr>
      </xdr:nvSpPr>
      <xdr:spPr bwMode="auto">
        <a:xfrm>
          <a:off x="204089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565150</xdr:colOff>
      <xdr:row>48</xdr:row>
      <xdr:rowOff>0</xdr:rowOff>
    </xdr:from>
    <xdr:ext cx="247650" cy="85725"/>
    <xdr:sp macro="" textlink="">
      <xdr:nvSpPr>
        <xdr:cNvPr id="10899" name="Text Box 1">
          <a:extLst>
            <a:ext uri="{FF2B5EF4-FFF2-40B4-BE49-F238E27FC236}">
              <a16:creationId xmlns:a16="http://schemas.microsoft.com/office/drawing/2014/main" id="{4171351D-327B-47EC-95B7-06BA96EC9BA1}"/>
            </a:ext>
          </a:extLst>
        </xdr:cNvPr>
        <xdr:cNvSpPr txBox="1">
          <a:spLocks noChangeArrowheads="1"/>
        </xdr:cNvSpPr>
      </xdr:nvSpPr>
      <xdr:spPr bwMode="auto">
        <a:xfrm>
          <a:off x="210629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565150</xdr:colOff>
      <xdr:row>48</xdr:row>
      <xdr:rowOff>0</xdr:rowOff>
    </xdr:from>
    <xdr:ext cx="247650" cy="85725"/>
    <xdr:sp macro="" textlink="">
      <xdr:nvSpPr>
        <xdr:cNvPr id="10900" name="Text Box 1">
          <a:extLst>
            <a:ext uri="{FF2B5EF4-FFF2-40B4-BE49-F238E27FC236}">
              <a16:creationId xmlns:a16="http://schemas.microsoft.com/office/drawing/2014/main" id="{1551D173-2CB0-4C4D-BC1F-8465926A1EF9}"/>
            </a:ext>
          </a:extLst>
        </xdr:cNvPr>
        <xdr:cNvSpPr txBox="1">
          <a:spLocks noChangeArrowheads="1"/>
        </xdr:cNvSpPr>
      </xdr:nvSpPr>
      <xdr:spPr bwMode="auto">
        <a:xfrm>
          <a:off x="210629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565150</xdr:colOff>
      <xdr:row>48</xdr:row>
      <xdr:rowOff>0</xdr:rowOff>
    </xdr:from>
    <xdr:ext cx="247650" cy="85725"/>
    <xdr:sp macro="" textlink="">
      <xdr:nvSpPr>
        <xdr:cNvPr id="10901" name="Text Box 1">
          <a:extLst>
            <a:ext uri="{FF2B5EF4-FFF2-40B4-BE49-F238E27FC236}">
              <a16:creationId xmlns:a16="http://schemas.microsoft.com/office/drawing/2014/main" id="{E4554954-3D5D-4A9B-A12C-B9F694B357B6}"/>
            </a:ext>
          </a:extLst>
        </xdr:cNvPr>
        <xdr:cNvSpPr txBox="1">
          <a:spLocks noChangeArrowheads="1"/>
        </xdr:cNvSpPr>
      </xdr:nvSpPr>
      <xdr:spPr bwMode="auto">
        <a:xfrm>
          <a:off x="210629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565150</xdr:colOff>
      <xdr:row>48</xdr:row>
      <xdr:rowOff>0</xdr:rowOff>
    </xdr:from>
    <xdr:ext cx="247650" cy="85725"/>
    <xdr:sp macro="" textlink="">
      <xdr:nvSpPr>
        <xdr:cNvPr id="10902" name="Text Box 1">
          <a:extLst>
            <a:ext uri="{FF2B5EF4-FFF2-40B4-BE49-F238E27FC236}">
              <a16:creationId xmlns:a16="http://schemas.microsoft.com/office/drawing/2014/main" id="{F109D40D-6FC3-42E3-940C-41F9EE8F83D2}"/>
            </a:ext>
          </a:extLst>
        </xdr:cNvPr>
        <xdr:cNvSpPr txBox="1">
          <a:spLocks noChangeArrowheads="1"/>
        </xdr:cNvSpPr>
      </xdr:nvSpPr>
      <xdr:spPr bwMode="auto">
        <a:xfrm>
          <a:off x="210629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31</xdr:col>
      <xdr:colOff>565150</xdr:colOff>
      <xdr:row>48</xdr:row>
      <xdr:rowOff>0</xdr:rowOff>
    </xdr:from>
    <xdr:ext cx="247650" cy="85725"/>
    <xdr:sp macro="" textlink="">
      <xdr:nvSpPr>
        <xdr:cNvPr id="10903" name="Text Box 1">
          <a:extLst>
            <a:ext uri="{FF2B5EF4-FFF2-40B4-BE49-F238E27FC236}">
              <a16:creationId xmlns:a16="http://schemas.microsoft.com/office/drawing/2014/main" id="{8AD3DFF4-3842-430D-97C0-F918D65B9319}"/>
            </a:ext>
          </a:extLst>
        </xdr:cNvPr>
        <xdr:cNvSpPr txBox="1">
          <a:spLocks noChangeArrowheads="1"/>
        </xdr:cNvSpPr>
      </xdr:nvSpPr>
      <xdr:spPr bwMode="auto">
        <a:xfrm>
          <a:off x="216789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31</xdr:col>
      <xdr:colOff>565150</xdr:colOff>
      <xdr:row>48</xdr:row>
      <xdr:rowOff>0</xdr:rowOff>
    </xdr:from>
    <xdr:ext cx="247650" cy="85725"/>
    <xdr:sp macro="" textlink="">
      <xdr:nvSpPr>
        <xdr:cNvPr id="10904" name="Text Box 1">
          <a:extLst>
            <a:ext uri="{FF2B5EF4-FFF2-40B4-BE49-F238E27FC236}">
              <a16:creationId xmlns:a16="http://schemas.microsoft.com/office/drawing/2014/main" id="{C3243A10-4AF5-4BD4-9785-24B710D562D0}"/>
            </a:ext>
          </a:extLst>
        </xdr:cNvPr>
        <xdr:cNvSpPr txBox="1">
          <a:spLocks noChangeArrowheads="1"/>
        </xdr:cNvSpPr>
      </xdr:nvSpPr>
      <xdr:spPr bwMode="auto">
        <a:xfrm>
          <a:off x="216789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31</xdr:col>
      <xdr:colOff>565150</xdr:colOff>
      <xdr:row>48</xdr:row>
      <xdr:rowOff>0</xdr:rowOff>
    </xdr:from>
    <xdr:ext cx="247650" cy="85725"/>
    <xdr:sp macro="" textlink="">
      <xdr:nvSpPr>
        <xdr:cNvPr id="10905" name="Text Box 1">
          <a:extLst>
            <a:ext uri="{FF2B5EF4-FFF2-40B4-BE49-F238E27FC236}">
              <a16:creationId xmlns:a16="http://schemas.microsoft.com/office/drawing/2014/main" id="{C2233C6E-A14F-44A9-A8ED-704B0D0D7C80}"/>
            </a:ext>
          </a:extLst>
        </xdr:cNvPr>
        <xdr:cNvSpPr txBox="1">
          <a:spLocks noChangeArrowheads="1"/>
        </xdr:cNvSpPr>
      </xdr:nvSpPr>
      <xdr:spPr bwMode="auto">
        <a:xfrm>
          <a:off x="216789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31</xdr:col>
      <xdr:colOff>565150</xdr:colOff>
      <xdr:row>48</xdr:row>
      <xdr:rowOff>0</xdr:rowOff>
    </xdr:from>
    <xdr:ext cx="247650" cy="85725"/>
    <xdr:sp macro="" textlink="">
      <xdr:nvSpPr>
        <xdr:cNvPr id="10906" name="Text Box 1">
          <a:extLst>
            <a:ext uri="{FF2B5EF4-FFF2-40B4-BE49-F238E27FC236}">
              <a16:creationId xmlns:a16="http://schemas.microsoft.com/office/drawing/2014/main" id="{D36FBDBE-7675-49D8-8A32-B167FA2CF70A}"/>
            </a:ext>
          </a:extLst>
        </xdr:cNvPr>
        <xdr:cNvSpPr txBox="1">
          <a:spLocks noChangeArrowheads="1"/>
        </xdr:cNvSpPr>
      </xdr:nvSpPr>
      <xdr:spPr bwMode="auto">
        <a:xfrm>
          <a:off x="216789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32</xdr:col>
      <xdr:colOff>565150</xdr:colOff>
      <xdr:row>48</xdr:row>
      <xdr:rowOff>0</xdr:rowOff>
    </xdr:from>
    <xdr:ext cx="247650" cy="85725"/>
    <xdr:sp macro="" textlink="">
      <xdr:nvSpPr>
        <xdr:cNvPr id="10907" name="Text Box 1">
          <a:extLst>
            <a:ext uri="{FF2B5EF4-FFF2-40B4-BE49-F238E27FC236}">
              <a16:creationId xmlns:a16="http://schemas.microsoft.com/office/drawing/2014/main" id="{26859B2E-7FDD-4E2E-B10F-F8275E2C2F04}"/>
            </a:ext>
          </a:extLst>
        </xdr:cNvPr>
        <xdr:cNvSpPr txBox="1">
          <a:spLocks noChangeArrowheads="1"/>
        </xdr:cNvSpPr>
      </xdr:nvSpPr>
      <xdr:spPr bwMode="auto">
        <a:xfrm>
          <a:off x="223329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32</xdr:col>
      <xdr:colOff>565150</xdr:colOff>
      <xdr:row>48</xdr:row>
      <xdr:rowOff>0</xdr:rowOff>
    </xdr:from>
    <xdr:ext cx="247650" cy="85725"/>
    <xdr:sp macro="" textlink="">
      <xdr:nvSpPr>
        <xdr:cNvPr id="10908" name="Text Box 1">
          <a:extLst>
            <a:ext uri="{FF2B5EF4-FFF2-40B4-BE49-F238E27FC236}">
              <a16:creationId xmlns:a16="http://schemas.microsoft.com/office/drawing/2014/main" id="{67A6648D-4ADB-4557-94DB-2CD5476F4F64}"/>
            </a:ext>
          </a:extLst>
        </xdr:cNvPr>
        <xdr:cNvSpPr txBox="1">
          <a:spLocks noChangeArrowheads="1"/>
        </xdr:cNvSpPr>
      </xdr:nvSpPr>
      <xdr:spPr bwMode="auto">
        <a:xfrm>
          <a:off x="223329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32</xdr:col>
      <xdr:colOff>565150</xdr:colOff>
      <xdr:row>48</xdr:row>
      <xdr:rowOff>0</xdr:rowOff>
    </xdr:from>
    <xdr:ext cx="247650" cy="85725"/>
    <xdr:sp macro="" textlink="">
      <xdr:nvSpPr>
        <xdr:cNvPr id="10909" name="Text Box 1">
          <a:extLst>
            <a:ext uri="{FF2B5EF4-FFF2-40B4-BE49-F238E27FC236}">
              <a16:creationId xmlns:a16="http://schemas.microsoft.com/office/drawing/2014/main" id="{2DF8A967-D14E-435A-9A5D-3987705065C1}"/>
            </a:ext>
          </a:extLst>
        </xdr:cNvPr>
        <xdr:cNvSpPr txBox="1">
          <a:spLocks noChangeArrowheads="1"/>
        </xdr:cNvSpPr>
      </xdr:nvSpPr>
      <xdr:spPr bwMode="auto">
        <a:xfrm>
          <a:off x="223329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32</xdr:col>
      <xdr:colOff>565150</xdr:colOff>
      <xdr:row>48</xdr:row>
      <xdr:rowOff>0</xdr:rowOff>
    </xdr:from>
    <xdr:ext cx="247650" cy="85725"/>
    <xdr:sp macro="" textlink="">
      <xdr:nvSpPr>
        <xdr:cNvPr id="10910" name="Text Box 1">
          <a:extLst>
            <a:ext uri="{FF2B5EF4-FFF2-40B4-BE49-F238E27FC236}">
              <a16:creationId xmlns:a16="http://schemas.microsoft.com/office/drawing/2014/main" id="{E8A9F24F-94B7-45AF-8F23-7BF9D1C6790B}"/>
            </a:ext>
          </a:extLst>
        </xdr:cNvPr>
        <xdr:cNvSpPr txBox="1">
          <a:spLocks noChangeArrowheads="1"/>
        </xdr:cNvSpPr>
      </xdr:nvSpPr>
      <xdr:spPr bwMode="auto">
        <a:xfrm>
          <a:off x="223329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33</xdr:col>
      <xdr:colOff>565150</xdr:colOff>
      <xdr:row>48</xdr:row>
      <xdr:rowOff>0</xdr:rowOff>
    </xdr:from>
    <xdr:ext cx="247650" cy="85725"/>
    <xdr:sp macro="" textlink="">
      <xdr:nvSpPr>
        <xdr:cNvPr id="10911" name="Text Box 1">
          <a:extLst>
            <a:ext uri="{FF2B5EF4-FFF2-40B4-BE49-F238E27FC236}">
              <a16:creationId xmlns:a16="http://schemas.microsoft.com/office/drawing/2014/main" id="{69981247-152F-4308-A14D-1650F1478567}"/>
            </a:ext>
          </a:extLst>
        </xdr:cNvPr>
        <xdr:cNvSpPr txBox="1">
          <a:spLocks noChangeArrowheads="1"/>
        </xdr:cNvSpPr>
      </xdr:nvSpPr>
      <xdr:spPr bwMode="auto">
        <a:xfrm>
          <a:off x="229489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33</xdr:col>
      <xdr:colOff>565150</xdr:colOff>
      <xdr:row>48</xdr:row>
      <xdr:rowOff>0</xdr:rowOff>
    </xdr:from>
    <xdr:ext cx="247650" cy="85725"/>
    <xdr:sp macro="" textlink="">
      <xdr:nvSpPr>
        <xdr:cNvPr id="10912" name="Text Box 1">
          <a:extLst>
            <a:ext uri="{FF2B5EF4-FFF2-40B4-BE49-F238E27FC236}">
              <a16:creationId xmlns:a16="http://schemas.microsoft.com/office/drawing/2014/main" id="{A89AA1EC-B951-454D-A844-222483CE9914}"/>
            </a:ext>
          </a:extLst>
        </xdr:cNvPr>
        <xdr:cNvSpPr txBox="1">
          <a:spLocks noChangeArrowheads="1"/>
        </xdr:cNvSpPr>
      </xdr:nvSpPr>
      <xdr:spPr bwMode="auto">
        <a:xfrm>
          <a:off x="229489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33</xdr:col>
      <xdr:colOff>565150</xdr:colOff>
      <xdr:row>48</xdr:row>
      <xdr:rowOff>0</xdr:rowOff>
    </xdr:from>
    <xdr:ext cx="247650" cy="85725"/>
    <xdr:sp macro="" textlink="">
      <xdr:nvSpPr>
        <xdr:cNvPr id="10913" name="Text Box 1">
          <a:extLst>
            <a:ext uri="{FF2B5EF4-FFF2-40B4-BE49-F238E27FC236}">
              <a16:creationId xmlns:a16="http://schemas.microsoft.com/office/drawing/2014/main" id="{F0689A0C-829D-4F0A-8D3F-8F1E4B561379}"/>
            </a:ext>
          </a:extLst>
        </xdr:cNvPr>
        <xdr:cNvSpPr txBox="1">
          <a:spLocks noChangeArrowheads="1"/>
        </xdr:cNvSpPr>
      </xdr:nvSpPr>
      <xdr:spPr bwMode="auto">
        <a:xfrm>
          <a:off x="229489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33</xdr:col>
      <xdr:colOff>565150</xdr:colOff>
      <xdr:row>48</xdr:row>
      <xdr:rowOff>0</xdr:rowOff>
    </xdr:from>
    <xdr:ext cx="247650" cy="85725"/>
    <xdr:sp macro="" textlink="">
      <xdr:nvSpPr>
        <xdr:cNvPr id="10914" name="Text Box 1">
          <a:extLst>
            <a:ext uri="{FF2B5EF4-FFF2-40B4-BE49-F238E27FC236}">
              <a16:creationId xmlns:a16="http://schemas.microsoft.com/office/drawing/2014/main" id="{1535D5C4-FD80-4DA4-8395-4B1FA5DD1706}"/>
            </a:ext>
          </a:extLst>
        </xdr:cNvPr>
        <xdr:cNvSpPr txBox="1">
          <a:spLocks noChangeArrowheads="1"/>
        </xdr:cNvSpPr>
      </xdr:nvSpPr>
      <xdr:spPr bwMode="auto">
        <a:xfrm>
          <a:off x="229489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565150</xdr:colOff>
      <xdr:row>48</xdr:row>
      <xdr:rowOff>0</xdr:rowOff>
    </xdr:from>
    <xdr:ext cx="247650" cy="85725"/>
    <xdr:sp macro="" textlink="">
      <xdr:nvSpPr>
        <xdr:cNvPr id="10915" name="Text Box 1">
          <a:extLst>
            <a:ext uri="{FF2B5EF4-FFF2-40B4-BE49-F238E27FC236}">
              <a16:creationId xmlns:a16="http://schemas.microsoft.com/office/drawing/2014/main" id="{4DC0E6F2-BBC4-48EC-BBEA-F443A656C75D}"/>
            </a:ext>
          </a:extLst>
        </xdr:cNvPr>
        <xdr:cNvSpPr txBox="1">
          <a:spLocks noChangeArrowheads="1"/>
        </xdr:cNvSpPr>
      </xdr:nvSpPr>
      <xdr:spPr bwMode="auto">
        <a:xfrm>
          <a:off x="235648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565150</xdr:colOff>
      <xdr:row>48</xdr:row>
      <xdr:rowOff>0</xdr:rowOff>
    </xdr:from>
    <xdr:ext cx="247650" cy="85725"/>
    <xdr:sp macro="" textlink="">
      <xdr:nvSpPr>
        <xdr:cNvPr id="10916" name="Text Box 1">
          <a:extLst>
            <a:ext uri="{FF2B5EF4-FFF2-40B4-BE49-F238E27FC236}">
              <a16:creationId xmlns:a16="http://schemas.microsoft.com/office/drawing/2014/main" id="{FC312BB4-B464-4F77-A7FD-20CA84A8D192}"/>
            </a:ext>
          </a:extLst>
        </xdr:cNvPr>
        <xdr:cNvSpPr txBox="1">
          <a:spLocks noChangeArrowheads="1"/>
        </xdr:cNvSpPr>
      </xdr:nvSpPr>
      <xdr:spPr bwMode="auto">
        <a:xfrm>
          <a:off x="235648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565150</xdr:colOff>
      <xdr:row>48</xdr:row>
      <xdr:rowOff>0</xdr:rowOff>
    </xdr:from>
    <xdr:ext cx="247650" cy="85725"/>
    <xdr:sp macro="" textlink="">
      <xdr:nvSpPr>
        <xdr:cNvPr id="10917" name="Text Box 1">
          <a:extLst>
            <a:ext uri="{FF2B5EF4-FFF2-40B4-BE49-F238E27FC236}">
              <a16:creationId xmlns:a16="http://schemas.microsoft.com/office/drawing/2014/main" id="{E998FA46-6E5A-4BF7-AB43-3E078D038D16}"/>
            </a:ext>
          </a:extLst>
        </xdr:cNvPr>
        <xdr:cNvSpPr txBox="1">
          <a:spLocks noChangeArrowheads="1"/>
        </xdr:cNvSpPr>
      </xdr:nvSpPr>
      <xdr:spPr bwMode="auto">
        <a:xfrm>
          <a:off x="235648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565150</xdr:colOff>
      <xdr:row>48</xdr:row>
      <xdr:rowOff>0</xdr:rowOff>
    </xdr:from>
    <xdr:ext cx="247650" cy="85725"/>
    <xdr:sp macro="" textlink="">
      <xdr:nvSpPr>
        <xdr:cNvPr id="10918" name="Text Box 1">
          <a:extLst>
            <a:ext uri="{FF2B5EF4-FFF2-40B4-BE49-F238E27FC236}">
              <a16:creationId xmlns:a16="http://schemas.microsoft.com/office/drawing/2014/main" id="{CB69F553-4A57-4FF7-9740-C282A0C84578}"/>
            </a:ext>
          </a:extLst>
        </xdr:cNvPr>
        <xdr:cNvSpPr txBox="1">
          <a:spLocks noChangeArrowheads="1"/>
        </xdr:cNvSpPr>
      </xdr:nvSpPr>
      <xdr:spPr bwMode="auto">
        <a:xfrm>
          <a:off x="235648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35</xdr:col>
      <xdr:colOff>565150</xdr:colOff>
      <xdr:row>48</xdr:row>
      <xdr:rowOff>0</xdr:rowOff>
    </xdr:from>
    <xdr:ext cx="247650" cy="85725"/>
    <xdr:sp macro="" textlink="">
      <xdr:nvSpPr>
        <xdr:cNvPr id="10919" name="Text Box 1">
          <a:extLst>
            <a:ext uri="{FF2B5EF4-FFF2-40B4-BE49-F238E27FC236}">
              <a16:creationId xmlns:a16="http://schemas.microsoft.com/office/drawing/2014/main" id="{E0350005-28AD-48C3-BABD-53863AD24F4D}"/>
            </a:ext>
          </a:extLst>
        </xdr:cNvPr>
        <xdr:cNvSpPr txBox="1">
          <a:spLocks noChangeArrowheads="1"/>
        </xdr:cNvSpPr>
      </xdr:nvSpPr>
      <xdr:spPr bwMode="auto">
        <a:xfrm>
          <a:off x="245935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35</xdr:col>
      <xdr:colOff>565150</xdr:colOff>
      <xdr:row>48</xdr:row>
      <xdr:rowOff>0</xdr:rowOff>
    </xdr:from>
    <xdr:ext cx="247650" cy="85725"/>
    <xdr:sp macro="" textlink="">
      <xdr:nvSpPr>
        <xdr:cNvPr id="10920" name="Text Box 1">
          <a:extLst>
            <a:ext uri="{FF2B5EF4-FFF2-40B4-BE49-F238E27FC236}">
              <a16:creationId xmlns:a16="http://schemas.microsoft.com/office/drawing/2014/main" id="{F31E6CC6-9CF6-4CBF-94B2-BA823AE311EC}"/>
            </a:ext>
          </a:extLst>
        </xdr:cNvPr>
        <xdr:cNvSpPr txBox="1">
          <a:spLocks noChangeArrowheads="1"/>
        </xdr:cNvSpPr>
      </xdr:nvSpPr>
      <xdr:spPr bwMode="auto">
        <a:xfrm>
          <a:off x="245935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35</xdr:col>
      <xdr:colOff>565150</xdr:colOff>
      <xdr:row>48</xdr:row>
      <xdr:rowOff>0</xdr:rowOff>
    </xdr:from>
    <xdr:ext cx="247650" cy="85725"/>
    <xdr:sp macro="" textlink="">
      <xdr:nvSpPr>
        <xdr:cNvPr id="10921" name="Text Box 1">
          <a:extLst>
            <a:ext uri="{FF2B5EF4-FFF2-40B4-BE49-F238E27FC236}">
              <a16:creationId xmlns:a16="http://schemas.microsoft.com/office/drawing/2014/main" id="{4D086378-6A93-40F0-A7D5-D194366D0F49}"/>
            </a:ext>
          </a:extLst>
        </xdr:cNvPr>
        <xdr:cNvSpPr txBox="1">
          <a:spLocks noChangeArrowheads="1"/>
        </xdr:cNvSpPr>
      </xdr:nvSpPr>
      <xdr:spPr bwMode="auto">
        <a:xfrm>
          <a:off x="245935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35</xdr:col>
      <xdr:colOff>565150</xdr:colOff>
      <xdr:row>48</xdr:row>
      <xdr:rowOff>0</xdr:rowOff>
    </xdr:from>
    <xdr:ext cx="247650" cy="85725"/>
    <xdr:sp macro="" textlink="">
      <xdr:nvSpPr>
        <xdr:cNvPr id="10922" name="Text Box 1">
          <a:extLst>
            <a:ext uri="{FF2B5EF4-FFF2-40B4-BE49-F238E27FC236}">
              <a16:creationId xmlns:a16="http://schemas.microsoft.com/office/drawing/2014/main" id="{DD990E9C-6D86-4083-B0A5-F7EAB4B8AB2E}"/>
            </a:ext>
          </a:extLst>
        </xdr:cNvPr>
        <xdr:cNvSpPr txBox="1">
          <a:spLocks noChangeArrowheads="1"/>
        </xdr:cNvSpPr>
      </xdr:nvSpPr>
      <xdr:spPr bwMode="auto">
        <a:xfrm>
          <a:off x="245935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36</xdr:col>
      <xdr:colOff>565150</xdr:colOff>
      <xdr:row>48</xdr:row>
      <xdr:rowOff>0</xdr:rowOff>
    </xdr:from>
    <xdr:ext cx="247650" cy="85725"/>
    <xdr:sp macro="" textlink="">
      <xdr:nvSpPr>
        <xdr:cNvPr id="10923" name="Text Box 1">
          <a:extLst>
            <a:ext uri="{FF2B5EF4-FFF2-40B4-BE49-F238E27FC236}">
              <a16:creationId xmlns:a16="http://schemas.microsoft.com/office/drawing/2014/main" id="{CBC792AA-DC13-481D-8A5A-F5211211FD80}"/>
            </a:ext>
          </a:extLst>
        </xdr:cNvPr>
        <xdr:cNvSpPr txBox="1">
          <a:spLocks noChangeArrowheads="1"/>
        </xdr:cNvSpPr>
      </xdr:nvSpPr>
      <xdr:spPr bwMode="auto">
        <a:xfrm>
          <a:off x="252095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36</xdr:col>
      <xdr:colOff>565150</xdr:colOff>
      <xdr:row>48</xdr:row>
      <xdr:rowOff>0</xdr:rowOff>
    </xdr:from>
    <xdr:ext cx="247650" cy="85725"/>
    <xdr:sp macro="" textlink="">
      <xdr:nvSpPr>
        <xdr:cNvPr id="10924" name="Text Box 1">
          <a:extLst>
            <a:ext uri="{FF2B5EF4-FFF2-40B4-BE49-F238E27FC236}">
              <a16:creationId xmlns:a16="http://schemas.microsoft.com/office/drawing/2014/main" id="{FA733261-9992-48E3-84D2-6B537D673F07}"/>
            </a:ext>
          </a:extLst>
        </xdr:cNvPr>
        <xdr:cNvSpPr txBox="1">
          <a:spLocks noChangeArrowheads="1"/>
        </xdr:cNvSpPr>
      </xdr:nvSpPr>
      <xdr:spPr bwMode="auto">
        <a:xfrm>
          <a:off x="252095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36</xdr:col>
      <xdr:colOff>565150</xdr:colOff>
      <xdr:row>48</xdr:row>
      <xdr:rowOff>0</xdr:rowOff>
    </xdr:from>
    <xdr:ext cx="247650" cy="85725"/>
    <xdr:sp macro="" textlink="">
      <xdr:nvSpPr>
        <xdr:cNvPr id="10925" name="Text Box 1">
          <a:extLst>
            <a:ext uri="{FF2B5EF4-FFF2-40B4-BE49-F238E27FC236}">
              <a16:creationId xmlns:a16="http://schemas.microsoft.com/office/drawing/2014/main" id="{281F83BD-7314-4F69-B50B-4B96A686D7BF}"/>
            </a:ext>
          </a:extLst>
        </xdr:cNvPr>
        <xdr:cNvSpPr txBox="1">
          <a:spLocks noChangeArrowheads="1"/>
        </xdr:cNvSpPr>
      </xdr:nvSpPr>
      <xdr:spPr bwMode="auto">
        <a:xfrm>
          <a:off x="252095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36</xdr:col>
      <xdr:colOff>565150</xdr:colOff>
      <xdr:row>48</xdr:row>
      <xdr:rowOff>0</xdr:rowOff>
    </xdr:from>
    <xdr:ext cx="247650" cy="85725"/>
    <xdr:sp macro="" textlink="">
      <xdr:nvSpPr>
        <xdr:cNvPr id="10926" name="Text Box 1">
          <a:extLst>
            <a:ext uri="{FF2B5EF4-FFF2-40B4-BE49-F238E27FC236}">
              <a16:creationId xmlns:a16="http://schemas.microsoft.com/office/drawing/2014/main" id="{577F7278-FD86-4C21-BA67-5E135030235B}"/>
            </a:ext>
          </a:extLst>
        </xdr:cNvPr>
        <xdr:cNvSpPr txBox="1">
          <a:spLocks noChangeArrowheads="1"/>
        </xdr:cNvSpPr>
      </xdr:nvSpPr>
      <xdr:spPr bwMode="auto">
        <a:xfrm>
          <a:off x="252095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37</xdr:col>
      <xdr:colOff>565150</xdr:colOff>
      <xdr:row>48</xdr:row>
      <xdr:rowOff>0</xdr:rowOff>
    </xdr:from>
    <xdr:ext cx="247650" cy="85725"/>
    <xdr:sp macro="" textlink="">
      <xdr:nvSpPr>
        <xdr:cNvPr id="10927" name="Text Box 1">
          <a:extLst>
            <a:ext uri="{FF2B5EF4-FFF2-40B4-BE49-F238E27FC236}">
              <a16:creationId xmlns:a16="http://schemas.microsoft.com/office/drawing/2014/main" id="{65A309BF-579B-47B6-B8E7-F50BAF6F6570}"/>
            </a:ext>
          </a:extLst>
        </xdr:cNvPr>
        <xdr:cNvSpPr txBox="1">
          <a:spLocks noChangeArrowheads="1"/>
        </xdr:cNvSpPr>
      </xdr:nvSpPr>
      <xdr:spPr bwMode="auto">
        <a:xfrm>
          <a:off x="258254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37</xdr:col>
      <xdr:colOff>565150</xdr:colOff>
      <xdr:row>48</xdr:row>
      <xdr:rowOff>0</xdr:rowOff>
    </xdr:from>
    <xdr:ext cx="247650" cy="85725"/>
    <xdr:sp macro="" textlink="">
      <xdr:nvSpPr>
        <xdr:cNvPr id="10928" name="Text Box 1">
          <a:extLst>
            <a:ext uri="{FF2B5EF4-FFF2-40B4-BE49-F238E27FC236}">
              <a16:creationId xmlns:a16="http://schemas.microsoft.com/office/drawing/2014/main" id="{780D951D-016C-410B-8D47-6EECD516F4B1}"/>
            </a:ext>
          </a:extLst>
        </xdr:cNvPr>
        <xdr:cNvSpPr txBox="1">
          <a:spLocks noChangeArrowheads="1"/>
        </xdr:cNvSpPr>
      </xdr:nvSpPr>
      <xdr:spPr bwMode="auto">
        <a:xfrm>
          <a:off x="258254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37</xdr:col>
      <xdr:colOff>565150</xdr:colOff>
      <xdr:row>48</xdr:row>
      <xdr:rowOff>0</xdr:rowOff>
    </xdr:from>
    <xdr:ext cx="247650" cy="85725"/>
    <xdr:sp macro="" textlink="">
      <xdr:nvSpPr>
        <xdr:cNvPr id="10929" name="Text Box 1">
          <a:extLst>
            <a:ext uri="{FF2B5EF4-FFF2-40B4-BE49-F238E27FC236}">
              <a16:creationId xmlns:a16="http://schemas.microsoft.com/office/drawing/2014/main" id="{810CA5E3-1A62-48A9-B5A0-CA1C73B82494}"/>
            </a:ext>
          </a:extLst>
        </xdr:cNvPr>
        <xdr:cNvSpPr txBox="1">
          <a:spLocks noChangeArrowheads="1"/>
        </xdr:cNvSpPr>
      </xdr:nvSpPr>
      <xdr:spPr bwMode="auto">
        <a:xfrm>
          <a:off x="258254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37</xdr:col>
      <xdr:colOff>565150</xdr:colOff>
      <xdr:row>48</xdr:row>
      <xdr:rowOff>0</xdr:rowOff>
    </xdr:from>
    <xdr:ext cx="247650" cy="85725"/>
    <xdr:sp macro="" textlink="">
      <xdr:nvSpPr>
        <xdr:cNvPr id="10930" name="Text Box 1">
          <a:extLst>
            <a:ext uri="{FF2B5EF4-FFF2-40B4-BE49-F238E27FC236}">
              <a16:creationId xmlns:a16="http://schemas.microsoft.com/office/drawing/2014/main" id="{8E7612C2-FFF6-4401-9FDD-E11BA00FC0DD}"/>
            </a:ext>
          </a:extLst>
        </xdr:cNvPr>
        <xdr:cNvSpPr txBox="1">
          <a:spLocks noChangeArrowheads="1"/>
        </xdr:cNvSpPr>
      </xdr:nvSpPr>
      <xdr:spPr bwMode="auto">
        <a:xfrm>
          <a:off x="258254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565150</xdr:colOff>
      <xdr:row>48</xdr:row>
      <xdr:rowOff>0</xdr:rowOff>
    </xdr:from>
    <xdr:ext cx="247650" cy="85725"/>
    <xdr:sp macro="" textlink="">
      <xdr:nvSpPr>
        <xdr:cNvPr id="10931" name="Text Box 1">
          <a:extLst>
            <a:ext uri="{FF2B5EF4-FFF2-40B4-BE49-F238E27FC236}">
              <a16:creationId xmlns:a16="http://schemas.microsoft.com/office/drawing/2014/main" id="{4FA146B2-3CE8-44FB-B1B6-617935B0539A}"/>
            </a:ext>
          </a:extLst>
        </xdr:cNvPr>
        <xdr:cNvSpPr txBox="1">
          <a:spLocks noChangeArrowheads="1"/>
        </xdr:cNvSpPr>
      </xdr:nvSpPr>
      <xdr:spPr bwMode="auto">
        <a:xfrm>
          <a:off x="264414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565150</xdr:colOff>
      <xdr:row>48</xdr:row>
      <xdr:rowOff>0</xdr:rowOff>
    </xdr:from>
    <xdr:ext cx="247650" cy="85725"/>
    <xdr:sp macro="" textlink="">
      <xdr:nvSpPr>
        <xdr:cNvPr id="10932" name="Text Box 1">
          <a:extLst>
            <a:ext uri="{FF2B5EF4-FFF2-40B4-BE49-F238E27FC236}">
              <a16:creationId xmlns:a16="http://schemas.microsoft.com/office/drawing/2014/main" id="{C28723F4-5BFC-4DA3-ABC5-7FD7497888B4}"/>
            </a:ext>
          </a:extLst>
        </xdr:cNvPr>
        <xdr:cNvSpPr txBox="1">
          <a:spLocks noChangeArrowheads="1"/>
        </xdr:cNvSpPr>
      </xdr:nvSpPr>
      <xdr:spPr bwMode="auto">
        <a:xfrm>
          <a:off x="264414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565150</xdr:colOff>
      <xdr:row>48</xdr:row>
      <xdr:rowOff>0</xdr:rowOff>
    </xdr:from>
    <xdr:ext cx="247650" cy="85725"/>
    <xdr:sp macro="" textlink="">
      <xdr:nvSpPr>
        <xdr:cNvPr id="10933" name="Text Box 1">
          <a:extLst>
            <a:ext uri="{FF2B5EF4-FFF2-40B4-BE49-F238E27FC236}">
              <a16:creationId xmlns:a16="http://schemas.microsoft.com/office/drawing/2014/main" id="{DD108525-FE1A-4401-859A-DB43E9723E6D}"/>
            </a:ext>
          </a:extLst>
        </xdr:cNvPr>
        <xdr:cNvSpPr txBox="1">
          <a:spLocks noChangeArrowheads="1"/>
        </xdr:cNvSpPr>
      </xdr:nvSpPr>
      <xdr:spPr bwMode="auto">
        <a:xfrm>
          <a:off x="264414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565150</xdr:colOff>
      <xdr:row>48</xdr:row>
      <xdr:rowOff>0</xdr:rowOff>
    </xdr:from>
    <xdr:ext cx="247650" cy="85725"/>
    <xdr:sp macro="" textlink="">
      <xdr:nvSpPr>
        <xdr:cNvPr id="10934" name="Text Box 1">
          <a:extLst>
            <a:ext uri="{FF2B5EF4-FFF2-40B4-BE49-F238E27FC236}">
              <a16:creationId xmlns:a16="http://schemas.microsoft.com/office/drawing/2014/main" id="{E25FBE74-4EB6-4028-9F19-E912140A62F7}"/>
            </a:ext>
          </a:extLst>
        </xdr:cNvPr>
        <xdr:cNvSpPr txBox="1">
          <a:spLocks noChangeArrowheads="1"/>
        </xdr:cNvSpPr>
      </xdr:nvSpPr>
      <xdr:spPr bwMode="auto">
        <a:xfrm>
          <a:off x="264414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565150</xdr:colOff>
      <xdr:row>48</xdr:row>
      <xdr:rowOff>0</xdr:rowOff>
    </xdr:from>
    <xdr:ext cx="247650" cy="85725"/>
    <xdr:sp macro="" textlink="">
      <xdr:nvSpPr>
        <xdr:cNvPr id="10935" name="Text Box 1">
          <a:extLst>
            <a:ext uri="{FF2B5EF4-FFF2-40B4-BE49-F238E27FC236}">
              <a16:creationId xmlns:a16="http://schemas.microsoft.com/office/drawing/2014/main" id="{A2EA4D90-92F8-47E8-B5A6-7F0F7B4EE3FF}"/>
            </a:ext>
          </a:extLst>
        </xdr:cNvPr>
        <xdr:cNvSpPr txBox="1">
          <a:spLocks noChangeArrowheads="1"/>
        </xdr:cNvSpPr>
      </xdr:nvSpPr>
      <xdr:spPr bwMode="auto">
        <a:xfrm>
          <a:off x="270954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565150</xdr:colOff>
      <xdr:row>48</xdr:row>
      <xdr:rowOff>0</xdr:rowOff>
    </xdr:from>
    <xdr:ext cx="247650" cy="85725"/>
    <xdr:sp macro="" textlink="">
      <xdr:nvSpPr>
        <xdr:cNvPr id="10936" name="Text Box 1">
          <a:extLst>
            <a:ext uri="{FF2B5EF4-FFF2-40B4-BE49-F238E27FC236}">
              <a16:creationId xmlns:a16="http://schemas.microsoft.com/office/drawing/2014/main" id="{2ED8AB86-407A-4AD0-A981-9C4F7A48CA4C}"/>
            </a:ext>
          </a:extLst>
        </xdr:cNvPr>
        <xdr:cNvSpPr txBox="1">
          <a:spLocks noChangeArrowheads="1"/>
        </xdr:cNvSpPr>
      </xdr:nvSpPr>
      <xdr:spPr bwMode="auto">
        <a:xfrm>
          <a:off x="270954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565150</xdr:colOff>
      <xdr:row>48</xdr:row>
      <xdr:rowOff>0</xdr:rowOff>
    </xdr:from>
    <xdr:ext cx="247650" cy="85725"/>
    <xdr:sp macro="" textlink="">
      <xdr:nvSpPr>
        <xdr:cNvPr id="10937" name="Text Box 1">
          <a:extLst>
            <a:ext uri="{FF2B5EF4-FFF2-40B4-BE49-F238E27FC236}">
              <a16:creationId xmlns:a16="http://schemas.microsoft.com/office/drawing/2014/main" id="{04E70A8D-9BA6-4159-9881-B064EAEB2247}"/>
            </a:ext>
          </a:extLst>
        </xdr:cNvPr>
        <xdr:cNvSpPr txBox="1">
          <a:spLocks noChangeArrowheads="1"/>
        </xdr:cNvSpPr>
      </xdr:nvSpPr>
      <xdr:spPr bwMode="auto">
        <a:xfrm>
          <a:off x="270954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565150</xdr:colOff>
      <xdr:row>48</xdr:row>
      <xdr:rowOff>0</xdr:rowOff>
    </xdr:from>
    <xdr:ext cx="247650" cy="85725"/>
    <xdr:sp macro="" textlink="">
      <xdr:nvSpPr>
        <xdr:cNvPr id="10938" name="Text Box 1">
          <a:extLst>
            <a:ext uri="{FF2B5EF4-FFF2-40B4-BE49-F238E27FC236}">
              <a16:creationId xmlns:a16="http://schemas.microsoft.com/office/drawing/2014/main" id="{E2E7A7E3-8D5E-4AEB-BE80-084BC6AD1657}"/>
            </a:ext>
          </a:extLst>
        </xdr:cNvPr>
        <xdr:cNvSpPr txBox="1">
          <a:spLocks noChangeArrowheads="1"/>
        </xdr:cNvSpPr>
      </xdr:nvSpPr>
      <xdr:spPr bwMode="auto">
        <a:xfrm>
          <a:off x="270954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40</xdr:col>
      <xdr:colOff>565150</xdr:colOff>
      <xdr:row>48</xdr:row>
      <xdr:rowOff>0</xdr:rowOff>
    </xdr:from>
    <xdr:ext cx="247650" cy="85725"/>
    <xdr:sp macro="" textlink="">
      <xdr:nvSpPr>
        <xdr:cNvPr id="10939" name="Text Box 1">
          <a:extLst>
            <a:ext uri="{FF2B5EF4-FFF2-40B4-BE49-F238E27FC236}">
              <a16:creationId xmlns:a16="http://schemas.microsoft.com/office/drawing/2014/main" id="{73E9CE64-4449-4587-ABEC-C230B51886B4}"/>
            </a:ext>
          </a:extLst>
        </xdr:cNvPr>
        <xdr:cNvSpPr txBox="1">
          <a:spLocks noChangeArrowheads="1"/>
        </xdr:cNvSpPr>
      </xdr:nvSpPr>
      <xdr:spPr bwMode="auto">
        <a:xfrm>
          <a:off x="277114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40</xdr:col>
      <xdr:colOff>565150</xdr:colOff>
      <xdr:row>48</xdr:row>
      <xdr:rowOff>0</xdr:rowOff>
    </xdr:from>
    <xdr:ext cx="247650" cy="85725"/>
    <xdr:sp macro="" textlink="">
      <xdr:nvSpPr>
        <xdr:cNvPr id="10940" name="Text Box 1">
          <a:extLst>
            <a:ext uri="{FF2B5EF4-FFF2-40B4-BE49-F238E27FC236}">
              <a16:creationId xmlns:a16="http://schemas.microsoft.com/office/drawing/2014/main" id="{D2684DBA-B6B1-4FF7-A53F-4E8190605377}"/>
            </a:ext>
          </a:extLst>
        </xdr:cNvPr>
        <xdr:cNvSpPr txBox="1">
          <a:spLocks noChangeArrowheads="1"/>
        </xdr:cNvSpPr>
      </xdr:nvSpPr>
      <xdr:spPr bwMode="auto">
        <a:xfrm>
          <a:off x="277114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40</xdr:col>
      <xdr:colOff>565150</xdr:colOff>
      <xdr:row>48</xdr:row>
      <xdr:rowOff>0</xdr:rowOff>
    </xdr:from>
    <xdr:ext cx="247650" cy="85725"/>
    <xdr:sp macro="" textlink="">
      <xdr:nvSpPr>
        <xdr:cNvPr id="10941" name="Text Box 1">
          <a:extLst>
            <a:ext uri="{FF2B5EF4-FFF2-40B4-BE49-F238E27FC236}">
              <a16:creationId xmlns:a16="http://schemas.microsoft.com/office/drawing/2014/main" id="{BC44E098-4A1D-48F0-9E79-7ABA671CEF5A}"/>
            </a:ext>
          </a:extLst>
        </xdr:cNvPr>
        <xdr:cNvSpPr txBox="1">
          <a:spLocks noChangeArrowheads="1"/>
        </xdr:cNvSpPr>
      </xdr:nvSpPr>
      <xdr:spPr bwMode="auto">
        <a:xfrm>
          <a:off x="277114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40</xdr:col>
      <xdr:colOff>565150</xdr:colOff>
      <xdr:row>48</xdr:row>
      <xdr:rowOff>0</xdr:rowOff>
    </xdr:from>
    <xdr:ext cx="247650" cy="85725"/>
    <xdr:sp macro="" textlink="">
      <xdr:nvSpPr>
        <xdr:cNvPr id="10942" name="Text Box 1">
          <a:extLst>
            <a:ext uri="{FF2B5EF4-FFF2-40B4-BE49-F238E27FC236}">
              <a16:creationId xmlns:a16="http://schemas.microsoft.com/office/drawing/2014/main" id="{D8143733-6E3B-442E-8599-B82FF5704E7C}"/>
            </a:ext>
          </a:extLst>
        </xdr:cNvPr>
        <xdr:cNvSpPr txBox="1">
          <a:spLocks noChangeArrowheads="1"/>
        </xdr:cNvSpPr>
      </xdr:nvSpPr>
      <xdr:spPr bwMode="auto">
        <a:xfrm>
          <a:off x="277114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565150</xdr:colOff>
      <xdr:row>48</xdr:row>
      <xdr:rowOff>0</xdr:rowOff>
    </xdr:from>
    <xdr:ext cx="247650" cy="85725"/>
    <xdr:sp macro="" textlink="">
      <xdr:nvSpPr>
        <xdr:cNvPr id="10943" name="Text Box 1">
          <a:extLst>
            <a:ext uri="{FF2B5EF4-FFF2-40B4-BE49-F238E27FC236}">
              <a16:creationId xmlns:a16="http://schemas.microsoft.com/office/drawing/2014/main" id="{CF95416D-BE67-4D71-B3BF-71F7A0B1F759}"/>
            </a:ext>
          </a:extLst>
        </xdr:cNvPr>
        <xdr:cNvSpPr txBox="1">
          <a:spLocks noChangeArrowheads="1"/>
        </xdr:cNvSpPr>
      </xdr:nvSpPr>
      <xdr:spPr bwMode="auto">
        <a:xfrm>
          <a:off x="283273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565150</xdr:colOff>
      <xdr:row>48</xdr:row>
      <xdr:rowOff>0</xdr:rowOff>
    </xdr:from>
    <xdr:ext cx="247650" cy="85725"/>
    <xdr:sp macro="" textlink="">
      <xdr:nvSpPr>
        <xdr:cNvPr id="10944" name="Text Box 1">
          <a:extLst>
            <a:ext uri="{FF2B5EF4-FFF2-40B4-BE49-F238E27FC236}">
              <a16:creationId xmlns:a16="http://schemas.microsoft.com/office/drawing/2014/main" id="{8FBC4C12-96AF-4486-A32A-69B48AA86B35}"/>
            </a:ext>
          </a:extLst>
        </xdr:cNvPr>
        <xdr:cNvSpPr txBox="1">
          <a:spLocks noChangeArrowheads="1"/>
        </xdr:cNvSpPr>
      </xdr:nvSpPr>
      <xdr:spPr bwMode="auto">
        <a:xfrm>
          <a:off x="283273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565150</xdr:colOff>
      <xdr:row>48</xdr:row>
      <xdr:rowOff>0</xdr:rowOff>
    </xdr:from>
    <xdr:ext cx="247650" cy="85725"/>
    <xdr:sp macro="" textlink="">
      <xdr:nvSpPr>
        <xdr:cNvPr id="10945" name="Text Box 1">
          <a:extLst>
            <a:ext uri="{FF2B5EF4-FFF2-40B4-BE49-F238E27FC236}">
              <a16:creationId xmlns:a16="http://schemas.microsoft.com/office/drawing/2014/main" id="{4B1066A1-2AF7-410F-A1C0-2847F618B857}"/>
            </a:ext>
          </a:extLst>
        </xdr:cNvPr>
        <xdr:cNvSpPr txBox="1">
          <a:spLocks noChangeArrowheads="1"/>
        </xdr:cNvSpPr>
      </xdr:nvSpPr>
      <xdr:spPr bwMode="auto">
        <a:xfrm>
          <a:off x="283273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565150</xdr:colOff>
      <xdr:row>48</xdr:row>
      <xdr:rowOff>0</xdr:rowOff>
    </xdr:from>
    <xdr:ext cx="247650" cy="85725"/>
    <xdr:sp macro="" textlink="">
      <xdr:nvSpPr>
        <xdr:cNvPr id="10946" name="Text Box 1">
          <a:extLst>
            <a:ext uri="{FF2B5EF4-FFF2-40B4-BE49-F238E27FC236}">
              <a16:creationId xmlns:a16="http://schemas.microsoft.com/office/drawing/2014/main" id="{F3D0FB81-7D15-4350-962B-9BA5E9FEEF25}"/>
            </a:ext>
          </a:extLst>
        </xdr:cNvPr>
        <xdr:cNvSpPr txBox="1">
          <a:spLocks noChangeArrowheads="1"/>
        </xdr:cNvSpPr>
      </xdr:nvSpPr>
      <xdr:spPr bwMode="auto">
        <a:xfrm>
          <a:off x="283273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42</xdr:col>
      <xdr:colOff>565150</xdr:colOff>
      <xdr:row>48</xdr:row>
      <xdr:rowOff>0</xdr:rowOff>
    </xdr:from>
    <xdr:ext cx="247650" cy="85725"/>
    <xdr:sp macro="" textlink="">
      <xdr:nvSpPr>
        <xdr:cNvPr id="10947" name="Text Box 1">
          <a:extLst>
            <a:ext uri="{FF2B5EF4-FFF2-40B4-BE49-F238E27FC236}">
              <a16:creationId xmlns:a16="http://schemas.microsoft.com/office/drawing/2014/main" id="{10BD5FC8-3F50-4225-8C5F-AAFB637C6B31}"/>
            </a:ext>
          </a:extLst>
        </xdr:cNvPr>
        <xdr:cNvSpPr txBox="1">
          <a:spLocks noChangeArrowheads="1"/>
        </xdr:cNvSpPr>
      </xdr:nvSpPr>
      <xdr:spPr bwMode="auto">
        <a:xfrm>
          <a:off x="2837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42</xdr:col>
      <xdr:colOff>565150</xdr:colOff>
      <xdr:row>48</xdr:row>
      <xdr:rowOff>0</xdr:rowOff>
    </xdr:from>
    <xdr:ext cx="247650" cy="85725"/>
    <xdr:sp macro="" textlink="">
      <xdr:nvSpPr>
        <xdr:cNvPr id="10948" name="Text Box 1">
          <a:extLst>
            <a:ext uri="{FF2B5EF4-FFF2-40B4-BE49-F238E27FC236}">
              <a16:creationId xmlns:a16="http://schemas.microsoft.com/office/drawing/2014/main" id="{0BF07B80-ADAC-48AF-9526-330C8EE0CC6F}"/>
            </a:ext>
          </a:extLst>
        </xdr:cNvPr>
        <xdr:cNvSpPr txBox="1">
          <a:spLocks noChangeArrowheads="1"/>
        </xdr:cNvSpPr>
      </xdr:nvSpPr>
      <xdr:spPr bwMode="auto">
        <a:xfrm>
          <a:off x="2837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42</xdr:col>
      <xdr:colOff>565150</xdr:colOff>
      <xdr:row>48</xdr:row>
      <xdr:rowOff>0</xdr:rowOff>
    </xdr:from>
    <xdr:ext cx="247650" cy="85725"/>
    <xdr:sp macro="" textlink="">
      <xdr:nvSpPr>
        <xdr:cNvPr id="10949" name="Text Box 1">
          <a:extLst>
            <a:ext uri="{FF2B5EF4-FFF2-40B4-BE49-F238E27FC236}">
              <a16:creationId xmlns:a16="http://schemas.microsoft.com/office/drawing/2014/main" id="{9CE17766-BD74-4A4A-9B95-59D02DA56D63}"/>
            </a:ext>
          </a:extLst>
        </xdr:cNvPr>
        <xdr:cNvSpPr txBox="1">
          <a:spLocks noChangeArrowheads="1"/>
        </xdr:cNvSpPr>
      </xdr:nvSpPr>
      <xdr:spPr bwMode="auto">
        <a:xfrm>
          <a:off x="2837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42</xdr:col>
      <xdr:colOff>565150</xdr:colOff>
      <xdr:row>48</xdr:row>
      <xdr:rowOff>0</xdr:rowOff>
    </xdr:from>
    <xdr:ext cx="247650" cy="85725"/>
    <xdr:sp macro="" textlink="">
      <xdr:nvSpPr>
        <xdr:cNvPr id="10950" name="Text Box 1">
          <a:extLst>
            <a:ext uri="{FF2B5EF4-FFF2-40B4-BE49-F238E27FC236}">
              <a16:creationId xmlns:a16="http://schemas.microsoft.com/office/drawing/2014/main" id="{92B901BD-7AFA-4CDC-9BAE-9D123134C830}"/>
            </a:ext>
          </a:extLst>
        </xdr:cNvPr>
        <xdr:cNvSpPr txBox="1">
          <a:spLocks noChangeArrowheads="1"/>
        </xdr:cNvSpPr>
      </xdr:nvSpPr>
      <xdr:spPr bwMode="auto">
        <a:xfrm>
          <a:off x="283781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43</xdr:col>
      <xdr:colOff>565150</xdr:colOff>
      <xdr:row>48</xdr:row>
      <xdr:rowOff>0</xdr:rowOff>
    </xdr:from>
    <xdr:ext cx="247650" cy="85725"/>
    <xdr:sp macro="" textlink="">
      <xdr:nvSpPr>
        <xdr:cNvPr id="10951" name="Text Box 1">
          <a:extLst>
            <a:ext uri="{FF2B5EF4-FFF2-40B4-BE49-F238E27FC236}">
              <a16:creationId xmlns:a16="http://schemas.microsoft.com/office/drawing/2014/main" id="{7B25042B-7AE6-447D-BF99-C3358FC444BE}"/>
            </a:ext>
          </a:extLst>
        </xdr:cNvPr>
        <xdr:cNvSpPr txBox="1">
          <a:spLocks noChangeArrowheads="1"/>
        </xdr:cNvSpPr>
      </xdr:nvSpPr>
      <xdr:spPr bwMode="auto">
        <a:xfrm>
          <a:off x="28943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43</xdr:col>
      <xdr:colOff>565150</xdr:colOff>
      <xdr:row>48</xdr:row>
      <xdr:rowOff>0</xdr:rowOff>
    </xdr:from>
    <xdr:ext cx="247650" cy="85725"/>
    <xdr:sp macro="" textlink="">
      <xdr:nvSpPr>
        <xdr:cNvPr id="10952" name="Text Box 1">
          <a:extLst>
            <a:ext uri="{FF2B5EF4-FFF2-40B4-BE49-F238E27FC236}">
              <a16:creationId xmlns:a16="http://schemas.microsoft.com/office/drawing/2014/main" id="{B817F778-0014-4302-B414-D2650A5A1412}"/>
            </a:ext>
          </a:extLst>
        </xdr:cNvPr>
        <xdr:cNvSpPr txBox="1">
          <a:spLocks noChangeArrowheads="1"/>
        </xdr:cNvSpPr>
      </xdr:nvSpPr>
      <xdr:spPr bwMode="auto">
        <a:xfrm>
          <a:off x="28943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43</xdr:col>
      <xdr:colOff>565150</xdr:colOff>
      <xdr:row>48</xdr:row>
      <xdr:rowOff>0</xdr:rowOff>
    </xdr:from>
    <xdr:ext cx="247650" cy="85725"/>
    <xdr:sp macro="" textlink="">
      <xdr:nvSpPr>
        <xdr:cNvPr id="10953" name="Text Box 1">
          <a:extLst>
            <a:ext uri="{FF2B5EF4-FFF2-40B4-BE49-F238E27FC236}">
              <a16:creationId xmlns:a16="http://schemas.microsoft.com/office/drawing/2014/main" id="{F495FD20-8B3A-4876-A1D7-D66ED991E719}"/>
            </a:ext>
          </a:extLst>
        </xdr:cNvPr>
        <xdr:cNvSpPr txBox="1">
          <a:spLocks noChangeArrowheads="1"/>
        </xdr:cNvSpPr>
      </xdr:nvSpPr>
      <xdr:spPr bwMode="auto">
        <a:xfrm>
          <a:off x="28943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43</xdr:col>
      <xdr:colOff>565150</xdr:colOff>
      <xdr:row>48</xdr:row>
      <xdr:rowOff>0</xdr:rowOff>
    </xdr:from>
    <xdr:ext cx="247650" cy="85725"/>
    <xdr:sp macro="" textlink="">
      <xdr:nvSpPr>
        <xdr:cNvPr id="10954" name="Text Box 1">
          <a:extLst>
            <a:ext uri="{FF2B5EF4-FFF2-40B4-BE49-F238E27FC236}">
              <a16:creationId xmlns:a16="http://schemas.microsoft.com/office/drawing/2014/main" id="{67DFC565-853C-44AA-95EF-653E3332B636}"/>
            </a:ext>
          </a:extLst>
        </xdr:cNvPr>
        <xdr:cNvSpPr txBox="1">
          <a:spLocks noChangeArrowheads="1"/>
        </xdr:cNvSpPr>
      </xdr:nvSpPr>
      <xdr:spPr bwMode="auto">
        <a:xfrm>
          <a:off x="28943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44</xdr:col>
      <xdr:colOff>565150</xdr:colOff>
      <xdr:row>48</xdr:row>
      <xdr:rowOff>0</xdr:rowOff>
    </xdr:from>
    <xdr:ext cx="247650" cy="85725"/>
    <xdr:sp macro="" textlink="">
      <xdr:nvSpPr>
        <xdr:cNvPr id="10955" name="Text Box 1">
          <a:extLst>
            <a:ext uri="{FF2B5EF4-FFF2-40B4-BE49-F238E27FC236}">
              <a16:creationId xmlns:a16="http://schemas.microsoft.com/office/drawing/2014/main" id="{DD9C8518-04EB-45CA-ABBD-E134B1B8741E}"/>
            </a:ext>
          </a:extLst>
        </xdr:cNvPr>
        <xdr:cNvSpPr txBox="1">
          <a:spLocks noChangeArrowheads="1"/>
        </xdr:cNvSpPr>
      </xdr:nvSpPr>
      <xdr:spPr bwMode="auto">
        <a:xfrm>
          <a:off x="29559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44</xdr:col>
      <xdr:colOff>565150</xdr:colOff>
      <xdr:row>48</xdr:row>
      <xdr:rowOff>0</xdr:rowOff>
    </xdr:from>
    <xdr:ext cx="247650" cy="85725"/>
    <xdr:sp macro="" textlink="">
      <xdr:nvSpPr>
        <xdr:cNvPr id="10956" name="Text Box 1">
          <a:extLst>
            <a:ext uri="{FF2B5EF4-FFF2-40B4-BE49-F238E27FC236}">
              <a16:creationId xmlns:a16="http://schemas.microsoft.com/office/drawing/2014/main" id="{6042FE9E-F77E-4636-814C-D9E934FA3E54}"/>
            </a:ext>
          </a:extLst>
        </xdr:cNvPr>
        <xdr:cNvSpPr txBox="1">
          <a:spLocks noChangeArrowheads="1"/>
        </xdr:cNvSpPr>
      </xdr:nvSpPr>
      <xdr:spPr bwMode="auto">
        <a:xfrm>
          <a:off x="29559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44</xdr:col>
      <xdr:colOff>565150</xdr:colOff>
      <xdr:row>48</xdr:row>
      <xdr:rowOff>0</xdr:rowOff>
    </xdr:from>
    <xdr:ext cx="247650" cy="85725"/>
    <xdr:sp macro="" textlink="">
      <xdr:nvSpPr>
        <xdr:cNvPr id="10957" name="Text Box 1">
          <a:extLst>
            <a:ext uri="{FF2B5EF4-FFF2-40B4-BE49-F238E27FC236}">
              <a16:creationId xmlns:a16="http://schemas.microsoft.com/office/drawing/2014/main" id="{0995CDCA-6D5B-4FF0-BF5C-F56CC3CC4901}"/>
            </a:ext>
          </a:extLst>
        </xdr:cNvPr>
        <xdr:cNvSpPr txBox="1">
          <a:spLocks noChangeArrowheads="1"/>
        </xdr:cNvSpPr>
      </xdr:nvSpPr>
      <xdr:spPr bwMode="auto">
        <a:xfrm>
          <a:off x="29559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44</xdr:col>
      <xdr:colOff>565150</xdr:colOff>
      <xdr:row>48</xdr:row>
      <xdr:rowOff>0</xdr:rowOff>
    </xdr:from>
    <xdr:ext cx="247650" cy="85725"/>
    <xdr:sp macro="" textlink="">
      <xdr:nvSpPr>
        <xdr:cNvPr id="10958" name="Text Box 1">
          <a:extLst>
            <a:ext uri="{FF2B5EF4-FFF2-40B4-BE49-F238E27FC236}">
              <a16:creationId xmlns:a16="http://schemas.microsoft.com/office/drawing/2014/main" id="{E6D70095-8F95-4855-B3A3-4D1A0DDFEC7D}"/>
            </a:ext>
          </a:extLst>
        </xdr:cNvPr>
        <xdr:cNvSpPr txBox="1">
          <a:spLocks noChangeArrowheads="1"/>
        </xdr:cNvSpPr>
      </xdr:nvSpPr>
      <xdr:spPr bwMode="auto">
        <a:xfrm>
          <a:off x="29559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565150</xdr:colOff>
      <xdr:row>48</xdr:row>
      <xdr:rowOff>0</xdr:rowOff>
    </xdr:from>
    <xdr:ext cx="247650" cy="85725"/>
    <xdr:sp macro="" textlink="">
      <xdr:nvSpPr>
        <xdr:cNvPr id="10959" name="Text Box 1">
          <a:extLst>
            <a:ext uri="{FF2B5EF4-FFF2-40B4-BE49-F238E27FC236}">
              <a16:creationId xmlns:a16="http://schemas.microsoft.com/office/drawing/2014/main" id="{9B0279F5-DC23-4F2E-B96A-6BD1B438544D}"/>
            </a:ext>
          </a:extLst>
        </xdr:cNvPr>
        <xdr:cNvSpPr txBox="1">
          <a:spLocks noChangeArrowheads="1"/>
        </xdr:cNvSpPr>
      </xdr:nvSpPr>
      <xdr:spPr bwMode="auto">
        <a:xfrm>
          <a:off x="30213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565150</xdr:colOff>
      <xdr:row>48</xdr:row>
      <xdr:rowOff>0</xdr:rowOff>
    </xdr:from>
    <xdr:ext cx="247650" cy="85725"/>
    <xdr:sp macro="" textlink="">
      <xdr:nvSpPr>
        <xdr:cNvPr id="10960" name="Text Box 1">
          <a:extLst>
            <a:ext uri="{FF2B5EF4-FFF2-40B4-BE49-F238E27FC236}">
              <a16:creationId xmlns:a16="http://schemas.microsoft.com/office/drawing/2014/main" id="{3B813822-9FD6-4F58-828B-E4483D2E176F}"/>
            </a:ext>
          </a:extLst>
        </xdr:cNvPr>
        <xdr:cNvSpPr txBox="1">
          <a:spLocks noChangeArrowheads="1"/>
        </xdr:cNvSpPr>
      </xdr:nvSpPr>
      <xdr:spPr bwMode="auto">
        <a:xfrm>
          <a:off x="30213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565150</xdr:colOff>
      <xdr:row>48</xdr:row>
      <xdr:rowOff>0</xdr:rowOff>
    </xdr:from>
    <xdr:ext cx="247650" cy="85725"/>
    <xdr:sp macro="" textlink="">
      <xdr:nvSpPr>
        <xdr:cNvPr id="10961" name="Text Box 1">
          <a:extLst>
            <a:ext uri="{FF2B5EF4-FFF2-40B4-BE49-F238E27FC236}">
              <a16:creationId xmlns:a16="http://schemas.microsoft.com/office/drawing/2014/main" id="{3054FB5E-970B-409C-B7E1-E76B7251CEBB}"/>
            </a:ext>
          </a:extLst>
        </xdr:cNvPr>
        <xdr:cNvSpPr txBox="1">
          <a:spLocks noChangeArrowheads="1"/>
        </xdr:cNvSpPr>
      </xdr:nvSpPr>
      <xdr:spPr bwMode="auto">
        <a:xfrm>
          <a:off x="30213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45</xdr:col>
      <xdr:colOff>565150</xdr:colOff>
      <xdr:row>48</xdr:row>
      <xdr:rowOff>0</xdr:rowOff>
    </xdr:from>
    <xdr:ext cx="247650" cy="85725"/>
    <xdr:sp macro="" textlink="">
      <xdr:nvSpPr>
        <xdr:cNvPr id="10962" name="Text Box 1">
          <a:extLst>
            <a:ext uri="{FF2B5EF4-FFF2-40B4-BE49-F238E27FC236}">
              <a16:creationId xmlns:a16="http://schemas.microsoft.com/office/drawing/2014/main" id="{9750E6E8-5128-4586-A463-89E66FF5B475}"/>
            </a:ext>
          </a:extLst>
        </xdr:cNvPr>
        <xdr:cNvSpPr txBox="1">
          <a:spLocks noChangeArrowheads="1"/>
        </xdr:cNvSpPr>
      </xdr:nvSpPr>
      <xdr:spPr bwMode="auto">
        <a:xfrm>
          <a:off x="30213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565150</xdr:colOff>
      <xdr:row>48</xdr:row>
      <xdr:rowOff>0</xdr:rowOff>
    </xdr:from>
    <xdr:ext cx="247650" cy="85725"/>
    <xdr:sp macro="" textlink="">
      <xdr:nvSpPr>
        <xdr:cNvPr id="10963" name="Text Box 1">
          <a:extLst>
            <a:ext uri="{FF2B5EF4-FFF2-40B4-BE49-F238E27FC236}">
              <a16:creationId xmlns:a16="http://schemas.microsoft.com/office/drawing/2014/main" id="{91894943-9ADF-4A8A-BFB4-32380E1473D0}"/>
            </a:ext>
          </a:extLst>
        </xdr:cNvPr>
        <xdr:cNvSpPr txBox="1">
          <a:spLocks noChangeArrowheads="1"/>
        </xdr:cNvSpPr>
      </xdr:nvSpPr>
      <xdr:spPr bwMode="auto">
        <a:xfrm>
          <a:off x="30829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565150</xdr:colOff>
      <xdr:row>48</xdr:row>
      <xdr:rowOff>0</xdr:rowOff>
    </xdr:from>
    <xdr:ext cx="247650" cy="85725"/>
    <xdr:sp macro="" textlink="">
      <xdr:nvSpPr>
        <xdr:cNvPr id="10964" name="Text Box 1">
          <a:extLst>
            <a:ext uri="{FF2B5EF4-FFF2-40B4-BE49-F238E27FC236}">
              <a16:creationId xmlns:a16="http://schemas.microsoft.com/office/drawing/2014/main" id="{167E25A4-2E22-4E8C-8608-B4450840C601}"/>
            </a:ext>
          </a:extLst>
        </xdr:cNvPr>
        <xdr:cNvSpPr txBox="1">
          <a:spLocks noChangeArrowheads="1"/>
        </xdr:cNvSpPr>
      </xdr:nvSpPr>
      <xdr:spPr bwMode="auto">
        <a:xfrm>
          <a:off x="30829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565150</xdr:colOff>
      <xdr:row>48</xdr:row>
      <xdr:rowOff>0</xdr:rowOff>
    </xdr:from>
    <xdr:ext cx="247650" cy="85725"/>
    <xdr:sp macro="" textlink="">
      <xdr:nvSpPr>
        <xdr:cNvPr id="10965" name="Text Box 1">
          <a:extLst>
            <a:ext uri="{FF2B5EF4-FFF2-40B4-BE49-F238E27FC236}">
              <a16:creationId xmlns:a16="http://schemas.microsoft.com/office/drawing/2014/main" id="{558AFB53-B682-485D-81A8-62D1A74AECD5}"/>
            </a:ext>
          </a:extLst>
        </xdr:cNvPr>
        <xdr:cNvSpPr txBox="1">
          <a:spLocks noChangeArrowheads="1"/>
        </xdr:cNvSpPr>
      </xdr:nvSpPr>
      <xdr:spPr bwMode="auto">
        <a:xfrm>
          <a:off x="30829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46</xdr:col>
      <xdr:colOff>565150</xdr:colOff>
      <xdr:row>48</xdr:row>
      <xdr:rowOff>0</xdr:rowOff>
    </xdr:from>
    <xdr:ext cx="247650" cy="85725"/>
    <xdr:sp macro="" textlink="">
      <xdr:nvSpPr>
        <xdr:cNvPr id="10966" name="Text Box 1">
          <a:extLst>
            <a:ext uri="{FF2B5EF4-FFF2-40B4-BE49-F238E27FC236}">
              <a16:creationId xmlns:a16="http://schemas.microsoft.com/office/drawing/2014/main" id="{5F16ACCD-5BF0-4E1F-B830-6C53A0E66F9F}"/>
            </a:ext>
          </a:extLst>
        </xdr:cNvPr>
        <xdr:cNvSpPr txBox="1">
          <a:spLocks noChangeArrowheads="1"/>
        </xdr:cNvSpPr>
      </xdr:nvSpPr>
      <xdr:spPr bwMode="auto">
        <a:xfrm>
          <a:off x="30829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42</xdr:col>
      <xdr:colOff>565150</xdr:colOff>
      <xdr:row>47</xdr:row>
      <xdr:rowOff>152400</xdr:rowOff>
    </xdr:from>
    <xdr:ext cx="247650" cy="85725"/>
    <xdr:sp macro="" textlink="">
      <xdr:nvSpPr>
        <xdr:cNvPr id="10967" name="Text Box 1">
          <a:extLst>
            <a:ext uri="{FF2B5EF4-FFF2-40B4-BE49-F238E27FC236}">
              <a16:creationId xmlns:a16="http://schemas.microsoft.com/office/drawing/2014/main" id="{D14E4048-016A-4141-8FAF-3A231CBEBF12}"/>
            </a:ext>
          </a:extLst>
        </xdr:cNvPr>
        <xdr:cNvSpPr txBox="1">
          <a:spLocks noChangeArrowheads="1"/>
        </xdr:cNvSpPr>
      </xdr:nvSpPr>
      <xdr:spPr bwMode="auto">
        <a:xfrm>
          <a:off x="28378150" y="13652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0968" name="Text Box 1">
          <a:extLst>
            <a:ext uri="{FF2B5EF4-FFF2-40B4-BE49-F238E27FC236}">
              <a16:creationId xmlns:a16="http://schemas.microsoft.com/office/drawing/2014/main" id="{A9143CA1-5C5A-485F-8F7B-477D0A5E636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0969" name="Text Box 1">
          <a:extLst>
            <a:ext uri="{FF2B5EF4-FFF2-40B4-BE49-F238E27FC236}">
              <a16:creationId xmlns:a16="http://schemas.microsoft.com/office/drawing/2014/main" id="{69FDC8FC-67AB-4FE1-879F-D919EDD8F17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0970" name="Text Box 1">
          <a:extLst>
            <a:ext uri="{FF2B5EF4-FFF2-40B4-BE49-F238E27FC236}">
              <a16:creationId xmlns:a16="http://schemas.microsoft.com/office/drawing/2014/main" id="{1B4E921E-8F86-49B8-97EC-BB82E7F52A7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0971" name="Text Box 1">
          <a:extLst>
            <a:ext uri="{FF2B5EF4-FFF2-40B4-BE49-F238E27FC236}">
              <a16:creationId xmlns:a16="http://schemas.microsoft.com/office/drawing/2014/main" id="{B779DCDB-3386-4911-8567-AA323922253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0972" name="Text Box 1">
          <a:extLst>
            <a:ext uri="{FF2B5EF4-FFF2-40B4-BE49-F238E27FC236}">
              <a16:creationId xmlns:a16="http://schemas.microsoft.com/office/drawing/2014/main" id="{294CBEB9-1B8D-4505-8994-4F9B63A0B35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0973" name="Text Box 1">
          <a:extLst>
            <a:ext uri="{FF2B5EF4-FFF2-40B4-BE49-F238E27FC236}">
              <a16:creationId xmlns:a16="http://schemas.microsoft.com/office/drawing/2014/main" id="{2DD0497A-7B1F-4DE9-8A93-D3A011C0215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0974" name="Text Box 1">
          <a:extLst>
            <a:ext uri="{FF2B5EF4-FFF2-40B4-BE49-F238E27FC236}">
              <a16:creationId xmlns:a16="http://schemas.microsoft.com/office/drawing/2014/main" id="{751ED415-46FA-46B1-97E2-A6467C70B58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0975" name="Text Box 1">
          <a:extLst>
            <a:ext uri="{FF2B5EF4-FFF2-40B4-BE49-F238E27FC236}">
              <a16:creationId xmlns:a16="http://schemas.microsoft.com/office/drawing/2014/main" id="{2808CA26-5A7D-4C93-8F76-A9D751581F1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0976" name="Text Box 1">
          <a:extLst>
            <a:ext uri="{FF2B5EF4-FFF2-40B4-BE49-F238E27FC236}">
              <a16:creationId xmlns:a16="http://schemas.microsoft.com/office/drawing/2014/main" id="{B5912F6E-068F-42BA-994A-54342A332BF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0977" name="Text Box 1">
          <a:extLst>
            <a:ext uri="{FF2B5EF4-FFF2-40B4-BE49-F238E27FC236}">
              <a16:creationId xmlns:a16="http://schemas.microsoft.com/office/drawing/2014/main" id="{CB5C1696-62D1-4B08-ABD5-D9B60C39620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0978" name="Text Box 1">
          <a:extLst>
            <a:ext uri="{FF2B5EF4-FFF2-40B4-BE49-F238E27FC236}">
              <a16:creationId xmlns:a16="http://schemas.microsoft.com/office/drawing/2014/main" id="{B63BB124-8ED3-480A-A47C-39C40529CB4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0979" name="Text Box 1">
          <a:extLst>
            <a:ext uri="{FF2B5EF4-FFF2-40B4-BE49-F238E27FC236}">
              <a16:creationId xmlns:a16="http://schemas.microsoft.com/office/drawing/2014/main" id="{15B599FB-775F-44ED-89EF-9A55D97A37D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0980" name="Text Box 1">
          <a:extLst>
            <a:ext uri="{FF2B5EF4-FFF2-40B4-BE49-F238E27FC236}">
              <a16:creationId xmlns:a16="http://schemas.microsoft.com/office/drawing/2014/main" id="{58BECD57-FF70-4A67-8C8B-DCF7A6D1E45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0981" name="Text Box 1">
          <a:extLst>
            <a:ext uri="{FF2B5EF4-FFF2-40B4-BE49-F238E27FC236}">
              <a16:creationId xmlns:a16="http://schemas.microsoft.com/office/drawing/2014/main" id="{B16AE238-484B-4176-AC3E-A30937C3E44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0982" name="Text Box 1">
          <a:extLst>
            <a:ext uri="{FF2B5EF4-FFF2-40B4-BE49-F238E27FC236}">
              <a16:creationId xmlns:a16="http://schemas.microsoft.com/office/drawing/2014/main" id="{CD925F4D-B699-4F8B-956F-8894BC4BB83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0983" name="Text Box 1">
          <a:extLst>
            <a:ext uri="{FF2B5EF4-FFF2-40B4-BE49-F238E27FC236}">
              <a16:creationId xmlns:a16="http://schemas.microsoft.com/office/drawing/2014/main" id="{6D2AE08F-E1DC-4BF5-9E90-ADE9EB5B01A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0984" name="Text Box 1">
          <a:extLst>
            <a:ext uri="{FF2B5EF4-FFF2-40B4-BE49-F238E27FC236}">
              <a16:creationId xmlns:a16="http://schemas.microsoft.com/office/drawing/2014/main" id="{DA38BD8E-91EF-4D14-87BF-964F581128F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0985" name="Text Box 1">
          <a:extLst>
            <a:ext uri="{FF2B5EF4-FFF2-40B4-BE49-F238E27FC236}">
              <a16:creationId xmlns:a16="http://schemas.microsoft.com/office/drawing/2014/main" id="{FD87299B-F69F-4A6F-A605-2FDD7EBE919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0986" name="Text Box 1">
          <a:extLst>
            <a:ext uri="{FF2B5EF4-FFF2-40B4-BE49-F238E27FC236}">
              <a16:creationId xmlns:a16="http://schemas.microsoft.com/office/drawing/2014/main" id="{E2E922A0-FB4B-4341-9C81-63F9BE2644B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0987" name="Text Box 1">
          <a:extLst>
            <a:ext uri="{FF2B5EF4-FFF2-40B4-BE49-F238E27FC236}">
              <a16:creationId xmlns:a16="http://schemas.microsoft.com/office/drawing/2014/main" id="{E8728718-40AC-4747-A2E0-BFBB7DA91C5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0988" name="Text Box 1">
          <a:extLst>
            <a:ext uri="{FF2B5EF4-FFF2-40B4-BE49-F238E27FC236}">
              <a16:creationId xmlns:a16="http://schemas.microsoft.com/office/drawing/2014/main" id="{64D86614-35B8-46E1-BA22-8CD4DBD8523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0989" name="Text Box 1">
          <a:extLst>
            <a:ext uri="{FF2B5EF4-FFF2-40B4-BE49-F238E27FC236}">
              <a16:creationId xmlns:a16="http://schemas.microsoft.com/office/drawing/2014/main" id="{DD150646-FB9B-4208-8A05-FF3F6BC91C3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0990" name="Text Box 1">
          <a:extLst>
            <a:ext uri="{FF2B5EF4-FFF2-40B4-BE49-F238E27FC236}">
              <a16:creationId xmlns:a16="http://schemas.microsoft.com/office/drawing/2014/main" id="{E0530B2F-ECFA-4702-9B67-47FD147B2D6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0991" name="Text Box 1">
          <a:extLst>
            <a:ext uri="{FF2B5EF4-FFF2-40B4-BE49-F238E27FC236}">
              <a16:creationId xmlns:a16="http://schemas.microsoft.com/office/drawing/2014/main" id="{9380C48A-2F26-4FCB-9D0A-48A188A2F3D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0992" name="Text Box 1">
          <a:extLst>
            <a:ext uri="{FF2B5EF4-FFF2-40B4-BE49-F238E27FC236}">
              <a16:creationId xmlns:a16="http://schemas.microsoft.com/office/drawing/2014/main" id="{B887FF36-B5FA-4095-A287-9319C41D18C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0993" name="Text Box 1">
          <a:extLst>
            <a:ext uri="{FF2B5EF4-FFF2-40B4-BE49-F238E27FC236}">
              <a16:creationId xmlns:a16="http://schemas.microsoft.com/office/drawing/2014/main" id="{5F039759-F795-4816-ACD2-1F7A651F283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0994" name="Text Box 1">
          <a:extLst>
            <a:ext uri="{FF2B5EF4-FFF2-40B4-BE49-F238E27FC236}">
              <a16:creationId xmlns:a16="http://schemas.microsoft.com/office/drawing/2014/main" id="{56116918-C362-4B93-8044-E304ECEAACF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0995" name="Text Box 1">
          <a:extLst>
            <a:ext uri="{FF2B5EF4-FFF2-40B4-BE49-F238E27FC236}">
              <a16:creationId xmlns:a16="http://schemas.microsoft.com/office/drawing/2014/main" id="{08D9CF8E-3C8A-4673-A9C2-8A19768AA96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0996" name="Text Box 1">
          <a:extLst>
            <a:ext uri="{FF2B5EF4-FFF2-40B4-BE49-F238E27FC236}">
              <a16:creationId xmlns:a16="http://schemas.microsoft.com/office/drawing/2014/main" id="{37992192-E1FB-45C9-A08A-8CEDA59529C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0997" name="Text Box 1">
          <a:extLst>
            <a:ext uri="{FF2B5EF4-FFF2-40B4-BE49-F238E27FC236}">
              <a16:creationId xmlns:a16="http://schemas.microsoft.com/office/drawing/2014/main" id="{25FD67F4-EF93-4F11-904B-2AFF002B07B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0998" name="Text Box 1">
          <a:extLst>
            <a:ext uri="{FF2B5EF4-FFF2-40B4-BE49-F238E27FC236}">
              <a16:creationId xmlns:a16="http://schemas.microsoft.com/office/drawing/2014/main" id="{B7AF7B5E-0AE0-452C-BC92-19F6F130103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0999" name="Text Box 1">
          <a:extLst>
            <a:ext uri="{FF2B5EF4-FFF2-40B4-BE49-F238E27FC236}">
              <a16:creationId xmlns:a16="http://schemas.microsoft.com/office/drawing/2014/main" id="{3AFBBB81-E53A-41D5-8C2C-C5B1BE7BA42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00" name="Text Box 1">
          <a:extLst>
            <a:ext uri="{FF2B5EF4-FFF2-40B4-BE49-F238E27FC236}">
              <a16:creationId xmlns:a16="http://schemas.microsoft.com/office/drawing/2014/main" id="{8DB8DC60-315C-46A7-AF0C-943FFE174CA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01" name="Text Box 1">
          <a:extLst>
            <a:ext uri="{FF2B5EF4-FFF2-40B4-BE49-F238E27FC236}">
              <a16:creationId xmlns:a16="http://schemas.microsoft.com/office/drawing/2014/main" id="{94A8878A-BFDB-425B-8B1B-6DF066732F8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02" name="Text Box 1">
          <a:extLst>
            <a:ext uri="{FF2B5EF4-FFF2-40B4-BE49-F238E27FC236}">
              <a16:creationId xmlns:a16="http://schemas.microsoft.com/office/drawing/2014/main" id="{03B52E90-F3E4-4EB4-8528-75E93BE93F8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03" name="Text Box 1">
          <a:extLst>
            <a:ext uri="{FF2B5EF4-FFF2-40B4-BE49-F238E27FC236}">
              <a16:creationId xmlns:a16="http://schemas.microsoft.com/office/drawing/2014/main" id="{98B7B5F2-7519-493A-9566-CE663C7FCE5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04" name="Text Box 1">
          <a:extLst>
            <a:ext uri="{FF2B5EF4-FFF2-40B4-BE49-F238E27FC236}">
              <a16:creationId xmlns:a16="http://schemas.microsoft.com/office/drawing/2014/main" id="{0ACFE6F7-5C69-4F11-9F34-5EDED92B48F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05" name="Text Box 1">
          <a:extLst>
            <a:ext uri="{FF2B5EF4-FFF2-40B4-BE49-F238E27FC236}">
              <a16:creationId xmlns:a16="http://schemas.microsoft.com/office/drawing/2014/main" id="{A947A8A1-56B7-4297-9B81-91043237D66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06" name="Text Box 1">
          <a:extLst>
            <a:ext uri="{FF2B5EF4-FFF2-40B4-BE49-F238E27FC236}">
              <a16:creationId xmlns:a16="http://schemas.microsoft.com/office/drawing/2014/main" id="{31FEBBFE-7AFC-410B-9D83-59B1140F34E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07" name="Text Box 1">
          <a:extLst>
            <a:ext uri="{FF2B5EF4-FFF2-40B4-BE49-F238E27FC236}">
              <a16:creationId xmlns:a16="http://schemas.microsoft.com/office/drawing/2014/main" id="{0ED716BA-17CD-45E8-8605-D7DF7C326CE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08" name="Text Box 1">
          <a:extLst>
            <a:ext uri="{FF2B5EF4-FFF2-40B4-BE49-F238E27FC236}">
              <a16:creationId xmlns:a16="http://schemas.microsoft.com/office/drawing/2014/main" id="{D640EE55-BDC7-4790-8BC5-7EB698C32F3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09" name="Text Box 1">
          <a:extLst>
            <a:ext uri="{FF2B5EF4-FFF2-40B4-BE49-F238E27FC236}">
              <a16:creationId xmlns:a16="http://schemas.microsoft.com/office/drawing/2014/main" id="{5926A2BB-3DB9-4813-823B-70ADC6B4A72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10" name="Text Box 1">
          <a:extLst>
            <a:ext uri="{FF2B5EF4-FFF2-40B4-BE49-F238E27FC236}">
              <a16:creationId xmlns:a16="http://schemas.microsoft.com/office/drawing/2014/main" id="{033202B0-A022-4C1C-BEE3-DD8D1A87286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11" name="Text Box 1">
          <a:extLst>
            <a:ext uri="{FF2B5EF4-FFF2-40B4-BE49-F238E27FC236}">
              <a16:creationId xmlns:a16="http://schemas.microsoft.com/office/drawing/2014/main" id="{0BC5B6E0-8AC4-43FF-91BC-6F71C1C4B99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12" name="Text Box 1">
          <a:extLst>
            <a:ext uri="{FF2B5EF4-FFF2-40B4-BE49-F238E27FC236}">
              <a16:creationId xmlns:a16="http://schemas.microsoft.com/office/drawing/2014/main" id="{D61824D6-E6A3-4F3A-A48E-07676CFF7DA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13" name="Text Box 1">
          <a:extLst>
            <a:ext uri="{FF2B5EF4-FFF2-40B4-BE49-F238E27FC236}">
              <a16:creationId xmlns:a16="http://schemas.microsoft.com/office/drawing/2014/main" id="{17D1C737-B3A7-4E2D-8FA8-FC927ADFB4F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14" name="Text Box 1">
          <a:extLst>
            <a:ext uri="{FF2B5EF4-FFF2-40B4-BE49-F238E27FC236}">
              <a16:creationId xmlns:a16="http://schemas.microsoft.com/office/drawing/2014/main" id="{9F069DA5-DA6A-42D7-920F-D7EF91285B8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15" name="Text Box 1">
          <a:extLst>
            <a:ext uri="{FF2B5EF4-FFF2-40B4-BE49-F238E27FC236}">
              <a16:creationId xmlns:a16="http://schemas.microsoft.com/office/drawing/2014/main" id="{9DFD880E-11C2-4C31-8B1D-6638B833151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16" name="Text Box 1">
          <a:extLst>
            <a:ext uri="{FF2B5EF4-FFF2-40B4-BE49-F238E27FC236}">
              <a16:creationId xmlns:a16="http://schemas.microsoft.com/office/drawing/2014/main" id="{D23867C0-7D3D-4BE1-9934-B16D11CA102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17" name="Text Box 1">
          <a:extLst>
            <a:ext uri="{FF2B5EF4-FFF2-40B4-BE49-F238E27FC236}">
              <a16:creationId xmlns:a16="http://schemas.microsoft.com/office/drawing/2014/main" id="{CEB36C16-AF31-4919-990D-A8F6139B435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18" name="Text Box 1">
          <a:extLst>
            <a:ext uri="{FF2B5EF4-FFF2-40B4-BE49-F238E27FC236}">
              <a16:creationId xmlns:a16="http://schemas.microsoft.com/office/drawing/2014/main" id="{1428151C-20A7-44C7-A3A0-0D198CF6C5D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19" name="Text Box 1">
          <a:extLst>
            <a:ext uri="{FF2B5EF4-FFF2-40B4-BE49-F238E27FC236}">
              <a16:creationId xmlns:a16="http://schemas.microsoft.com/office/drawing/2014/main" id="{81B9FBBC-0FB5-4088-A583-ED06AB3F5F2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20" name="Text Box 1">
          <a:extLst>
            <a:ext uri="{FF2B5EF4-FFF2-40B4-BE49-F238E27FC236}">
              <a16:creationId xmlns:a16="http://schemas.microsoft.com/office/drawing/2014/main" id="{29F449BD-9B55-4132-800B-4968159CC54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21" name="Text Box 1">
          <a:extLst>
            <a:ext uri="{FF2B5EF4-FFF2-40B4-BE49-F238E27FC236}">
              <a16:creationId xmlns:a16="http://schemas.microsoft.com/office/drawing/2014/main" id="{E5D80EBF-3369-4AB1-97ED-ACC9F451956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22" name="Text Box 1">
          <a:extLst>
            <a:ext uri="{FF2B5EF4-FFF2-40B4-BE49-F238E27FC236}">
              <a16:creationId xmlns:a16="http://schemas.microsoft.com/office/drawing/2014/main" id="{F96D55B8-64D5-4F50-9C18-F00CF58C877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23" name="Text Box 1">
          <a:extLst>
            <a:ext uri="{FF2B5EF4-FFF2-40B4-BE49-F238E27FC236}">
              <a16:creationId xmlns:a16="http://schemas.microsoft.com/office/drawing/2014/main" id="{81C50298-B953-4D5C-9992-BF54ECD1B17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24" name="Text Box 1">
          <a:extLst>
            <a:ext uri="{FF2B5EF4-FFF2-40B4-BE49-F238E27FC236}">
              <a16:creationId xmlns:a16="http://schemas.microsoft.com/office/drawing/2014/main" id="{B2545C5C-CAD5-481E-BB79-2CC73057E00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25" name="Text Box 1">
          <a:extLst>
            <a:ext uri="{FF2B5EF4-FFF2-40B4-BE49-F238E27FC236}">
              <a16:creationId xmlns:a16="http://schemas.microsoft.com/office/drawing/2014/main" id="{18B9F21B-7AF3-4194-B2E3-6C0EF809914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26" name="Text Box 1">
          <a:extLst>
            <a:ext uri="{FF2B5EF4-FFF2-40B4-BE49-F238E27FC236}">
              <a16:creationId xmlns:a16="http://schemas.microsoft.com/office/drawing/2014/main" id="{40C9888A-8551-40D1-A3E8-A35E564B835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27" name="Text Box 1">
          <a:extLst>
            <a:ext uri="{FF2B5EF4-FFF2-40B4-BE49-F238E27FC236}">
              <a16:creationId xmlns:a16="http://schemas.microsoft.com/office/drawing/2014/main" id="{9AC61D19-4A2A-44EF-B372-56A11A5ABE9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28" name="Text Box 1">
          <a:extLst>
            <a:ext uri="{FF2B5EF4-FFF2-40B4-BE49-F238E27FC236}">
              <a16:creationId xmlns:a16="http://schemas.microsoft.com/office/drawing/2014/main" id="{A0AB0046-213E-4829-9DBA-B184E1D5A39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29" name="Text Box 1">
          <a:extLst>
            <a:ext uri="{FF2B5EF4-FFF2-40B4-BE49-F238E27FC236}">
              <a16:creationId xmlns:a16="http://schemas.microsoft.com/office/drawing/2014/main" id="{A09AA110-F7DD-44BD-8A87-4BA0354CB50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30" name="Text Box 1">
          <a:extLst>
            <a:ext uri="{FF2B5EF4-FFF2-40B4-BE49-F238E27FC236}">
              <a16:creationId xmlns:a16="http://schemas.microsoft.com/office/drawing/2014/main" id="{EB842DD3-E346-4B4B-AFDA-46D26BCBB57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31" name="Text Box 1">
          <a:extLst>
            <a:ext uri="{FF2B5EF4-FFF2-40B4-BE49-F238E27FC236}">
              <a16:creationId xmlns:a16="http://schemas.microsoft.com/office/drawing/2014/main" id="{3057A8D2-E241-48C3-841A-AE9C83C1467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32" name="Text Box 1">
          <a:extLst>
            <a:ext uri="{FF2B5EF4-FFF2-40B4-BE49-F238E27FC236}">
              <a16:creationId xmlns:a16="http://schemas.microsoft.com/office/drawing/2014/main" id="{D309997E-2BA9-47B5-9443-E3F69D06CE5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33" name="Text Box 1">
          <a:extLst>
            <a:ext uri="{FF2B5EF4-FFF2-40B4-BE49-F238E27FC236}">
              <a16:creationId xmlns:a16="http://schemas.microsoft.com/office/drawing/2014/main" id="{948989CB-FB99-4D6B-873D-1AE10B57C47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34" name="Text Box 1">
          <a:extLst>
            <a:ext uri="{FF2B5EF4-FFF2-40B4-BE49-F238E27FC236}">
              <a16:creationId xmlns:a16="http://schemas.microsoft.com/office/drawing/2014/main" id="{4E060AE6-D2F1-4284-B205-23409F7F991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35" name="Text Box 1">
          <a:extLst>
            <a:ext uri="{FF2B5EF4-FFF2-40B4-BE49-F238E27FC236}">
              <a16:creationId xmlns:a16="http://schemas.microsoft.com/office/drawing/2014/main" id="{2C780D71-B6A0-4DB2-81A3-E69188E5C31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36" name="Text Box 1">
          <a:extLst>
            <a:ext uri="{FF2B5EF4-FFF2-40B4-BE49-F238E27FC236}">
              <a16:creationId xmlns:a16="http://schemas.microsoft.com/office/drawing/2014/main" id="{E3DEE236-DA27-420D-9A3C-80F8BF785D2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37" name="Text Box 1">
          <a:extLst>
            <a:ext uri="{FF2B5EF4-FFF2-40B4-BE49-F238E27FC236}">
              <a16:creationId xmlns:a16="http://schemas.microsoft.com/office/drawing/2014/main" id="{A418A5CF-7E2D-47CE-A748-C2B0437FBD1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38" name="Text Box 1">
          <a:extLst>
            <a:ext uri="{FF2B5EF4-FFF2-40B4-BE49-F238E27FC236}">
              <a16:creationId xmlns:a16="http://schemas.microsoft.com/office/drawing/2014/main" id="{EA6CB43B-B0FF-4181-865E-DC0D514546C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39" name="Text Box 1">
          <a:extLst>
            <a:ext uri="{FF2B5EF4-FFF2-40B4-BE49-F238E27FC236}">
              <a16:creationId xmlns:a16="http://schemas.microsoft.com/office/drawing/2014/main" id="{9B9044A1-983D-48D9-B625-172B1A51C75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40" name="Text Box 1">
          <a:extLst>
            <a:ext uri="{FF2B5EF4-FFF2-40B4-BE49-F238E27FC236}">
              <a16:creationId xmlns:a16="http://schemas.microsoft.com/office/drawing/2014/main" id="{D30CF669-7962-412B-84CD-0A2182175B2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41" name="Text Box 1">
          <a:extLst>
            <a:ext uri="{FF2B5EF4-FFF2-40B4-BE49-F238E27FC236}">
              <a16:creationId xmlns:a16="http://schemas.microsoft.com/office/drawing/2014/main" id="{3BCD4654-9FFC-429E-8D3A-74A57C62881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42" name="Text Box 1">
          <a:extLst>
            <a:ext uri="{FF2B5EF4-FFF2-40B4-BE49-F238E27FC236}">
              <a16:creationId xmlns:a16="http://schemas.microsoft.com/office/drawing/2014/main" id="{67A9C87E-7443-4B73-BE3F-F3AFCBA028D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43" name="Text Box 1">
          <a:extLst>
            <a:ext uri="{FF2B5EF4-FFF2-40B4-BE49-F238E27FC236}">
              <a16:creationId xmlns:a16="http://schemas.microsoft.com/office/drawing/2014/main" id="{9ADD2CCF-C994-4232-A765-D025B40C5A0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44" name="Text Box 1">
          <a:extLst>
            <a:ext uri="{FF2B5EF4-FFF2-40B4-BE49-F238E27FC236}">
              <a16:creationId xmlns:a16="http://schemas.microsoft.com/office/drawing/2014/main" id="{3FCAF759-FA72-40CF-94FF-E4F30C6A32B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45" name="Text Box 1">
          <a:extLst>
            <a:ext uri="{FF2B5EF4-FFF2-40B4-BE49-F238E27FC236}">
              <a16:creationId xmlns:a16="http://schemas.microsoft.com/office/drawing/2014/main" id="{1948E327-BA80-4F66-A193-FC534029690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46" name="Text Box 1">
          <a:extLst>
            <a:ext uri="{FF2B5EF4-FFF2-40B4-BE49-F238E27FC236}">
              <a16:creationId xmlns:a16="http://schemas.microsoft.com/office/drawing/2014/main" id="{8AD2BBA1-71E2-4C71-9D0E-A0E8D8B9DE2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47" name="Text Box 1">
          <a:extLst>
            <a:ext uri="{FF2B5EF4-FFF2-40B4-BE49-F238E27FC236}">
              <a16:creationId xmlns:a16="http://schemas.microsoft.com/office/drawing/2014/main" id="{C73CEEE9-C6EF-4653-9905-281267C65F7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48" name="Text Box 1">
          <a:extLst>
            <a:ext uri="{FF2B5EF4-FFF2-40B4-BE49-F238E27FC236}">
              <a16:creationId xmlns:a16="http://schemas.microsoft.com/office/drawing/2014/main" id="{2218F012-23B2-490E-AB46-41EA9204993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49" name="Text Box 1">
          <a:extLst>
            <a:ext uri="{FF2B5EF4-FFF2-40B4-BE49-F238E27FC236}">
              <a16:creationId xmlns:a16="http://schemas.microsoft.com/office/drawing/2014/main" id="{299B7A0A-926F-4ADE-A9C8-1ECBA5E0BBF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50" name="Text Box 1">
          <a:extLst>
            <a:ext uri="{FF2B5EF4-FFF2-40B4-BE49-F238E27FC236}">
              <a16:creationId xmlns:a16="http://schemas.microsoft.com/office/drawing/2014/main" id="{8B3ABFA3-F9A6-4552-AFC4-352717A4361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51" name="Text Box 1">
          <a:extLst>
            <a:ext uri="{FF2B5EF4-FFF2-40B4-BE49-F238E27FC236}">
              <a16:creationId xmlns:a16="http://schemas.microsoft.com/office/drawing/2014/main" id="{F9DA7BB1-F5FA-4F47-9C2D-A550D1EE99C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52" name="Text Box 1">
          <a:extLst>
            <a:ext uri="{FF2B5EF4-FFF2-40B4-BE49-F238E27FC236}">
              <a16:creationId xmlns:a16="http://schemas.microsoft.com/office/drawing/2014/main" id="{A86B1BD9-94DA-4165-ABBF-CC33984E208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53" name="Text Box 1">
          <a:extLst>
            <a:ext uri="{FF2B5EF4-FFF2-40B4-BE49-F238E27FC236}">
              <a16:creationId xmlns:a16="http://schemas.microsoft.com/office/drawing/2014/main" id="{5CBB9541-2C1C-47DC-B72C-E5CEBCD7FDA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54" name="Text Box 1">
          <a:extLst>
            <a:ext uri="{FF2B5EF4-FFF2-40B4-BE49-F238E27FC236}">
              <a16:creationId xmlns:a16="http://schemas.microsoft.com/office/drawing/2014/main" id="{C7317FA4-C930-4FB2-A88D-47A4FDDBEE5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55" name="Text Box 1">
          <a:extLst>
            <a:ext uri="{FF2B5EF4-FFF2-40B4-BE49-F238E27FC236}">
              <a16:creationId xmlns:a16="http://schemas.microsoft.com/office/drawing/2014/main" id="{EE689295-0093-4862-B592-FB0DF77B7C2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56" name="Text Box 1">
          <a:extLst>
            <a:ext uri="{FF2B5EF4-FFF2-40B4-BE49-F238E27FC236}">
              <a16:creationId xmlns:a16="http://schemas.microsoft.com/office/drawing/2014/main" id="{425EECBA-D1C9-442B-AF7C-CA72749AE98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57" name="Text Box 1">
          <a:extLst>
            <a:ext uri="{FF2B5EF4-FFF2-40B4-BE49-F238E27FC236}">
              <a16:creationId xmlns:a16="http://schemas.microsoft.com/office/drawing/2014/main" id="{8AB8ED52-82BF-4116-B65F-7D4CF7D1CF9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58" name="Text Box 1">
          <a:extLst>
            <a:ext uri="{FF2B5EF4-FFF2-40B4-BE49-F238E27FC236}">
              <a16:creationId xmlns:a16="http://schemas.microsoft.com/office/drawing/2014/main" id="{71A048D2-4EFC-4E35-BDE9-E012F773661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59" name="Text Box 1">
          <a:extLst>
            <a:ext uri="{FF2B5EF4-FFF2-40B4-BE49-F238E27FC236}">
              <a16:creationId xmlns:a16="http://schemas.microsoft.com/office/drawing/2014/main" id="{D523833F-3E62-4A35-A9A7-31DD2DE70D4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60" name="Text Box 1">
          <a:extLst>
            <a:ext uri="{FF2B5EF4-FFF2-40B4-BE49-F238E27FC236}">
              <a16:creationId xmlns:a16="http://schemas.microsoft.com/office/drawing/2014/main" id="{0028D71F-9352-4067-A254-2E60CFC5406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61" name="Text Box 1">
          <a:extLst>
            <a:ext uri="{FF2B5EF4-FFF2-40B4-BE49-F238E27FC236}">
              <a16:creationId xmlns:a16="http://schemas.microsoft.com/office/drawing/2014/main" id="{A8CA312A-2400-4470-806F-6F1BCBF36D9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62" name="Text Box 1">
          <a:extLst>
            <a:ext uri="{FF2B5EF4-FFF2-40B4-BE49-F238E27FC236}">
              <a16:creationId xmlns:a16="http://schemas.microsoft.com/office/drawing/2014/main" id="{E8FA4B06-BF39-455B-82A9-DA36630A7AC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63" name="Text Box 1">
          <a:extLst>
            <a:ext uri="{FF2B5EF4-FFF2-40B4-BE49-F238E27FC236}">
              <a16:creationId xmlns:a16="http://schemas.microsoft.com/office/drawing/2014/main" id="{466E194B-C213-455A-AD86-32375797F48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64" name="Text Box 1">
          <a:extLst>
            <a:ext uri="{FF2B5EF4-FFF2-40B4-BE49-F238E27FC236}">
              <a16:creationId xmlns:a16="http://schemas.microsoft.com/office/drawing/2014/main" id="{7865E088-E31B-404A-B709-C92BE6EDCAB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65" name="Text Box 1">
          <a:extLst>
            <a:ext uri="{FF2B5EF4-FFF2-40B4-BE49-F238E27FC236}">
              <a16:creationId xmlns:a16="http://schemas.microsoft.com/office/drawing/2014/main" id="{D15B78B0-2D58-4583-92C7-87B793601A9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66" name="Text Box 1">
          <a:extLst>
            <a:ext uri="{FF2B5EF4-FFF2-40B4-BE49-F238E27FC236}">
              <a16:creationId xmlns:a16="http://schemas.microsoft.com/office/drawing/2014/main" id="{4CB36CC6-92B0-40B4-9314-65302E73149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67" name="Text Box 1">
          <a:extLst>
            <a:ext uri="{FF2B5EF4-FFF2-40B4-BE49-F238E27FC236}">
              <a16:creationId xmlns:a16="http://schemas.microsoft.com/office/drawing/2014/main" id="{22EFA428-4818-4812-91C2-9EF1E5E14B0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68" name="Text Box 1">
          <a:extLst>
            <a:ext uri="{FF2B5EF4-FFF2-40B4-BE49-F238E27FC236}">
              <a16:creationId xmlns:a16="http://schemas.microsoft.com/office/drawing/2014/main" id="{23253AFB-4144-4FD1-8496-5D8789EF5F9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69" name="Text Box 1">
          <a:extLst>
            <a:ext uri="{FF2B5EF4-FFF2-40B4-BE49-F238E27FC236}">
              <a16:creationId xmlns:a16="http://schemas.microsoft.com/office/drawing/2014/main" id="{30C53A09-0ECA-475B-8956-4DF6EFDBB52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70" name="Text Box 1">
          <a:extLst>
            <a:ext uri="{FF2B5EF4-FFF2-40B4-BE49-F238E27FC236}">
              <a16:creationId xmlns:a16="http://schemas.microsoft.com/office/drawing/2014/main" id="{4D69AB3B-6DE3-4510-8826-824CEECF242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71" name="Text Box 1">
          <a:extLst>
            <a:ext uri="{FF2B5EF4-FFF2-40B4-BE49-F238E27FC236}">
              <a16:creationId xmlns:a16="http://schemas.microsoft.com/office/drawing/2014/main" id="{15C1C19D-9655-4DDF-88FB-8C6C9276D13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72" name="Text Box 1">
          <a:extLst>
            <a:ext uri="{FF2B5EF4-FFF2-40B4-BE49-F238E27FC236}">
              <a16:creationId xmlns:a16="http://schemas.microsoft.com/office/drawing/2014/main" id="{93FF8914-F756-4F70-9F59-4F14735027C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73" name="Text Box 1">
          <a:extLst>
            <a:ext uri="{FF2B5EF4-FFF2-40B4-BE49-F238E27FC236}">
              <a16:creationId xmlns:a16="http://schemas.microsoft.com/office/drawing/2014/main" id="{03FE9224-352F-447B-9C62-9FFA24CE15E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74" name="Text Box 1">
          <a:extLst>
            <a:ext uri="{FF2B5EF4-FFF2-40B4-BE49-F238E27FC236}">
              <a16:creationId xmlns:a16="http://schemas.microsoft.com/office/drawing/2014/main" id="{E77ABFA6-0A09-417D-8872-4F98B8639EF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75" name="Text Box 1">
          <a:extLst>
            <a:ext uri="{FF2B5EF4-FFF2-40B4-BE49-F238E27FC236}">
              <a16:creationId xmlns:a16="http://schemas.microsoft.com/office/drawing/2014/main" id="{3DDA6AEB-9445-4117-89B8-1998BF4B0CF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76" name="Text Box 1">
          <a:extLst>
            <a:ext uri="{FF2B5EF4-FFF2-40B4-BE49-F238E27FC236}">
              <a16:creationId xmlns:a16="http://schemas.microsoft.com/office/drawing/2014/main" id="{A7B29E4D-5A38-45A3-BEEC-9AA1F9EBDFA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77" name="Text Box 1">
          <a:extLst>
            <a:ext uri="{FF2B5EF4-FFF2-40B4-BE49-F238E27FC236}">
              <a16:creationId xmlns:a16="http://schemas.microsoft.com/office/drawing/2014/main" id="{5ACFA3AE-715B-4B4A-947C-871515F2F72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78" name="Text Box 1">
          <a:extLst>
            <a:ext uri="{FF2B5EF4-FFF2-40B4-BE49-F238E27FC236}">
              <a16:creationId xmlns:a16="http://schemas.microsoft.com/office/drawing/2014/main" id="{694C1763-1C9A-4EF0-8AC7-F821229ADD1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79" name="Text Box 1">
          <a:extLst>
            <a:ext uri="{FF2B5EF4-FFF2-40B4-BE49-F238E27FC236}">
              <a16:creationId xmlns:a16="http://schemas.microsoft.com/office/drawing/2014/main" id="{B11F39FC-8793-4FD4-8825-C8448B82FEA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80" name="Text Box 1">
          <a:extLst>
            <a:ext uri="{FF2B5EF4-FFF2-40B4-BE49-F238E27FC236}">
              <a16:creationId xmlns:a16="http://schemas.microsoft.com/office/drawing/2014/main" id="{7667D5B4-E478-43FB-BE3C-B6ED4A8ACB5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81" name="Text Box 1">
          <a:extLst>
            <a:ext uri="{FF2B5EF4-FFF2-40B4-BE49-F238E27FC236}">
              <a16:creationId xmlns:a16="http://schemas.microsoft.com/office/drawing/2014/main" id="{2E498040-FC4E-43D4-890B-E678815165C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82" name="Text Box 1">
          <a:extLst>
            <a:ext uri="{FF2B5EF4-FFF2-40B4-BE49-F238E27FC236}">
              <a16:creationId xmlns:a16="http://schemas.microsoft.com/office/drawing/2014/main" id="{36941EDC-199C-44DD-9CAE-7C51DCD9F9D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83" name="Text Box 1">
          <a:extLst>
            <a:ext uri="{FF2B5EF4-FFF2-40B4-BE49-F238E27FC236}">
              <a16:creationId xmlns:a16="http://schemas.microsoft.com/office/drawing/2014/main" id="{8574EE46-4E60-4ED4-919C-B0B8BC97E47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84" name="Text Box 1">
          <a:extLst>
            <a:ext uri="{FF2B5EF4-FFF2-40B4-BE49-F238E27FC236}">
              <a16:creationId xmlns:a16="http://schemas.microsoft.com/office/drawing/2014/main" id="{A16F0B0B-9EB0-4D19-AB3E-41D0D598061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85" name="Text Box 1">
          <a:extLst>
            <a:ext uri="{FF2B5EF4-FFF2-40B4-BE49-F238E27FC236}">
              <a16:creationId xmlns:a16="http://schemas.microsoft.com/office/drawing/2014/main" id="{84F3AFFA-7218-4E47-82F2-80C9B697C60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86" name="Text Box 1">
          <a:extLst>
            <a:ext uri="{FF2B5EF4-FFF2-40B4-BE49-F238E27FC236}">
              <a16:creationId xmlns:a16="http://schemas.microsoft.com/office/drawing/2014/main" id="{56EB71BD-E215-4975-978A-9008BCEC672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87" name="Text Box 1">
          <a:extLst>
            <a:ext uri="{FF2B5EF4-FFF2-40B4-BE49-F238E27FC236}">
              <a16:creationId xmlns:a16="http://schemas.microsoft.com/office/drawing/2014/main" id="{4ECF52C6-F90F-4372-90ED-DEFBBF4539C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88" name="Text Box 1">
          <a:extLst>
            <a:ext uri="{FF2B5EF4-FFF2-40B4-BE49-F238E27FC236}">
              <a16:creationId xmlns:a16="http://schemas.microsoft.com/office/drawing/2014/main" id="{A6AF0479-8B49-478E-AA1C-18F7A299A3B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89" name="Text Box 1">
          <a:extLst>
            <a:ext uri="{FF2B5EF4-FFF2-40B4-BE49-F238E27FC236}">
              <a16:creationId xmlns:a16="http://schemas.microsoft.com/office/drawing/2014/main" id="{9CFF5977-C042-4A94-9587-DE58E5E19E0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90" name="Text Box 1">
          <a:extLst>
            <a:ext uri="{FF2B5EF4-FFF2-40B4-BE49-F238E27FC236}">
              <a16:creationId xmlns:a16="http://schemas.microsoft.com/office/drawing/2014/main" id="{6EDADB34-81FC-4D43-8E51-55A3A054C35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91" name="Text Box 1">
          <a:extLst>
            <a:ext uri="{FF2B5EF4-FFF2-40B4-BE49-F238E27FC236}">
              <a16:creationId xmlns:a16="http://schemas.microsoft.com/office/drawing/2014/main" id="{2CD4E1B5-7255-48ED-A93A-1A66D8D1825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92" name="Text Box 1">
          <a:extLst>
            <a:ext uri="{FF2B5EF4-FFF2-40B4-BE49-F238E27FC236}">
              <a16:creationId xmlns:a16="http://schemas.microsoft.com/office/drawing/2014/main" id="{9DDCBEF3-3FE8-4809-9185-BDF652FF3E3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93" name="Text Box 1">
          <a:extLst>
            <a:ext uri="{FF2B5EF4-FFF2-40B4-BE49-F238E27FC236}">
              <a16:creationId xmlns:a16="http://schemas.microsoft.com/office/drawing/2014/main" id="{83DF62AF-8BF0-4A6E-A85F-705C482365C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94" name="Text Box 1">
          <a:extLst>
            <a:ext uri="{FF2B5EF4-FFF2-40B4-BE49-F238E27FC236}">
              <a16:creationId xmlns:a16="http://schemas.microsoft.com/office/drawing/2014/main" id="{3C5323D6-7DEB-4EC0-B3B9-5A980BB9067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95" name="Text Box 1">
          <a:extLst>
            <a:ext uri="{FF2B5EF4-FFF2-40B4-BE49-F238E27FC236}">
              <a16:creationId xmlns:a16="http://schemas.microsoft.com/office/drawing/2014/main" id="{F1427E22-BE0D-48AD-8BCC-8B1BD0BB3B2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96" name="Text Box 1">
          <a:extLst>
            <a:ext uri="{FF2B5EF4-FFF2-40B4-BE49-F238E27FC236}">
              <a16:creationId xmlns:a16="http://schemas.microsoft.com/office/drawing/2014/main" id="{5D38AE75-E3DC-4526-9DB3-A83DFF8EE8F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97" name="Text Box 1">
          <a:extLst>
            <a:ext uri="{FF2B5EF4-FFF2-40B4-BE49-F238E27FC236}">
              <a16:creationId xmlns:a16="http://schemas.microsoft.com/office/drawing/2014/main" id="{F5AFD2BB-9DAF-4E12-A48D-F15A39459B6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98" name="Text Box 1">
          <a:extLst>
            <a:ext uri="{FF2B5EF4-FFF2-40B4-BE49-F238E27FC236}">
              <a16:creationId xmlns:a16="http://schemas.microsoft.com/office/drawing/2014/main" id="{8A50254F-59DE-4154-8F1F-2E694078EED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099" name="Text Box 1">
          <a:extLst>
            <a:ext uri="{FF2B5EF4-FFF2-40B4-BE49-F238E27FC236}">
              <a16:creationId xmlns:a16="http://schemas.microsoft.com/office/drawing/2014/main" id="{377E866F-7958-421B-9A6A-B7BB7ED0FD9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100" name="Text Box 1">
          <a:extLst>
            <a:ext uri="{FF2B5EF4-FFF2-40B4-BE49-F238E27FC236}">
              <a16:creationId xmlns:a16="http://schemas.microsoft.com/office/drawing/2014/main" id="{97672452-DDA3-4712-A9C8-F4A803610D0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101" name="Text Box 1">
          <a:extLst>
            <a:ext uri="{FF2B5EF4-FFF2-40B4-BE49-F238E27FC236}">
              <a16:creationId xmlns:a16="http://schemas.microsoft.com/office/drawing/2014/main" id="{D0C01896-DA56-437F-8E71-0FB74698FDF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102" name="Text Box 1">
          <a:extLst>
            <a:ext uri="{FF2B5EF4-FFF2-40B4-BE49-F238E27FC236}">
              <a16:creationId xmlns:a16="http://schemas.microsoft.com/office/drawing/2014/main" id="{A5899095-20DF-43EE-BB0A-F4B8D844F15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103" name="Text Box 1">
          <a:extLst>
            <a:ext uri="{FF2B5EF4-FFF2-40B4-BE49-F238E27FC236}">
              <a16:creationId xmlns:a16="http://schemas.microsoft.com/office/drawing/2014/main" id="{F0DFB0BF-45FA-42BB-A994-AC80F67B78D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104" name="Text Box 1">
          <a:extLst>
            <a:ext uri="{FF2B5EF4-FFF2-40B4-BE49-F238E27FC236}">
              <a16:creationId xmlns:a16="http://schemas.microsoft.com/office/drawing/2014/main" id="{003EC08C-95BA-43A8-8A0B-63FB867B4AE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105" name="Text Box 1">
          <a:extLst>
            <a:ext uri="{FF2B5EF4-FFF2-40B4-BE49-F238E27FC236}">
              <a16:creationId xmlns:a16="http://schemas.microsoft.com/office/drawing/2014/main" id="{68FD13DC-10B5-4C7C-B51E-1BAFB6712F0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106" name="Text Box 1">
          <a:extLst>
            <a:ext uri="{FF2B5EF4-FFF2-40B4-BE49-F238E27FC236}">
              <a16:creationId xmlns:a16="http://schemas.microsoft.com/office/drawing/2014/main" id="{3F06B105-323E-40DC-B116-E53AF2AC2BA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107" name="Text Box 1">
          <a:extLst>
            <a:ext uri="{FF2B5EF4-FFF2-40B4-BE49-F238E27FC236}">
              <a16:creationId xmlns:a16="http://schemas.microsoft.com/office/drawing/2014/main" id="{407DFC81-1BE3-4D72-BE1D-90C4A8DC9CF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108" name="Text Box 1">
          <a:extLst>
            <a:ext uri="{FF2B5EF4-FFF2-40B4-BE49-F238E27FC236}">
              <a16:creationId xmlns:a16="http://schemas.microsoft.com/office/drawing/2014/main" id="{1C53C413-B1E1-46FF-ABE5-DA3F8B2740A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109" name="Text Box 1">
          <a:extLst>
            <a:ext uri="{FF2B5EF4-FFF2-40B4-BE49-F238E27FC236}">
              <a16:creationId xmlns:a16="http://schemas.microsoft.com/office/drawing/2014/main" id="{F53B3DBA-2B06-4115-AE56-2F9E168955D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110" name="Text Box 1">
          <a:extLst>
            <a:ext uri="{FF2B5EF4-FFF2-40B4-BE49-F238E27FC236}">
              <a16:creationId xmlns:a16="http://schemas.microsoft.com/office/drawing/2014/main" id="{D03AA93E-D158-405B-8C7B-0C63A6B9A86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111" name="Text Box 1">
          <a:extLst>
            <a:ext uri="{FF2B5EF4-FFF2-40B4-BE49-F238E27FC236}">
              <a16:creationId xmlns:a16="http://schemas.microsoft.com/office/drawing/2014/main" id="{50BC8DC7-C33D-4962-B577-3427B1C5969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112" name="Text Box 1">
          <a:extLst>
            <a:ext uri="{FF2B5EF4-FFF2-40B4-BE49-F238E27FC236}">
              <a16:creationId xmlns:a16="http://schemas.microsoft.com/office/drawing/2014/main" id="{38B4A06F-2540-45C3-B00D-701764114ED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113" name="Text Box 1">
          <a:extLst>
            <a:ext uri="{FF2B5EF4-FFF2-40B4-BE49-F238E27FC236}">
              <a16:creationId xmlns:a16="http://schemas.microsoft.com/office/drawing/2014/main" id="{484D3920-10A1-466E-B796-97784364618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114" name="Text Box 1">
          <a:extLst>
            <a:ext uri="{FF2B5EF4-FFF2-40B4-BE49-F238E27FC236}">
              <a16:creationId xmlns:a16="http://schemas.microsoft.com/office/drawing/2014/main" id="{E3E10B3A-96DD-4587-B2C7-140011E14DC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115" name="Text Box 1">
          <a:extLst>
            <a:ext uri="{FF2B5EF4-FFF2-40B4-BE49-F238E27FC236}">
              <a16:creationId xmlns:a16="http://schemas.microsoft.com/office/drawing/2014/main" id="{8F9D73FB-F35D-4175-800B-81B7F05F93E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116" name="Text Box 1">
          <a:extLst>
            <a:ext uri="{FF2B5EF4-FFF2-40B4-BE49-F238E27FC236}">
              <a16:creationId xmlns:a16="http://schemas.microsoft.com/office/drawing/2014/main" id="{17B35AD4-1515-4805-932F-E0628D15DF1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117" name="Text Box 1">
          <a:extLst>
            <a:ext uri="{FF2B5EF4-FFF2-40B4-BE49-F238E27FC236}">
              <a16:creationId xmlns:a16="http://schemas.microsoft.com/office/drawing/2014/main" id="{64EAD406-FCD5-4331-8036-019E47D68C6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118" name="Text Box 1">
          <a:extLst>
            <a:ext uri="{FF2B5EF4-FFF2-40B4-BE49-F238E27FC236}">
              <a16:creationId xmlns:a16="http://schemas.microsoft.com/office/drawing/2014/main" id="{D274366A-3DF1-4309-9A2A-26B911789E4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119" name="Text Box 1">
          <a:extLst>
            <a:ext uri="{FF2B5EF4-FFF2-40B4-BE49-F238E27FC236}">
              <a16:creationId xmlns:a16="http://schemas.microsoft.com/office/drawing/2014/main" id="{05CAF7E3-0AAB-45A8-BBCC-D2C9EE32BB1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120" name="Text Box 1">
          <a:extLst>
            <a:ext uri="{FF2B5EF4-FFF2-40B4-BE49-F238E27FC236}">
              <a16:creationId xmlns:a16="http://schemas.microsoft.com/office/drawing/2014/main" id="{A033E201-7D81-47D9-9DDB-B2C4B2B0787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121" name="Text Box 1">
          <a:extLst>
            <a:ext uri="{FF2B5EF4-FFF2-40B4-BE49-F238E27FC236}">
              <a16:creationId xmlns:a16="http://schemas.microsoft.com/office/drawing/2014/main" id="{DF6AD5E1-6F37-40CF-BE40-3BCDF7B311C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122" name="Text Box 1">
          <a:extLst>
            <a:ext uri="{FF2B5EF4-FFF2-40B4-BE49-F238E27FC236}">
              <a16:creationId xmlns:a16="http://schemas.microsoft.com/office/drawing/2014/main" id="{1148260B-656B-4D8A-8DE2-1694706DD0E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123" name="Text Box 1">
          <a:extLst>
            <a:ext uri="{FF2B5EF4-FFF2-40B4-BE49-F238E27FC236}">
              <a16:creationId xmlns:a16="http://schemas.microsoft.com/office/drawing/2014/main" id="{7B1890E7-EA7B-49C9-AF4C-2BC22A9F365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124" name="Text Box 1">
          <a:extLst>
            <a:ext uri="{FF2B5EF4-FFF2-40B4-BE49-F238E27FC236}">
              <a16:creationId xmlns:a16="http://schemas.microsoft.com/office/drawing/2014/main" id="{FA2D41B2-735F-4794-8532-2D01786EBF1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125" name="Text Box 1">
          <a:extLst>
            <a:ext uri="{FF2B5EF4-FFF2-40B4-BE49-F238E27FC236}">
              <a16:creationId xmlns:a16="http://schemas.microsoft.com/office/drawing/2014/main" id="{30F49281-9A70-42F4-988A-4DB50AFE4FC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126" name="Text Box 1">
          <a:extLst>
            <a:ext uri="{FF2B5EF4-FFF2-40B4-BE49-F238E27FC236}">
              <a16:creationId xmlns:a16="http://schemas.microsoft.com/office/drawing/2014/main" id="{D2233D77-838A-4F07-B107-CBFB53A98B2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127" name="Text Box 1">
          <a:extLst>
            <a:ext uri="{FF2B5EF4-FFF2-40B4-BE49-F238E27FC236}">
              <a16:creationId xmlns:a16="http://schemas.microsoft.com/office/drawing/2014/main" id="{E4984573-8B01-4CEE-99E7-D4DDA6D4AD4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128" name="Text Box 1">
          <a:extLst>
            <a:ext uri="{FF2B5EF4-FFF2-40B4-BE49-F238E27FC236}">
              <a16:creationId xmlns:a16="http://schemas.microsoft.com/office/drawing/2014/main" id="{BE0BA552-7903-4AFF-B967-0F68CF310F6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129" name="Text Box 1">
          <a:extLst>
            <a:ext uri="{FF2B5EF4-FFF2-40B4-BE49-F238E27FC236}">
              <a16:creationId xmlns:a16="http://schemas.microsoft.com/office/drawing/2014/main" id="{64EEEF12-C301-473D-B407-19DFF77715E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130" name="Text Box 1">
          <a:extLst>
            <a:ext uri="{FF2B5EF4-FFF2-40B4-BE49-F238E27FC236}">
              <a16:creationId xmlns:a16="http://schemas.microsoft.com/office/drawing/2014/main" id="{1F4001E8-8DDE-4D83-B640-B66C23ECB0A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131" name="Text Box 1">
          <a:extLst>
            <a:ext uri="{FF2B5EF4-FFF2-40B4-BE49-F238E27FC236}">
              <a16:creationId xmlns:a16="http://schemas.microsoft.com/office/drawing/2014/main" id="{27EAACF5-B957-411C-BF29-42C99A57532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132" name="Text Box 1">
          <a:extLst>
            <a:ext uri="{FF2B5EF4-FFF2-40B4-BE49-F238E27FC236}">
              <a16:creationId xmlns:a16="http://schemas.microsoft.com/office/drawing/2014/main" id="{66ED963C-3358-4B46-8ECD-19A3FC87F0A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133" name="Text Box 1">
          <a:extLst>
            <a:ext uri="{FF2B5EF4-FFF2-40B4-BE49-F238E27FC236}">
              <a16:creationId xmlns:a16="http://schemas.microsoft.com/office/drawing/2014/main" id="{5DACDFDA-EB55-4966-B0CE-DF1C805B969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134" name="Text Box 1">
          <a:extLst>
            <a:ext uri="{FF2B5EF4-FFF2-40B4-BE49-F238E27FC236}">
              <a16:creationId xmlns:a16="http://schemas.microsoft.com/office/drawing/2014/main" id="{E7A44291-2952-4D52-9AD1-96336CA2220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135" name="Text Box 1">
          <a:extLst>
            <a:ext uri="{FF2B5EF4-FFF2-40B4-BE49-F238E27FC236}">
              <a16:creationId xmlns:a16="http://schemas.microsoft.com/office/drawing/2014/main" id="{A9A2DBD3-8F19-4B05-B6BF-564D6834155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136" name="Text Box 1">
          <a:extLst>
            <a:ext uri="{FF2B5EF4-FFF2-40B4-BE49-F238E27FC236}">
              <a16:creationId xmlns:a16="http://schemas.microsoft.com/office/drawing/2014/main" id="{5C46E06A-31B4-423F-8242-3C221017917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137" name="Text Box 1">
          <a:extLst>
            <a:ext uri="{FF2B5EF4-FFF2-40B4-BE49-F238E27FC236}">
              <a16:creationId xmlns:a16="http://schemas.microsoft.com/office/drawing/2014/main" id="{ADF3AEBB-AA77-4FF7-A46B-6849D862BA5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138" name="Text Box 1">
          <a:extLst>
            <a:ext uri="{FF2B5EF4-FFF2-40B4-BE49-F238E27FC236}">
              <a16:creationId xmlns:a16="http://schemas.microsoft.com/office/drawing/2014/main" id="{9FF88216-4CA3-4419-B3BD-976B7EB4FB7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139" name="Text Box 1">
          <a:extLst>
            <a:ext uri="{FF2B5EF4-FFF2-40B4-BE49-F238E27FC236}">
              <a16:creationId xmlns:a16="http://schemas.microsoft.com/office/drawing/2014/main" id="{C1BDF042-B920-412D-98A7-AFAE16C3816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140" name="Text Box 1">
          <a:extLst>
            <a:ext uri="{FF2B5EF4-FFF2-40B4-BE49-F238E27FC236}">
              <a16:creationId xmlns:a16="http://schemas.microsoft.com/office/drawing/2014/main" id="{BFD814D7-D05A-4FFA-AEDB-17EA22C770F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141" name="Text Box 1">
          <a:extLst>
            <a:ext uri="{FF2B5EF4-FFF2-40B4-BE49-F238E27FC236}">
              <a16:creationId xmlns:a16="http://schemas.microsoft.com/office/drawing/2014/main" id="{9CC5FC0E-73E7-4EAB-8A9F-037486FA07D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142" name="Text Box 1">
          <a:extLst>
            <a:ext uri="{FF2B5EF4-FFF2-40B4-BE49-F238E27FC236}">
              <a16:creationId xmlns:a16="http://schemas.microsoft.com/office/drawing/2014/main" id="{B8400EBE-2552-4FDF-9D92-56C70655E97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143" name="Text Box 1">
          <a:extLst>
            <a:ext uri="{FF2B5EF4-FFF2-40B4-BE49-F238E27FC236}">
              <a16:creationId xmlns:a16="http://schemas.microsoft.com/office/drawing/2014/main" id="{BEA22E49-4616-4CB4-8B53-4575978C1E5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144" name="Text Box 1">
          <a:extLst>
            <a:ext uri="{FF2B5EF4-FFF2-40B4-BE49-F238E27FC236}">
              <a16:creationId xmlns:a16="http://schemas.microsoft.com/office/drawing/2014/main" id="{940356B4-135C-4795-A94D-1CE8E3A14B3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145" name="Text Box 1">
          <a:extLst>
            <a:ext uri="{FF2B5EF4-FFF2-40B4-BE49-F238E27FC236}">
              <a16:creationId xmlns:a16="http://schemas.microsoft.com/office/drawing/2014/main" id="{BAC9ABE6-598A-4200-BFF5-36350F3E16A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146" name="Text Box 1">
          <a:extLst>
            <a:ext uri="{FF2B5EF4-FFF2-40B4-BE49-F238E27FC236}">
              <a16:creationId xmlns:a16="http://schemas.microsoft.com/office/drawing/2014/main" id="{19D3D92D-55D0-4E00-B53B-BFC8E520722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147" name="Text Box 1">
          <a:extLst>
            <a:ext uri="{FF2B5EF4-FFF2-40B4-BE49-F238E27FC236}">
              <a16:creationId xmlns:a16="http://schemas.microsoft.com/office/drawing/2014/main" id="{2AD7C986-98AB-480D-8692-F8DAD994CD9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148" name="Text Box 1">
          <a:extLst>
            <a:ext uri="{FF2B5EF4-FFF2-40B4-BE49-F238E27FC236}">
              <a16:creationId xmlns:a16="http://schemas.microsoft.com/office/drawing/2014/main" id="{7E877D45-B0CE-4EC6-AFD7-63B65906A2E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149" name="Text Box 1">
          <a:extLst>
            <a:ext uri="{FF2B5EF4-FFF2-40B4-BE49-F238E27FC236}">
              <a16:creationId xmlns:a16="http://schemas.microsoft.com/office/drawing/2014/main" id="{B3FAE3C1-5B62-42DE-9ACA-75EA9BFDF9C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150" name="Text Box 1">
          <a:extLst>
            <a:ext uri="{FF2B5EF4-FFF2-40B4-BE49-F238E27FC236}">
              <a16:creationId xmlns:a16="http://schemas.microsoft.com/office/drawing/2014/main" id="{9ABED3BD-EE79-4028-ACFD-D88E771EB4A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151" name="Text Box 1">
          <a:extLst>
            <a:ext uri="{FF2B5EF4-FFF2-40B4-BE49-F238E27FC236}">
              <a16:creationId xmlns:a16="http://schemas.microsoft.com/office/drawing/2014/main" id="{EFDF8D7E-637E-4934-9AD6-C5719236F54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152" name="Text Box 1">
          <a:extLst>
            <a:ext uri="{FF2B5EF4-FFF2-40B4-BE49-F238E27FC236}">
              <a16:creationId xmlns:a16="http://schemas.microsoft.com/office/drawing/2014/main" id="{E66D9AB3-5A66-4D84-A8FC-844365245D6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153" name="Text Box 1">
          <a:extLst>
            <a:ext uri="{FF2B5EF4-FFF2-40B4-BE49-F238E27FC236}">
              <a16:creationId xmlns:a16="http://schemas.microsoft.com/office/drawing/2014/main" id="{292EB30F-77B1-4D35-9A3C-A3F03E4FB72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154" name="Text Box 1">
          <a:extLst>
            <a:ext uri="{FF2B5EF4-FFF2-40B4-BE49-F238E27FC236}">
              <a16:creationId xmlns:a16="http://schemas.microsoft.com/office/drawing/2014/main" id="{E38D9303-13BF-4EAC-B126-7DD33B497B2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155" name="Text Box 1">
          <a:extLst>
            <a:ext uri="{FF2B5EF4-FFF2-40B4-BE49-F238E27FC236}">
              <a16:creationId xmlns:a16="http://schemas.microsoft.com/office/drawing/2014/main" id="{9362AE05-AB29-458C-9D09-FA7A2FFCC60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156" name="Text Box 1">
          <a:extLst>
            <a:ext uri="{FF2B5EF4-FFF2-40B4-BE49-F238E27FC236}">
              <a16:creationId xmlns:a16="http://schemas.microsoft.com/office/drawing/2014/main" id="{5894BDAE-1979-4EE0-A3D8-C70C3AD6C2F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157" name="Text Box 1">
          <a:extLst>
            <a:ext uri="{FF2B5EF4-FFF2-40B4-BE49-F238E27FC236}">
              <a16:creationId xmlns:a16="http://schemas.microsoft.com/office/drawing/2014/main" id="{ECB2A0FB-91C6-483D-8A37-1511AB32F79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158" name="Text Box 1">
          <a:extLst>
            <a:ext uri="{FF2B5EF4-FFF2-40B4-BE49-F238E27FC236}">
              <a16:creationId xmlns:a16="http://schemas.microsoft.com/office/drawing/2014/main" id="{B839C5B6-33AA-4A6E-99AB-73F5FC10293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159" name="Text Box 1">
          <a:extLst>
            <a:ext uri="{FF2B5EF4-FFF2-40B4-BE49-F238E27FC236}">
              <a16:creationId xmlns:a16="http://schemas.microsoft.com/office/drawing/2014/main" id="{17EF80F3-FE04-410C-85D3-E08DE49F303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160" name="Text Box 1">
          <a:extLst>
            <a:ext uri="{FF2B5EF4-FFF2-40B4-BE49-F238E27FC236}">
              <a16:creationId xmlns:a16="http://schemas.microsoft.com/office/drawing/2014/main" id="{0AA8A308-A01F-41A4-AD95-DA5AB3E6340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161" name="Text Box 1">
          <a:extLst>
            <a:ext uri="{FF2B5EF4-FFF2-40B4-BE49-F238E27FC236}">
              <a16:creationId xmlns:a16="http://schemas.microsoft.com/office/drawing/2014/main" id="{4C6634A2-CCB7-4FB4-BA5B-A53C0F3C80B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162" name="Text Box 1">
          <a:extLst>
            <a:ext uri="{FF2B5EF4-FFF2-40B4-BE49-F238E27FC236}">
              <a16:creationId xmlns:a16="http://schemas.microsoft.com/office/drawing/2014/main" id="{F70CD203-7B0E-4D24-8D79-56948F4FF49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163" name="Text Box 1">
          <a:extLst>
            <a:ext uri="{FF2B5EF4-FFF2-40B4-BE49-F238E27FC236}">
              <a16:creationId xmlns:a16="http://schemas.microsoft.com/office/drawing/2014/main" id="{6CB2B54E-A07E-45AB-94A4-1256EDD19E3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164" name="Text Box 1">
          <a:extLst>
            <a:ext uri="{FF2B5EF4-FFF2-40B4-BE49-F238E27FC236}">
              <a16:creationId xmlns:a16="http://schemas.microsoft.com/office/drawing/2014/main" id="{933B65A2-36CF-40A0-961B-E4AA91F072E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1165" name="Text Box 1">
          <a:extLst>
            <a:ext uri="{FF2B5EF4-FFF2-40B4-BE49-F238E27FC236}">
              <a16:creationId xmlns:a16="http://schemas.microsoft.com/office/drawing/2014/main" id="{370A381B-63A7-4451-978E-EE473B47968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166" name="Text Box 1">
          <a:extLst>
            <a:ext uri="{FF2B5EF4-FFF2-40B4-BE49-F238E27FC236}">
              <a16:creationId xmlns:a16="http://schemas.microsoft.com/office/drawing/2014/main" id="{23CDB465-D17D-4113-9271-9A7D2FFF786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167" name="Text Box 1">
          <a:extLst>
            <a:ext uri="{FF2B5EF4-FFF2-40B4-BE49-F238E27FC236}">
              <a16:creationId xmlns:a16="http://schemas.microsoft.com/office/drawing/2014/main" id="{692FCFCF-251C-4BD5-B2B9-18C3FFCBF38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168" name="Text Box 1">
          <a:extLst>
            <a:ext uri="{FF2B5EF4-FFF2-40B4-BE49-F238E27FC236}">
              <a16:creationId xmlns:a16="http://schemas.microsoft.com/office/drawing/2014/main" id="{0E56A256-7657-4423-B614-762811EE10A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169" name="Text Box 1">
          <a:extLst>
            <a:ext uri="{FF2B5EF4-FFF2-40B4-BE49-F238E27FC236}">
              <a16:creationId xmlns:a16="http://schemas.microsoft.com/office/drawing/2014/main" id="{BDB4D27E-7074-4F5B-BD5F-47627A5CF88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170" name="Text Box 1">
          <a:extLst>
            <a:ext uri="{FF2B5EF4-FFF2-40B4-BE49-F238E27FC236}">
              <a16:creationId xmlns:a16="http://schemas.microsoft.com/office/drawing/2014/main" id="{42B01CE9-1571-47AA-B30B-ABAC959739B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171" name="Text Box 1">
          <a:extLst>
            <a:ext uri="{FF2B5EF4-FFF2-40B4-BE49-F238E27FC236}">
              <a16:creationId xmlns:a16="http://schemas.microsoft.com/office/drawing/2014/main" id="{62D1CABA-FB64-4A14-91B2-208DE84603A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172" name="Text Box 1">
          <a:extLst>
            <a:ext uri="{FF2B5EF4-FFF2-40B4-BE49-F238E27FC236}">
              <a16:creationId xmlns:a16="http://schemas.microsoft.com/office/drawing/2014/main" id="{DD63E989-A1D7-492F-91E1-EB698C7E810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173" name="Text Box 1">
          <a:extLst>
            <a:ext uri="{FF2B5EF4-FFF2-40B4-BE49-F238E27FC236}">
              <a16:creationId xmlns:a16="http://schemas.microsoft.com/office/drawing/2014/main" id="{0A195788-2CDC-47C1-9F0D-F200090E09D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174" name="Text Box 1">
          <a:extLst>
            <a:ext uri="{FF2B5EF4-FFF2-40B4-BE49-F238E27FC236}">
              <a16:creationId xmlns:a16="http://schemas.microsoft.com/office/drawing/2014/main" id="{E53A7174-16C6-42A4-9714-995A8D59349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175" name="Text Box 1">
          <a:extLst>
            <a:ext uri="{FF2B5EF4-FFF2-40B4-BE49-F238E27FC236}">
              <a16:creationId xmlns:a16="http://schemas.microsoft.com/office/drawing/2014/main" id="{61531CC5-CF4E-4621-A4A7-CE701FE3E42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176" name="Text Box 1">
          <a:extLst>
            <a:ext uri="{FF2B5EF4-FFF2-40B4-BE49-F238E27FC236}">
              <a16:creationId xmlns:a16="http://schemas.microsoft.com/office/drawing/2014/main" id="{E8F978E7-DC70-4E1E-B327-679E53E12F6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177" name="Text Box 1">
          <a:extLst>
            <a:ext uri="{FF2B5EF4-FFF2-40B4-BE49-F238E27FC236}">
              <a16:creationId xmlns:a16="http://schemas.microsoft.com/office/drawing/2014/main" id="{5A2A5A6D-2FBD-47B5-8673-DD66120C17A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178" name="Text Box 1">
          <a:extLst>
            <a:ext uri="{FF2B5EF4-FFF2-40B4-BE49-F238E27FC236}">
              <a16:creationId xmlns:a16="http://schemas.microsoft.com/office/drawing/2014/main" id="{638A33DB-7B71-46BC-B8BC-3D3F70F9748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179" name="Text Box 1">
          <a:extLst>
            <a:ext uri="{FF2B5EF4-FFF2-40B4-BE49-F238E27FC236}">
              <a16:creationId xmlns:a16="http://schemas.microsoft.com/office/drawing/2014/main" id="{C39A427E-F74E-4754-8038-7F5B0833EDD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180" name="Text Box 1">
          <a:extLst>
            <a:ext uri="{FF2B5EF4-FFF2-40B4-BE49-F238E27FC236}">
              <a16:creationId xmlns:a16="http://schemas.microsoft.com/office/drawing/2014/main" id="{C4AEE5A8-AB21-4D23-BDC7-6CD31F51B80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181" name="Text Box 1">
          <a:extLst>
            <a:ext uri="{FF2B5EF4-FFF2-40B4-BE49-F238E27FC236}">
              <a16:creationId xmlns:a16="http://schemas.microsoft.com/office/drawing/2014/main" id="{444E497F-C3BE-4E3C-B378-9B715A5072A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182" name="Text Box 1">
          <a:extLst>
            <a:ext uri="{FF2B5EF4-FFF2-40B4-BE49-F238E27FC236}">
              <a16:creationId xmlns:a16="http://schemas.microsoft.com/office/drawing/2014/main" id="{87B159DA-299F-4A8D-A4EC-E1C0402DDBD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183" name="Text Box 1">
          <a:extLst>
            <a:ext uri="{FF2B5EF4-FFF2-40B4-BE49-F238E27FC236}">
              <a16:creationId xmlns:a16="http://schemas.microsoft.com/office/drawing/2014/main" id="{2E38A252-90AF-443B-BC87-5AB5089E9A6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184" name="Text Box 1">
          <a:extLst>
            <a:ext uri="{FF2B5EF4-FFF2-40B4-BE49-F238E27FC236}">
              <a16:creationId xmlns:a16="http://schemas.microsoft.com/office/drawing/2014/main" id="{9DD0F238-0F50-4A42-A0F8-6E92411D387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185" name="Text Box 1">
          <a:extLst>
            <a:ext uri="{FF2B5EF4-FFF2-40B4-BE49-F238E27FC236}">
              <a16:creationId xmlns:a16="http://schemas.microsoft.com/office/drawing/2014/main" id="{4CBD25FC-972A-4018-9F59-C18C9B226B4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186" name="Text Box 1">
          <a:extLst>
            <a:ext uri="{FF2B5EF4-FFF2-40B4-BE49-F238E27FC236}">
              <a16:creationId xmlns:a16="http://schemas.microsoft.com/office/drawing/2014/main" id="{2D84CEF0-9F37-4FDD-8913-BD0D32BC80D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187" name="Text Box 1">
          <a:extLst>
            <a:ext uri="{FF2B5EF4-FFF2-40B4-BE49-F238E27FC236}">
              <a16:creationId xmlns:a16="http://schemas.microsoft.com/office/drawing/2014/main" id="{D4FEFF89-EA7F-4E2A-BE71-6FFDDB88891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188" name="Text Box 1">
          <a:extLst>
            <a:ext uri="{FF2B5EF4-FFF2-40B4-BE49-F238E27FC236}">
              <a16:creationId xmlns:a16="http://schemas.microsoft.com/office/drawing/2014/main" id="{BCD0046B-DA00-41F7-B9CA-9162EFBBE43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189" name="Text Box 1">
          <a:extLst>
            <a:ext uri="{FF2B5EF4-FFF2-40B4-BE49-F238E27FC236}">
              <a16:creationId xmlns:a16="http://schemas.microsoft.com/office/drawing/2014/main" id="{627CDDCD-976E-4DB2-A0BD-03C8E838421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190" name="Text Box 1">
          <a:extLst>
            <a:ext uri="{FF2B5EF4-FFF2-40B4-BE49-F238E27FC236}">
              <a16:creationId xmlns:a16="http://schemas.microsoft.com/office/drawing/2014/main" id="{9C542F82-072E-4A1A-9622-59BE34DE455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191" name="Text Box 1">
          <a:extLst>
            <a:ext uri="{FF2B5EF4-FFF2-40B4-BE49-F238E27FC236}">
              <a16:creationId xmlns:a16="http://schemas.microsoft.com/office/drawing/2014/main" id="{87B4FBE2-265E-4ECD-ACE9-D6FE8847575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192" name="Text Box 1">
          <a:extLst>
            <a:ext uri="{FF2B5EF4-FFF2-40B4-BE49-F238E27FC236}">
              <a16:creationId xmlns:a16="http://schemas.microsoft.com/office/drawing/2014/main" id="{941E1591-971B-4143-89DF-7B1E22CFC5C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193" name="Text Box 1">
          <a:extLst>
            <a:ext uri="{FF2B5EF4-FFF2-40B4-BE49-F238E27FC236}">
              <a16:creationId xmlns:a16="http://schemas.microsoft.com/office/drawing/2014/main" id="{23C5C163-79A2-447D-9262-D0942CB36C8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194" name="Text Box 1">
          <a:extLst>
            <a:ext uri="{FF2B5EF4-FFF2-40B4-BE49-F238E27FC236}">
              <a16:creationId xmlns:a16="http://schemas.microsoft.com/office/drawing/2014/main" id="{8BC42D52-7FA1-405F-88D4-7FB3FEB0B83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195" name="Text Box 1">
          <a:extLst>
            <a:ext uri="{FF2B5EF4-FFF2-40B4-BE49-F238E27FC236}">
              <a16:creationId xmlns:a16="http://schemas.microsoft.com/office/drawing/2014/main" id="{7611082D-57C3-46F2-B868-E1727A4303D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196" name="Text Box 1">
          <a:extLst>
            <a:ext uri="{FF2B5EF4-FFF2-40B4-BE49-F238E27FC236}">
              <a16:creationId xmlns:a16="http://schemas.microsoft.com/office/drawing/2014/main" id="{3AA2ABA6-F018-4812-B7B8-BB9853B2C8A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197" name="Text Box 1">
          <a:extLst>
            <a:ext uri="{FF2B5EF4-FFF2-40B4-BE49-F238E27FC236}">
              <a16:creationId xmlns:a16="http://schemas.microsoft.com/office/drawing/2014/main" id="{51E2B2F3-A8F4-431E-A197-72CCA8BCE27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198" name="Text Box 1">
          <a:extLst>
            <a:ext uri="{FF2B5EF4-FFF2-40B4-BE49-F238E27FC236}">
              <a16:creationId xmlns:a16="http://schemas.microsoft.com/office/drawing/2014/main" id="{3139AB6D-4798-4359-8F44-AED96C902FF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199" name="Text Box 1">
          <a:extLst>
            <a:ext uri="{FF2B5EF4-FFF2-40B4-BE49-F238E27FC236}">
              <a16:creationId xmlns:a16="http://schemas.microsoft.com/office/drawing/2014/main" id="{96DC64EE-94FB-4E72-A471-395CC407755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00" name="Text Box 1">
          <a:extLst>
            <a:ext uri="{FF2B5EF4-FFF2-40B4-BE49-F238E27FC236}">
              <a16:creationId xmlns:a16="http://schemas.microsoft.com/office/drawing/2014/main" id="{85F4ACD6-5B24-4440-8303-47EB65A9468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01" name="Text Box 1">
          <a:extLst>
            <a:ext uri="{FF2B5EF4-FFF2-40B4-BE49-F238E27FC236}">
              <a16:creationId xmlns:a16="http://schemas.microsoft.com/office/drawing/2014/main" id="{C9870027-5390-4224-A531-C5D2099CA90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02" name="Text Box 1">
          <a:extLst>
            <a:ext uri="{FF2B5EF4-FFF2-40B4-BE49-F238E27FC236}">
              <a16:creationId xmlns:a16="http://schemas.microsoft.com/office/drawing/2014/main" id="{AC191B23-1958-42E4-8826-29695F643EC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03" name="Text Box 1">
          <a:extLst>
            <a:ext uri="{FF2B5EF4-FFF2-40B4-BE49-F238E27FC236}">
              <a16:creationId xmlns:a16="http://schemas.microsoft.com/office/drawing/2014/main" id="{77779628-CBD2-43A8-82C9-93CA333EAAD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04" name="Text Box 1">
          <a:extLst>
            <a:ext uri="{FF2B5EF4-FFF2-40B4-BE49-F238E27FC236}">
              <a16:creationId xmlns:a16="http://schemas.microsoft.com/office/drawing/2014/main" id="{4FC2BEDC-A559-430D-AC07-4A364A0F3B1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05" name="Text Box 1">
          <a:extLst>
            <a:ext uri="{FF2B5EF4-FFF2-40B4-BE49-F238E27FC236}">
              <a16:creationId xmlns:a16="http://schemas.microsoft.com/office/drawing/2014/main" id="{83D62D22-5DDF-44CE-AEF4-2CD98DD9DBF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06" name="Text Box 1">
          <a:extLst>
            <a:ext uri="{FF2B5EF4-FFF2-40B4-BE49-F238E27FC236}">
              <a16:creationId xmlns:a16="http://schemas.microsoft.com/office/drawing/2014/main" id="{1723DF0A-4427-4648-B1E8-B614E52AC00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07" name="Text Box 1">
          <a:extLst>
            <a:ext uri="{FF2B5EF4-FFF2-40B4-BE49-F238E27FC236}">
              <a16:creationId xmlns:a16="http://schemas.microsoft.com/office/drawing/2014/main" id="{BF8E7B76-860B-4486-92C7-28AF4E915D2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08" name="Text Box 1">
          <a:extLst>
            <a:ext uri="{FF2B5EF4-FFF2-40B4-BE49-F238E27FC236}">
              <a16:creationId xmlns:a16="http://schemas.microsoft.com/office/drawing/2014/main" id="{EE054073-D140-4426-96BB-B4838E0E194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09" name="Text Box 1">
          <a:extLst>
            <a:ext uri="{FF2B5EF4-FFF2-40B4-BE49-F238E27FC236}">
              <a16:creationId xmlns:a16="http://schemas.microsoft.com/office/drawing/2014/main" id="{DD7F5E87-F0FA-46E1-B673-5712C7E3408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10" name="Text Box 1">
          <a:extLst>
            <a:ext uri="{FF2B5EF4-FFF2-40B4-BE49-F238E27FC236}">
              <a16:creationId xmlns:a16="http://schemas.microsoft.com/office/drawing/2014/main" id="{06DC2460-5452-4E14-B33C-DBF18C46480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11" name="Text Box 1">
          <a:extLst>
            <a:ext uri="{FF2B5EF4-FFF2-40B4-BE49-F238E27FC236}">
              <a16:creationId xmlns:a16="http://schemas.microsoft.com/office/drawing/2014/main" id="{CD1BD5AF-EFA4-4BBD-8FEB-633E07B5C7C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12" name="Text Box 1">
          <a:extLst>
            <a:ext uri="{FF2B5EF4-FFF2-40B4-BE49-F238E27FC236}">
              <a16:creationId xmlns:a16="http://schemas.microsoft.com/office/drawing/2014/main" id="{A61BFA97-542E-4712-A842-D9A8299D8B8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13" name="Text Box 1">
          <a:extLst>
            <a:ext uri="{FF2B5EF4-FFF2-40B4-BE49-F238E27FC236}">
              <a16:creationId xmlns:a16="http://schemas.microsoft.com/office/drawing/2014/main" id="{75212074-2C01-401C-A8BF-83503AFCAD7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14" name="Text Box 1">
          <a:extLst>
            <a:ext uri="{FF2B5EF4-FFF2-40B4-BE49-F238E27FC236}">
              <a16:creationId xmlns:a16="http://schemas.microsoft.com/office/drawing/2014/main" id="{99185DE5-9CC6-4AE2-8D3E-67F852D5EE6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15" name="Text Box 1">
          <a:extLst>
            <a:ext uri="{FF2B5EF4-FFF2-40B4-BE49-F238E27FC236}">
              <a16:creationId xmlns:a16="http://schemas.microsoft.com/office/drawing/2014/main" id="{113C8A49-6019-40BF-925F-CF7A26C6349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16" name="Text Box 1">
          <a:extLst>
            <a:ext uri="{FF2B5EF4-FFF2-40B4-BE49-F238E27FC236}">
              <a16:creationId xmlns:a16="http://schemas.microsoft.com/office/drawing/2014/main" id="{AD0C2E8F-95AB-45B7-ABFF-87A85F4DD7C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17" name="Text Box 1">
          <a:extLst>
            <a:ext uri="{FF2B5EF4-FFF2-40B4-BE49-F238E27FC236}">
              <a16:creationId xmlns:a16="http://schemas.microsoft.com/office/drawing/2014/main" id="{BD0390CF-25B0-49EE-997C-45B452FC3C9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18" name="Text Box 1">
          <a:extLst>
            <a:ext uri="{FF2B5EF4-FFF2-40B4-BE49-F238E27FC236}">
              <a16:creationId xmlns:a16="http://schemas.microsoft.com/office/drawing/2014/main" id="{338C78A3-D43F-4350-B7A6-219DC5465AD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19" name="Text Box 1">
          <a:extLst>
            <a:ext uri="{FF2B5EF4-FFF2-40B4-BE49-F238E27FC236}">
              <a16:creationId xmlns:a16="http://schemas.microsoft.com/office/drawing/2014/main" id="{32358948-B4EF-474B-8921-D3E0119C3B4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20" name="Text Box 1">
          <a:extLst>
            <a:ext uri="{FF2B5EF4-FFF2-40B4-BE49-F238E27FC236}">
              <a16:creationId xmlns:a16="http://schemas.microsoft.com/office/drawing/2014/main" id="{51D8F24F-937F-4E6C-B439-7F745B45B3D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21" name="Text Box 1">
          <a:extLst>
            <a:ext uri="{FF2B5EF4-FFF2-40B4-BE49-F238E27FC236}">
              <a16:creationId xmlns:a16="http://schemas.microsoft.com/office/drawing/2014/main" id="{B8A9F418-DEB1-45B6-A9F4-01730C8D398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22" name="Text Box 1">
          <a:extLst>
            <a:ext uri="{FF2B5EF4-FFF2-40B4-BE49-F238E27FC236}">
              <a16:creationId xmlns:a16="http://schemas.microsoft.com/office/drawing/2014/main" id="{CF57115C-D240-42C4-B670-8D896763EC5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23" name="Text Box 1">
          <a:extLst>
            <a:ext uri="{FF2B5EF4-FFF2-40B4-BE49-F238E27FC236}">
              <a16:creationId xmlns:a16="http://schemas.microsoft.com/office/drawing/2014/main" id="{FFA34057-C872-443D-B3B3-796B9AC4D48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24" name="Text Box 1">
          <a:extLst>
            <a:ext uri="{FF2B5EF4-FFF2-40B4-BE49-F238E27FC236}">
              <a16:creationId xmlns:a16="http://schemas.microsoft.com/office/drawing/2014/main" id="{94D0A8C8-8C98-409E-9B12-957D22AD685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25" name="Text Box 1">
          <a:extLst>
            <a:ext uri="{FF2B5EF4-FFF2-40B4-BE49-F238E27FC236}">
              <a16:creationId xmlns:a16="http://schemas.microsoft.com/office/drawing/2014/main" id="{4A8FF5C0-D103-4D35-8935-904A5DD648F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26" name="Text Box 1">
          <a:extLst>
            <a:ext uri="{FF2B5EF4-FFF2-40B4-BE49-F238E27FC236}">
              <a16:creationId xmlns:a16="http://schemas.microsoft.com/office/drawing/2014/main" id="{0ED426C0-FE97-4083-8CDF-45FFC96BBE6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27" name="Text Box 1">
          <a:extLst>
            <a:ext uri="{FF2B5EF4-FFF2-40B4-BE49-F238E27FC236}">
              <a16:creationId xmlns:a16="http://schemas.microsoft.com/office/drawing/2014/main" id="{AB1B60C1-2235-40FB-AB96-02704D810D6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28" name="Text Box 1">
          <a:extLst>
            <a:ext uri="{FF2B5EF4-FFF2-40B4-BE49-F238E27FC236}">
              <a16:creationId xmlns:a16="http://schemas.microsoft.com/office/drawing/2014/main" id="{C0F4B11B-C8D3-401C-95BB-9A57C327B53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29" name="Text Box 1">
          <a:extLst>
            <a:ext uri="{FF2B5EF4-FFF2-40B4-BE49-F238E27FC236}">
              <a16:creationId xmlns:a16="http://schemas.microsoft.com/office/drawing/2014/main" id="{D7F712FE-FF06-4F9A-A0AC-AEB5FB34B20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30" name="Text Box 1">
          <a:extLst>
            <a:ext uri="{FF2B5EF4-FFF2-40B4-BE49-F238E27FC236}">
              <a16:creationId xmlns:a16="http://schemas.microsoft.com/office/drawing/2014/main" id="{A78B830F-7375-4DFF-8CB4-55865360BE9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31" name="Text Box 1">
          <a:extLst>
            <a:ext uri="{FF2B5EF4-FFF2-40B4-BE49-F238E27FC236}">
              <a16:creationId xmlns:a16="http://schemas.microsoft.com/office/drawing/2014/main" id="{4C911D30-707E-4F9C-8B8A-590F7F2101C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32" name="Text Box 1">
          <a:extLst>
            <a:ext uri="{FF2B5EF4-FFF2-40B4-BE49-F238E27FC236}">
              <a16:creationId xmlns:a16="http://schemas.microsoft.com/office/drawing/2014/main" id="{CDF9719A-75F0-46C9-93F4-EE75CBCFD61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33" name="Text Box 1">
          <a:extLst>
            <a:ext uri="{FF2B5EF4-FFF2-40B4-BE49-F238E27FC236}">
              <a16:creationId xmlns:a16="http://schemas.microsoft.com/office/drawing/2014/main" id="{68107303-C150-4B77-A6FA-981A7FD229F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34" name="Text Box 1">
          <a:extLst>
            <a:ext uri="{FF2B5EF4-FFF2-40B4-BE49-F238E27FC236}">
              <a16:creationId xmlns:a16="http://schemas.microsoft.com/office/drawing/2014/main" id="{2E7C605B-BA55-4E28-89D8-DEF58777D6E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35" name="Text Box 1">
          <a:extLst>
            <a:ext uri="{FF2B5EF4-FFF2-40B4-BE49-F238E27FC236}">
              <a16:creationId xmlns:a16="http://schemas.microsoft.com/office/drawing/2014/main" id="{16E07602-096B-4E79-98EB-065786F3BB9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36" name="Text Box 1">
          <a:extLst>
            <a:ext uri="{FF2B5EF4-FFF2-40B4-BE49-F238E27FC236}">
              <a16:creationId xmlns:a16="http://schemas.microsoft.com/office/drawing/2014/main" id="{8344AAF9-E52B-4DDD-91E3-B1961299340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37" name="Text Box 1">
          <a:extLst>
            <a:ext uri="{FF2B5EF4-FFF2-40B4-BE49-F238E27FC236}">
              <a16:creationId xmlns:a16="http://schemas.microsoft.com/office/drawing/2014/main" id="{091EEBB1-E89A-4CE7-9110-F81869BF079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38" name="Text Box 1">
          <a:extLst>
            <a:ext uri="{FF2B5EF4-FFF2-40B4-BE49-F238E27FC236}">
              <a16:creationId xmlns:a16="http://schemas.microsoft.com/office/drawing/2014/main" id="{0D6A737A-DB59-47D9-8173-2D10EE40703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39" name="Text Box 1">
          <a:extLst>
            <a:ext uri="{FF2B5EF4-FFF2-40B4-BE49-F238E27FC236}">
              <a16:creationId xmlns:a16="http://schemas.microsoft.com/office/drawing/2014/main" id="{C3B68FB4-0649-451B-93F8-5500576DE33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40" name="Text Box 1">
          <a:extLst>
            <a:ext uri="{FF2B5EF4-FFF2-40B4-BE49-F238E27FC236}">
              <a16:creationId xmlns:a16="http://schemas.microsoft.com/office/drawing/2014/main" id="{AC65853A-2590-4C9A-A71B-3DB13C8EFB6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41" name="Text Box 1">
          <a:extLst>
            <a:ext uri="{FF2B5EF4-FFF2-40B4-BE49-F238E27FC236}">
              <a16:creationId xmlns:a16="http://schemas.microsoft.com/office/drawing/2014/main" id="{B4B2CD5D-26B9-4741-9C51-958C8C06B32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42" name="Text Box 1">
          <a:extLst>
            <a:ext uri="{FF2B5EF4-FFF2-40B4-BE49-F238E27FC236}">
              <a16:creationId xmlns:a16="http://schemas.microsoft.com/office/drawing/2014/main" id="{F6DB85E3-D0D7-429B-95F2-9804DC73E38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43" name="Text Box 1">
          <a:extLst>
            <a:ext uri="{FF2B5EF4-FFF2-40B4-BE49-F238E27FC236}">
              <a16:creationId xmlns:a16="http://schemas.microsoft.com/office/drawing/2014/main" id="{06242760-5676-4A46-AC92-60305406ED0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44" name="Text Box 1">
          <a:extLst>
            <a:ext uri="{FF2B5EF4-FFF2-40B4-BE49-F238E27FC236}">
              <a16:creationId xmlns:a16="http://schemas.microsoft.com/office/drawing/2014/main" id="{BDA883F8-07A4-41C6-B112-697BF2126EA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45" name="Text Box 1">
          <a:extLst>
            <a:ext uri="{FF2B5EF4-FFF2-40B4-BE49-F238E27FC236}">
              <a16:creationId xmlns:a16="http://schemas.microsoft.com/office/drawing/2014/main" id="{B85052F6-82BE-4DC5-8CCC-38667B05583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46" name="Text Box 1">
          <a:extLst>
            <a:ext uri="{FF2B5EF4-FFF2-40B4-BE49-F238E27FC236}">
              <a16:creationId xmlns:a16="http://schemas.microsoft.com/office/drawing/2014/main" id="{1121E51A-D15C-4D7D-8C9E-F6B429FD8DB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47" name="Text Box 1">
          <a:extLst>
            <a:ext uri="{FF2B5EF4-FFF2-40B4-BE49-F238E27FC236}">
              <a16:creationId xmlns:a16="http://schemas.microsoft.com/office/drawing/2014/main" id="{B831D639-119E-429E-818C-53AB0B666DA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48" name="Text Box 1">
          <a:extLst>
            <a:ext uri="{FF2B5EF4-FFF2-40B4-BE49-F238E27FC236}">
              <a16:creationId xmlns:a16="http://schemas.microsoft.com/office/drawing/2014/main" id="{07058FA8-DE81-4555-983E-66727F850F3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49" name="Text Box 1">
          <a:extLst>
            <a:ext uri="{FF2B5EF4-FFF2-40B4-BE49-F238E27FC236}">
              <a16:creationId xmlns:a16="http://schemas.microsoft.com/office/drawing/2014/main" id="{3617F120-B555-4BD4-8590-31BF6E77705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50" name="Text Box 1">
          <a:extLst>
            <a:ext uri="{FF2B5EF4-FFF2-40B4-BE49-F238E27FC236}">
              <a16:creationId xmlns:a16="http://schemas.microsoft.com/office/drawing/2014/main" id="{7BDD2BF8-56C3-4D7E-B469-0E666F97AA1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51" name="Text Box 1">
          <a:extLst>
            <a:ext uri="{FF2B5EF4-FFF2-40B4-BE49-F238E27FC236}">
              <a16:creationId xmlns:a16="http://schemas.microsoft.com/office/drawing/2014/main" id="{C70F4831-9BD0-4BF4-8B43-7C946221F59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52" name="Text Box 1">
          <a:extLst>
            <a:ext uri="{FF2B5EF4-FFF2-40B4-BE49-F238E27FC236}">
              <a16:creationId xmlns:a16="http://schemas.microsoft.com/office/drawing/2014/main" id="{56E076EA-3022-462C-B629-160D939DE4B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53" name="Text Box 1">
          <a:extLst>
            <a:ext uri="{FF2B5EF4-FFF2-40B4-BE49-F238E27FC236}">
              <a16:creationId xmlns:a16="http://schemas.microsoft.com/office/drawing/2014/main" id="{02994695-A051-4D8D-91C0-8B4150AD9DD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54" name="Text Box 1">
          <a:extLst>
            <a:ext uri="{FF2B5EF4-FFF2-40B4-BE49-F238E27FC236}">
              <a16:creationId xmlns:a16="http://schemas.microsoft.com/office/drawing/2014/main" id="{1EB8CD8F-5A2E-4DA5-9C02-1CD84EA5DB4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55" name="Text Box 1">
          <a:extLst>
            <a:ext uri="{FF2B5EF4-FFF2-40B4-BE49-F238E27FC236}">
              <a16:creationId xmlns:a16="http://schemas.microsoft.com/office/drawing/2014/main" id="{F39958E2-D5AA-4698-A63C-A92AB9FECF7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56" name="Text Box 1">
          <a:extLst>
            <a:ext uri="{FF2B5EF4-FFF2-40B4-BE49-F238E27FC236}">
              <a16:creationId xmlns:a16="http://schemas.microsoft.com/office/drawing/2014/main" id="{C4CF54BE-F6E3-4F07-A9B2-62802F578C4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57" name="Text Box 1">
          <a:extLst>
            <a:ext uri="{FF2B5EF4-FFF2-40B4-BE49-F238E27FC236}">
              <a16:creationId xmlns:a16="http://schemas.microsoft.com/office/drawing/2014/main" id="{B3D9A1DE-BB87-4B73-8CBE-F5A11B0F28C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58" name="Text Box 1">
          <a:extLst>
            <a:ext uri="{FF2B5EF4-FFF2-40B4-BE49-F238E27FC236}">
              <a16:creationId xmlns:a16="http://schemas.microsoft.com/office/drawing/2014/main" id="{8A85B256-96A8-4990-81C3-7EC9186E09B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59" name="Text Box 1">
          <a:extLst>
            <a:ext uri="{FF2B5EF4-FFF2-40B4-BE49-F238E27FC236}">
              <a16:creationId xmlns:a16="http://schemas.microsoft.com/office/drawing/2014/main" id="{003DDEF9-67D6-493E-8492-1C1634B8C27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60" name="Text Box 1">
          <a:extLst>
            <a:ext uri="{FF2B5EF4-FFF2-40B4-BE49-F238E27FC236}">
              <a16:creationId xmlns:a16="http://schemas.microsoft.com/office/drawing/2014/main" id="{9095BF17-9EC4-4E27-9CCB-1EBCFA548F6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61" name="Text Box 1">
          <a:extLst>
            <a:ext uri="{FF2B5EF4-FFF2-40B4-BE49-F238E27FC236}">
              <a16:creationId xmlns:a16="http://schemas.microsoft.com/office/drawing/2014/main" id="{19A70410-925E-400F-B627-0D8F25D657A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62" name="Text Box 1">
          <a:extLst>
            <a:ext uri="{FF2B5EF4-FFF2-40B4-BE49-F238E27FC236}">
              <a16:creationId xmlns:a16="http://schemas.microsoft.com/office/drawing/2014/main" id="{436FE5B8-88A9-4F97-8405-3A73C5680AC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63" name="Text Box 1">
          <a:extLst>
            <a:ext uri="{FF2B5EF4-FFF2-40B4-BE49-F238E27FC236}">
              <a16:creationId xmlns:a16="http://schemas.microsoft.com/office/drawing/2014/main" id="{08DC0B7F-EADD-431F-A0D7-63BB21747DC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64" name="Text Box 1">
          <a:extLst>
            <a:ext uri="{FF2B5EF4-FFF2-40B4-BE49-F238E27FC236}">
              <a16:creationId xmlns:a16="http://schemas.microsoft.com/office/drawing/2014/main" id="{C7164830-DD1F-4983-BDA2-CC3ACB78569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65" name="Text Box 1">
          <a:extLst>
            <a:ext uri="{FF2B5EF4-FFF2-40B4-BE49-F238E27FC236}">
              <a16:creationId xmlns:a16="http://schemas.microsoft.com/office/drawing/2014/main" id="{FA579539-2B3B-4053-ADF2-E0A1AA57B52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66" name="Text Box 1">
          <a:extLst>
            <a:ext uri="{FF2B5EF4-FFF2-40B4-BE49-F238E27FC236}">
              <a16:creationId xmlns:a16="http://schemas.microsoft.com/office/drawing/2014/main" id="{0EFD14D4-EC9C-4583-B6D0-D4D55371E0E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67" name="Text Box 1">
          <a:extLst>
            <a:ext uri="{FF2B5EF4-FFF2-40B4-BE49-F238E27FC236}">
              <a16:creationId xmlns:a16="http://schemas.microsoft.com/office/drawing/2014/main" id="{8494ABD0-1BB6-4F16-A585-90E9EDE8245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68" name="Text Box 1">
          <a:extLst>
            <a:ext uri="{FF2B5EF4-FFF2-40B4-BE49-F238E27FC236}">
              <a16:creationId xmlns:a16="http://schemas.microsoft.com/office/drawing/2014/main" id="{34277729-742F-4CFB-B295-4293CF22D95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69" name="Text Box 1">
          <a:extLst>
            <a:ext uri="{FF2B5EF4-FFF2-40B4-BE49-F238E27FC236}">
              <a16:creationId xmlns:a16="http://schemas.microsoft.com/office/drawing/2014/main" id="{646D88C7-73A7-4D47-A11E-C0D218F6C70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70" name="Text Box 1">
          <a:extLst>
            <a:ext uri="{FF2B5EF4-FFF2-40B4-BE49-F238E27FC236}">
              <a16:creationId xmlns:a16="http://schemas.microsoft.com/office/drawing/2014/main" id="{C1F23AEA-6A72-4F0F-B900-513FECBA10B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71" name="Text Box 1">
          <a:extLst>
            <a:ext uri="{FF2B5EF4-FFF2-40B4-BE49-F238E27FC236}">
              <a16:creationId xmlns:a16="http://schemas.microsoft.com/office/drawing/2014/main" id="{12BDA3B0-383B-484D-8B9E-A3ECEDAAA7B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72" name="Text Box 1">
          <a:extLst>
            <a:ext uri="{FF2B5EF4-FFF2-40B4-BE49-F238E27FC236}">
              <a16:creationId xmlns:a16="http://schemas.microsoft.com/office/drawing/2014/main" id="{2460F65E-278F-4B2D-A31D-75DF970B945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73" name="Text Box 1">
          <a:extLst>
            <a:ext uri="{FF2B5EF4-FFF2-40B4-BE49-F238E27FC236}">
              <a16:creationId xmlns:a16="http://schemas.microsoft.com/office/drawing/2014/main" id="{1438556B-6672-4EE7-9047-7DBA953862B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74" name="Text Box 1">
          <a:extLst>
            <a:ext uri="{FF2B5EF4-FFF2-40B4-BE49-F238E27FC236}">
              <a16:creationId xmlns:a16="http://schemas.microsoft.com/office/drawing/2014/main" id="{957BA866-5ADC-442F-917F-7E6B0354B8E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75" name="Text Box 1">
          <a:extLst>
            <a:ext uri="{FF2B5EF4-FFF2-40B4-BE49-F238E27FC236}">
              <a16:creationId xmlns:a16="http://schemas.microsoft.com/office/drawing/2014/main" id="{C4E0FD19-A433-44CB-A3A3-32B26EF4006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76" name="Text Box 1">
          <a:extLst>
            <a:ext uri="{FF2B5EF4-FFF2-40B4-BE49-F238E27FC236}">
              <a16:creationId xmlns:a16="http://schemas.microsoft.com/office/drawing/2014/main" id="{3F1DD14B-A00A-4555-A1EC-C995346978F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77" name="Text Box 1">
          <a:extLst>
            <a:ext uri="{FF2B5EF4-FFF2-40B4-BE49-F238E27FC236}">
              <a16:creationId xmlns:a16="http://schemas.microsoft.com/office/drawing/2014/main" id="{6B3C0DA9-9CBA-4D5E-87B4-E4ADC7C0C27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78" name="Text Box 1">
          <a:extLst>
            <a:ext uri="{FF2B5EF4-FFF2-40B4-BE49-F238E27FC236}">
              <a16:creationId xmlns:a16="http://schemas.microsoft.com/office/drawing/2014/main" id="{277A21B4-238E-4D8E-926C-9B6309491A3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79" name="Text Box 1">
          <a:extLst>
            <a:ext uri="{FF2B5EF4-FFF2-40B4-BE49-F238E27FC236}">
              <a16:creationId xmlns:a16="http://schemas.microsoft.com/office/drawing/2014/main" id="{80E192BE-6CD1-4DAD-BC8F-851054510C9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80" name="Text Box 1">
          <a:extLst>
            <a:ext uri="{FF2B5EF4-FFF2-40B4-BE49-F238E27FC236}">
              <a16:creationId xmlns:a16="http://schemas.microsoft.com/office/drawing/2014/main" id="{17980636-CB31-4760-9B31-41AA0FA2E73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81" name="Text Box 1">
          <a:extLst>
            <a:ext uri="{FF2B5EF4-FFF2-40B4-BE49-F238E27FC236}">
              <a16:creationId xmlns:a16="http://schemas.microsoft.com/office/drawing/2014/main" id="{5E232D1E-4108-4550-BBC4-FB161F3D829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82" name="Text Box 1">
          <a:extLst>
            <a:ext uri="{FF2B5EF4-FFF2-40B4-BE49-F238E27FC236}">
              <a16:creationId xmlns:a16="http://schemas.microsoft.com/office/drawing/2014/main" id="{552A8BF8-ED63-413A-820C-BAFC68965DA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83" name="Text Box 1">
          <a:extLst>
            <a:ext uri="{FF2B5EF4-FFF2-40B4-BE49-F238E27FC236}">
              <a16:creationId xmlns:a16="http://schemas.microsoft.com/office/drawing/2014/main" id="{CAB626AD-EF1E-40B0-B0E4-6C585C25938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84" name="Text Box 1">
          <a:extLst>
            <a:ext uri="{FF2B5EF4-FFF2-40B4-BE49-F238E27FC236}">
              <a16:creationId xmlns:a16="http://schemas.microsoft.com/office/drawing/2014/main" id="{E52184F1-7273-4DF1-A4EE-FD55DB6FB92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85" name="Text Box 1">
          <a:extLst>
            <a:ext uri="{FF2B5EF4-FFF2-40B4-BE49-F238E27FC236}">
              <a16:creationId xmlns:a16="http://schemas.microsoft.com/office/drawing/2014/main" id="{ED34E980-877F-4795-82D2-A745455C932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86" name="Text Box 1">
          <a:extLst>
            <a:ext uri="{FF2B5EF4-FFF2-40B4-BE49-F238E27FC236}">
              <a16:creationId xmlns:a16="http://schemas.microsoft.com/office/drawing/2014/main" id="{2116C136-55D3-4192-9E40-8750D74E451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87" name="Text Box 1">
          <a:extLst>
            <a:ext uri="{FF2B5EF4-FFF2-40B4-BE49-F238E27FC236}">
              <a16:creationId xmlns:a16="http://schemas.microsoft.com/office/drawing/2014/main" id="{DE7A47BD-5461-46C1-8B1A-5BC2D2B9F79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88" name="Text Box 1">
          <a:extLst>
            <a:ext uri="{FF2B5EF4-FFF2-40B4-BE49-F238E27FC236}">
              <a16:creationId xmlns:a16="http://schemas.microsoft.com/office/drawing/2014/main" id="{EF5427D8-AD63-463F-832D-519721B03CA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89" name="Text Box 1">
          <a:extLst>
            <a:ext uri="{FF2B5EF4-FFF2-40B4-BE49-F238E27FC236}">
              <a16:creationId xmlns:a16="http://schemas.microsoft.com/office/drawing/2014/main" id="{125E573D-AA82-48F7-9CC7-8B2411EA37E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90" name="Text Box 1">
          <a:extLst>
            <a:ext uri="{FF2B5EF4-FFF2-40B4-BE49-F238E27FC236}">
              <a16:creationId xmlns:a16="http://schemas.microsoft.com/office/drawing/2014/main" id="{D1DE7041-2621-4ED2-A420-C35E33A6A7C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91" name="Text Box 1">
          <a:extLst>
            <a:ext uri="{FF2B5EF4-FFF2-40B4-BE49-F238E27FC236}">
              <a16:creationId xmlns:a16="http://schemas.microsoft.com/office/drawing/2014/main" id="{4E427301-AE51-4936-AA2B-E7B5660EFA5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92" name="Text Box 1">
          <a:extLst>
            <a:ext uri="{FF2B5EF4-FFF2-40B4-BE49-F238E27FC236}">
              <a16:creationId xmlns:a16="http://schemas.microsoft.com/office/drawing/2014/main" id="{9289A0BD-A557-4ECE-85E1-DE6931A9FA3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93" name="Text Box 1">
          <a:extLst>
            <a:ext uri="{FF2B5EF4-FFF2-40B4-BE49-F238E27FC236}">
              <a16:creationId xmlns:a16="http://schemas.microsoft.com/office/drawing/2014/main" id="{3529056B-1CCD-4C55-B0E1-1CB60F2814C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94" name="Text Box 1">
          <a:extLst>
            <a:ext uri="{FF2B5EF4-FFF2-40B4-BE49-F238E27FC236}">
              <a16:creationId xmlns:a16="http://schemas.microsoft.com/office/drawing/2014/main" id="{9B63268F-14F2-4875-988C-0C8F7194FD7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95" name="Text Box 1">
          <a:extLst>
            <a:ext uri="{FF2B5EF4-FFF2-40B4-BE49-F238E27FC236}">
              <a16:creationId xmlns:a16="http://schemas.microsoft.com/office/drawing/2014/main" id="{F7BFE7A1-63F5-4032-981F-C84791A78A5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96" name="Text Box 1">
          <a:extLst>
            <a:ext uri="{FF2B5EF4-FFF2-40B4-BE49-F238E27FC236}">
              <a16:creationId xmlns:a16="http://schemas.microsoft.com/office/drawing/2014/main" id="{3CB1F327-6041-4068-B8CB-DF3DBA5A55A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97" name="Text Box 1">
          <a:extLst>
            <a:ext uri="{FF2B5EF4-FFF2-40B4-BE49-F238E27FC236}">
              <a16:creationId xmlns:a16="http://schemas.microsoft.com/office/drawing/2014/main" id="{EA932666-465B-42FC-91D2-7C9E5183469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98" name="Text Box 1">
          <a:extLst>
            <a:ext uri="{FF2B5EF4-FFF2-40B4-BE49-F238E27FC236}">
              <a16:creationId xmlns:a16="http://schemas.microsoft.com/office/drawing/2014/main" id="{D9196416-AEE8-49DC-BD1D-340A4AC6EA1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299" name="Text Box 1">
          <a:extLst>
            <a:ext uri="{FF2B5EF4-FFF2-40B4-BE49-F238E27FC236}">
              <a16:creationId xmlns:a16="http://schemas.microsoft.com/office/drawing/2014/main" id="{5361CE5B-4912-4277-8D51-9216D665C4E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00" name="Text Box 1">
          <a:extLst>
            <a:ext uri="{FF2B5EF4-FFF2-40B4-BE49-F238E27FC236}">
              <a16:creationId xmlns:a16="http://schemas.microsoft.com/office/drawing/2014/main" id="{81608B17-F0EF-48A5-86B3-F596FADF870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01" name="Text Box 1">
          <a:extLst>
            <a:ext uri="{FF2B5EF4-FFF2-40B4-BE49-F238E27FC236}">
              <a16:creationId xmlns:a16="http://schemas.microsoft.com/office/drawing/2014/main" id="{84840FEB-0A77-4739-B5F1-74D253A3B40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02" name="Text Box 1">
          <a:extLst>
            <a:ext uri="{FF2B5EF4-FFF2-40B4-BE49-F238E27FC236}">
              <a16:creationId xmlns:a16="http://schemas.microsoft.com/office/drawing/2014/main" id="{39054AE2-BF5C-463C-885B-C8128449EA4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03" name="Text Box 1">
          <a:extLst>
            <a:ext uri="{FF2B5EF4-FFF2-40B4-BE49-F238E27FC236}">
              <a16:creationId xmlns:a16="http://schemas.microsoft.com/office/drawing/2014/main" id="{24FEF15C-F1AA-44A1-8529-C0913021A4B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04" name="Text Box 1">
          <a:extLst>
            <a:ext uri="{FF2B5EF4-FFF2-40B4-BE49-F238E27FC236}">
              <a16:creationId xmlns:a16="http://schemas.microsoft.com/office/drawing/2014/main" id="{45A14B61-1780-44ED-A379-C94B18388F6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05" name="Text Box 1">
          <a:extLst>
            <a:ext uri="{FF2B5EF4-FFF2-40B4-BE49-F238E27FC236}">
              <a16:creationId xmlns:a16="http://schemas.microsoft.com/office/drawing/2014/main" id="{AC473984-716C-4362-8660-C9CC7CF4EA7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06" name="Text Box 1">
          <a:extLst>
            <a:ext uri="{FF2B5EF4-FFF2-40B4-BE49-F238E27FC236}">
              <a16:creationId xmlns:a16="http://schemas.microsoft.com/office/drawing/2014/main" id="{387E5218-8352-4A56-95C1-5E0E3E02D5E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07" name="Text Box 1">
          <a:extLst>
            <a:ext uri="{FF2B5EF4-FFF2-40B4-BE49-F238E27FC236}">
              <a16:creationId xmlns:a16="http://schemas.microsoft.com/office/drawing/2014/main" id="{F67EAD86-3F73-4888-8873-F1E3A0A44D8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08" name="Text Box 1">
          <a:extLst>
            <a:ext uri="{FF2B5EF4-FFF2-40B4-BE49-F238E27FC236}">
              <a16:creationId xmlns:a16="http://schemas.microsoft.com/office/drawing/2014/main" id="{5269B2FB-59BC-4DCE-9180-A2C0243B6C3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09" name="Text Box 1">
          <a:extLst>
            <a:ext uri="{FF2B5EF4-FFF2-40B4-BE49-F238E27FC236}">
              <a16:creationId xmlns:a16="http://schemas.microsoft.com/office/drawing/2014/main" id="{A6A55CC9-C4AA-4C4D-9710-D067153D2A0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10" name="Text Box 1">
          <a:extLst>
            <a:ext uri="{FF2B5EF4-FFF2-40B4-BE49-F238E27FC236}">
              <a16:creationId xmlns:a16="http://schemas.microsoft.com/office/drawing/2014/main" id="{A3578C08-E2AD-400F-8478-706B7915AC5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11" name="Text Box 1">
          <a:extLst>
            <a:ext uri="{FF2B5EF4-FFF2-40B4-BE49-F238E27FC236}">
              <a16:creationId xmlns:a16="http://schemas.microsoft.com/office/drawing/2014/main" id="{3372395A-B4A7-4677-85C1-F807DEDC16B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12" name="Text Box 1">
          <a:extLst>
            <a:ext uri="{FF2B5EF4-FFF2-40B4-BE49-F238E27FC236}">
              <a16:creationId xmlns:a16="http://schemas.microsoft.com/office/drawing/2014/main" id="{C7EED1E6-517B-40AF-AE17-2AC6B4FDA94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13" name="Text Box 1">
          <a:extLst>
            <a:ext uri="{FF2B5EF4-FFF2-40B4-BE49-F238E27FC236}">
              <a16:creationId xmlns:a16="http://schemas.microsoft.com/office/drawing/2014/main" id="{1545615D-CB33-44DF-B203-578EB47C6E7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14" name="Text Box 1">
          <a:extLst>
            <a:ext uri="{FF2B5EF4-FFF2-40B4-BE49-F238E27FC236}">
              <a16:creationId xmlns:a16="http://schemas.microsoft.com/office/drawing/2014/main" id="{931C94EF-C62D-43F7-A17D-6B9B9CCE2E0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15" name="Text Box 1">
          <a:extLst>
            <a:ext uri="{FF2B5EF4-FFF2-40B4-BE49-F238E27FC236}">
              <a16:creationId xmlns:a16="http://schemas.microsoft.com/office/drawing/2014/main" id="{8B399157-777D-4165-A7D7-68E0AE95FBA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16" name="Text Box 1">
          <a:extLst>
            <a:ext uri="{FF2B5EF4-FFF2-40B4-BE49-F238E27FC236}">
              <a16:creationId xmlns:a16="http://schemas.microsoft.com/office/drawing/2014/main" id="{EA828CCF-E0A9-4B34-BC74-00132B48ABE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17" name="Text Box 1">
          <a:extLst>
            <a:ext uri="{FF2B5EF4-FFF2-40B4-BE49-F238E27FC236}">
              <a16:creationId xmlns:a16="http://schemas.microsoft.com/office/drawing/2014/main" id="{94DC0EE2-CCA7-4565-8EE9-172B649CCD8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18" name="Text Box 1">
          <a:extLst>
            <a:ext uri="{FF2B5EF4-FFF2-40B4-BE49-F238E27FC236}">
              <a16:creationId xmlns:a16="http://schemas.microsoft.com/office/drawing/2014/main" id="{B88BE4BB-FA02-4BCE-950A-BE68A342324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19" name="Text Box 1">
          <a:extLst>
            <a:ext uri="{FF2B5EF4-FFF2-40B4-BE49-F238E27FC236}">
              <a16:creationId xmlns:a16="http://schemas.microsoft.com/office/drawing/2014/main" id="{5EC9244C-AED7-4E65-B29D-21AA45CC724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20" name="Text Box 1">
          <a:extLst>
            <a:ext uri="{FF2B5EF4-FFF2-40B4-BE49-F238E27FC236}">
              <a16:creationId xmlns:a16="http://schemas.microsoft.com/office/drawing/2014/main" id="{F0C8C563-3843-44A7-8170-090311F976E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21" name="Text Box 1">
          <a:extLst>
            <a:ext uri="{FF2B5EF4-FFF2-40B4-BE49-F238E27FC236}">
              <a16:creationId xmlns:a16="http://schemas.microsoft.com/office/drawing/2014/main" id="{FBA7EBC5-59FB-4CD8-9B5D-5902F3F5191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22" name="Text Box 1">
          <a:extLst>
            <a:ext uri="{FF2B5EF4-FFF2-40B4-BE49-F238E27FC236}">
              <a16:creationId xmlns:a16="http://schemas.microsoft.com/office/drawing/2014/main" id="{542DFF44-5D2A-4224-9EE6-CE696047814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23" name="Text Box 1">
          <a:extLst>
            <a:ext uri="{FF2B5EF4-FFF2-40B4-BE49-F238E27FC236}">
              <a16:creationId xmlns:a16="http://schemas.microsoft.com/office/drawing/2014/main" id="{8CF0F374-1CE0-46BB-8360-7B20F38A9E9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24" name="Text Box 1">
          <a:extLst>
            <a:ext uri="{FF2B5EF4-FFF2-40B4-BE49-F238E27FC236}">
              <a16:creationId xmlns:a16="http://schemas.microsoft.com/office/drawing/2014/main" id="{E2A8DADC-319E-48B4-8874-7B12016825A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25" name="Text Box 1">
          <a:extLst>
            <a:ext uri="{FF2B5EF4-FFF2-40B4-BE49-F238E27FC236}">
              <a16:creationId xmlns:a16="http://schemas.microsoft.com/office/drawing/2014/main" id="{1F2DAFA5-EEEB-46F1-92C1-01C40429097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26" name="Text Box 1">
          <a:extLst>
            <a:ext uri="{FF2B5EF4-FFF2-40B4-BE49-F238E27FC236}">
              <a16:creationId xmlns:a16="http://schemas.microsoft.com/office/drawing/2014/main" id="{71E1A11B-7854-487D-B1AB-1727B2A3509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27" name="Text Box 1">
          <a:extLst>
            <a:ext uri="{FF2B5EF4-FFF2-40B4-BE49-F238E27FC236}">
              <a16:creationId xmlns:a16="http://schemas.microsoft.com/office/drawing/2014/main" id="{58F30CBD-88D8-47B6-9B8C-BA1731FA050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28" name="Text Box 1">
          <a:extLst>
            <a:ext uri="{FF2B5EF4-FFF2-40B4-BE49-F238E27FC236}">
              <a16:creationId xmlns:a16="http://schemas.microsoft.com/office/drawing/2014/main" id="{0472BE7C-315E-44AF-BD89-39DEC248D63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29" name="Text Box 1">
          <a:extLst>
            <a:ext uri="{FF2B5EF4-FFF2-40B4-BE49-F238E27FC236}">
              <a16:creationId xmlns:a16="http://schemas.microsoft.com/office/drawing/2014/main" id="{9F5A2072-E4ED-4027-A7C9-193CF425A92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30" name="Text Box 1">
          <a:extLst>
            <a:ext uri="{FF2B5EF4-FFF2-40B4-BE49-F238E27FC236}">
              <a16:creationId xmlns:a16="http://schemas.microsoft.com/office/drawing/2014/main" id="{0F0722BF-6EEC-49DC-9A7D-1FB9CBFC7A7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31" name="Text Box 1">
          <a:extLst>
            <a:ext uri="{FF2B5EF4-FFF2-40B4-BE49-F238E27FC236}">
              <a16:creationId xmlns:a16="http://schemas.microsoft.com/office/drawing/2014/main" id="{CB6BAA15-41A8-4DB4-B860-BF356730D5E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32" name="Text Box 1">
          <a:extLst>
            <a:ext uri="{FF2B5EF4-FFF2-40B4-BE49-F238E27FC236}">
              <a16:creationId xmlns:a16="http://schemas.microsoft.com/office/drawing/2014/main" id="{50F7891A-D40B-4379-8CD1-8A6D2B290BA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33" name="Text Box 1">
          <a:extLst>
            <a:ext uri="{FF2B5EF4-FFF2-40B4-BE49-F238E27FC236}">
              <a16:creationId xmlns:a16="http://schemas.microsoft.com/office/drawing/2014/main" id="{424D838A-1FC4-42FC-A5D0-7AF49C68CDE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34" name="Text Box 1">
          <a:extLst>
            <a:ext uri="{FF2B5EF4-FFF2-40B4-BE49-F238E27FC236}">
              <a16:creationId xmlns:a16="http://schemas.microsoft.com/office/drawing/2014/main" id="{E18A74E6-996F-43CE-ABA3-8C325A7C4A7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35" name="Text Box 1">
          <a:extLst>
            <a:ext uri="{FF2B5EF4-FFF2-40B4-BE49-F238E27FC236}">
              <a16:creationId xmlns:a16="http://schemas.microsoft.com/office/drawing/2014/main" id="{55D181FE-2DDE-4A80-9C6B-840016CB20E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36" name="Text Box 1">
          <a:extLst>
            <a:ext uri="{FF2B5EF4-FFF2-40B4-BE49-F238E27FC236}">
              <a16:creationId xmlns:a16="http://schemas.microsoft.com/office/drawing/2014/main" id="{E250A0C9-3A84-486E-8CD7-1EA03966FE5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37" name="Text Box 1">
          <a:extLst>
            <a:ext uri="{FF2B5EF4-FFF2-40B4-BE49-F238E27FC236}">
              <a16:creationId xmlns:a16="http://schemas.microsoft.com/office/drawing/2014/main" id="{6230FCFB-1CFC-4773-BA97-16D27FDB13F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38" name="Text Box 1">
          <a:extLst>
            <a:ext uri="{FF2B5EF4-FFF2-40B4-BE49-F238E27FC236}">
              <a16:creationId xmlns:a16="http://schemas.microsoft.com/office/drawing/2014/main" id="{0AF67EC1-C5F0-4024-927E-A4DB13EC91A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39" name="Text Box 1">
          <a:extLst>
            <a:ext uri="{FF2B5EF4-FFF2-40B4-BE49-F238E27FC236}">
              <a16:creationId xmlns:a16="http://schemas.microsoft.com/office/drawing/2014/main" id="{C7B28F7F-14BA-4C8E-BB49-60DC1579B63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40" name="Text Box 1">
          <a:extLst>
            <a:ext uri="{FF2B5EF4-FFF2-40B4-BE49-F238E27FC236}">
              <a16:creationId xmlns:a16="http://schemas.microsoft.com/office/drawing/2014/main" id="{9D3DF56A-FD89-435B-8BBC-EAD9246D4F9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41" name="Text Box 1">
          <a:extLst>
            <a:ext uri="{FF2B5EF4-FFF2-40B4-BE49-F238E27FC236}">
              <a16:creationId xmlns:a16="http://schemas.microsoft.com/office/drawing/2014/main" id="{5DF8BE5C-91C6-46CC-924D-7381FB65853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42" name="Text Box 1">
          <a:extLst>
            <a:ext uri="{FF2B5EF4-FFF2-40B4-BE49-F238E27FC236}">
              <a16:creationId xmlns:a16="http://schemas.microsoft.com/office/drawing/2014/main" id="{89C3EB29-D60A-4B1D-94B6-51F98C2FFFF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43" name="Text Box 1">
          <a:extLst>
            <a:ext uri="{FF2B5EF4-FFF2-40B4-BE49-F238E27FC236}">
              <a16:creationId xmlns:a16="http://schemas.microsoft.com/office/drawing/2014/main" id="{085067E7-1D03-4A39-9F27-D05050E8462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44" name="Text Box 1">
          <a:extLst>
            <a:ext uri="{FF2B5EF4-FFF2-40B4-BE49-F238E27FC236}">
              <a16:creationId xmlns:a16="http://schemas.microsoft.com/office/drawing/2014/main" id="{3B3CCBBC-85C6-4928-99F9-3B68C8F4439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45" name="Text Box 1">
          <a:extLst>
            <a:ext uri="{FF2B5EF4-FFF2-40B4-BE49-F238E27FC236}">
              <a16:creationId xmlns:a16="http://schemas.microsoft.com/office/drawing/2014/main" id="{FD0AD14F-5667-4876-BD56-2A4B24F6F01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46" name="Text Box 1">
          <a:extLst>
            <a:ext uri="{FF2B5EF4-FFF2-40B4-BE49-F238E27FC236}">
              <a16:creationId xmlns:a16="http://schemas.microsoft.com/office/drawing/2014/main" id="{06DC575F-B680-495E-B1F8-3A6CD10A669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47" name="Text Box 1">
          <a:extLst>
            <a:ext uri="{FF2B5EF4-FFF2-40B4-BE49-F238E27FC236}">
              <a16:creationId xmlns:a16="http://schemas.microsoft.com/office/drawing/2014/main" id="{AC979068-C55A-4B30-A99B-6C3434B92D7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48" name="Text Box 1">
          <a:extLst>
            <a:ext uri="{FF2B5EF4-FFF2-40B4-BE49-F238E27FC236}">
              <a16:creationId xmlns:a16="http://schemas.microsoft.com/office/drawing/2014/main" id="{B40C4A42-A3FC-4ECD-A960-BB2A12FB9F0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49" name="Text Box 1">
          <a:extLst>
            <a:ext uri="{FF2B5EF4-FFF2-40B4-BE49-F238E27FC236}">
              <a16:creationId xmlns:a16="http://schemas.microsoft.com/office/drawing/2014/main" id="{E8C59AD3-6293-44BD-8A90-284FFF732F5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50" name="Text Box 1">
          <a:extLst>
            <a:ext uri="{FF2B5EF4-FFF2-40B4-BE49-F238E27FC236}">
              <a16:creationId xmlns:a16="http://schemas.microsoft.com/office/drawing/2014/main" id="{4606FAA9-8CF5-4500-A244-C420264DD3D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51" name="Text Box 1">
          <a:extLst>
            <a:ext uri="{FF2B5EF4-FFF2-40B4-BE49-F238E27FC236}">
              <a16:creationId xmlns:a16="http://schemas.microsoft.com/office/drawing/2014/main" id="{952D0972-132E-4AD9-8E6D-176DFDE5CB3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52" name="Text Box 1">
          <a:extLst>
            <a:ext uri="{FF2B5EF4-FFF2-40B4-BE49-F238E27FC236}">
              <a16:creationId xmlns:a16="http://schemas.microsoft.com/office/drawing/2014/main" id="{74496CF5-61B1-4528-A2E5-06C4D8CC7DD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53" name="Text Box 1">
          <a:extLst>
            <a:ext uri="{FF2B5EF4-FFF2-40B4-BE49-F238E27FC236}">
              <a16:creationId xmlns:a16="http://schemas.microsoft.com/office/drawing/2014/main" id="{6FF2B0F4-69A0-40A9-9C18-998290F41FA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54" name="Text Box 1">
          <a:extLst>
            <a:ext uri="{FF2B5EF4-FFF2-40B4-BE49-F238E27FC236}">
              <a16:creationId xmlns:a16="http://schemas.microsoft.com/office/drawing/2014/main" id="{0ACD8626-2BFD-4F27-A071-EB8888400C1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55" name="Text Box 1">
          <a:extLst>
            <a:ext uri="{FF2B5EF4-FFF2-40B4-BE49-F238E27FC236}">
              <a16:creationId xmlns:a16="http://schemas.microsoft.com/office/drawing/2014/main" id="{357102C6-A2CD-43A6-A61C-F9C83C52453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56" name="Text Box 1">
          <a:extLst>
            <a:ext uri="{FF2B5EF4-FFF2-40B4-BE49-F238E27FC236}">
              <a16:creationId xmlns:a16="http://schemas.microsoft.com/office/drawing/2014/main" id="{52755A38-4A00-480A-8ECA-7AA6356E10A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57" name="Text Box 1">
          <a:extLst>
            <a:ext uri="{FF2B5EF4-FFF2-40B4-BE49-F238E27FC236}">
              <a16:creationId xmlns:a16="http://schemas.microsoft.com/office/drawing/2014/main" id="{81631175-7140-40AE-B357-ABA03D19FA6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58" name="Text Box 1">
          <a:extLst>
            <a:ext uri="{FF2B5EF4-FFF2-40B4-BE49-F238E27FC236}">
              <a16:creationId xmlns:a16="http://schemas.microsoft.com/office/drawing/2014/main" id="{396B27E6-5493-4632-8A14-4A682FF21F4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59" name="Text Box 1">
          <a:extLst>
            <a:ext uri="{FF2B5EF4-FFF2-40B4-BE49-F238E27FC236}">
              <a16:creationId xmlns:a16="http://schemas.microsoft.com/office/drawing/2014/main" id="{08FC683B-DAC8-4570-8B71-72F66174F6B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60" name="Text Box 1">
          <a:extLst>
            <a:ext uri="{FF2B5EF4-FFF2-40B4-BE49-F238E27FC236}">
              <a16:creationId xmlns:a16="http://schemas.microsoft.com/office/drawing/2014/main" id="{A587C00F-1360-4F07-889F-8F2B48371AB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61" name="Text Box 1">
          <a:extLst>
            <a:ext uri="{FF2B5EF4-FFF2-40B4-BE49-F238E27FC236}">
              <a16:creationId xmlns:a16="http://schemas.microsoft.com/office/drawing/2014/main" id="{1585C50E-349D-4B00-8470-9F1204D393D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62" name="Text Box 1">
          <a:extLst>
            <a:ext uri="{FF2B5EF4-FFF2-40B4-BE49-F238E27FC236}">
              <a16:creationId xmlns:a16="http://schemas.microsoft.com/office/drawing/2014/main" id="{4BFB4718-DC92-4E86-BFC3-4A3AC44BC2F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63" name="Text Box 1">
          <a:extLst>
            <a:ext uri="{FF2B5EF4-FFF2-40B4-BE49-F238E27FC236}">
              <a16:creationId xmlns:a16="http://schemas.microsoft.com/office/drawing/2014/main" id="{DB87E9D2-B845-4653-BF6A-AADE5154094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64" name="Text Box 1">
          <a:extLst>
            <a:ext uri="{FF2B5EF4-FFF2-40B4-BE49-F238E27FC236}">
              <a16:creationId xmlns:a16="http://schemas.microsoft.com/office/drawing/2014/main" id="{5A46BE30-4E56-492C-B76F-244D6E3CF7C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65" name="Text Box 1">
          <a:extLst>
            <a:ext uri="{FF2B5EF4-FFF2-40B4-BE49-F238E27FC236}">
              <a16:creationId xmlns:a16="http://schemas.microsoft.com/office/drawing/2014/main" id="{0D7E06EE-154E-410A-A58B-78D14C0B8B5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66" name="Text Box 1">
          <a:extLst>
            <a:ext uri="{FF2B5EF4-FFF2-40B4-BE49-F238E27FC236}">
              <a16:creationId xmlns:a16="http://schemas.microsoft.com/office/drawing/2014/main" id="{D8D738FB-7FBC-45A5-99B6-E1E41AD5BE8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67" name="Text Box 1">
          <a:extLst>
            <a:ext uri="{FF2B5EF4-FFF2-40B4-BE49-F238E27FC236}">
              <a16:creationId xmlns:a16="http://schemas.microsoft.com/office/drawing/2014/main" id="{5E7D15E2-E847-42CD-B5C0-57B295F2164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68" name="Text Box 1">
          <a:extLst>
            <a:ext uri="{FF2B5EF4-FFF2-40B4-BE49-F238E27FC236}">
              <a16:creationId xmlns:a16="http://schemas.microsoft.com/office/drawing/2014/main" id="{5CFA1939-7F95-4AA1-97B3-8CA6731E793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69" name="Text Box 1">
          <a:extLst>
            <a:ext uri="{FF2B5EF4-FFF2-40B4-BE49-F238E27FC236}">
              <a16:creationId xmlns:a16="http://schemas.microsoft.com/office/drawing/2014/main" id="{1E74A19B-4E38-486A-B27F-EA92C3088B2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70" name="Text Box 1">
          <a:extLst>
            <a:ext uri="{FF2B5EF4-FFF2-40B4-BE49-F238E27FC236}">
              <a16:creationId xmlns:a16="http://schemas.microsoft.com/office/drawing/2014/main" id="{FA21E0F1-321B-4B6E-8316-9F12FFFFAAF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71" name="Text Box 1">
          <a:extLst>
            <a:ext uri="{FF2B5EF4-FFF2-40B4-BE49-F238E27FC236}">
              <a16:creationId xmlns:a16="http://schemas.microsoft.com/office/drawing/2014/main" id="{13A34921-D8C8-4433-888D-2EC2BBFB144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72" name="Text Box 1">
          <a:extLst>
            <a:ext uri="{FF2B5EF4-FFF2-40B4-BE49-F238E27FC236}">
              <a16:creationId xmlns:a16="http://schemas.microsoft.com/office/drawing/2014/main" id="{6FC6DE07-B132-48F0-BCA1-C78AD1FB703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73" name="Text Box 1">
          <a:extLst>
            <a:ext uri="{FF2B5EF4-FFF2-40B4-BE49-F238E27FC236}">
              <a16:creationId xmlns:a16="http://schemas.microsoft.com/office/drawing/2014/main" id="{38489505-1E3D-4138-9D09-4EE2354BD18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74" name="Text Box 1">
          <a:extLst>
            <a:ext uri="{FF2B5EF4-FFF2-40B4-BE49-F238E27FC236}">
              <a16:creationId xmlns:a16="http://schemas.microsoft.com/office/drawing/2014/main" id="{3F3D27F2-5F70-4E57-9E43-BF03AED1E44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75" name="Text Box 1">
          <a:extLst>
            <a:ext uri="{FF2B5EF4-FFF2-40B4-BE49-F238E27FC236}">
              <a16:creationId xmlns:a16="http://schemas.microsoft.com/office/drawing/2014/main" id="{EBE4B959-FC11-4E0C-9CFE-E5ED93C5615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76" name="Text Box 1">
          <a:extLst>
            <a:ext uri="{FF2B5EF4-FFF2-40B4-BE49-F238E27FC236}">
              <a16:creationId xmlns:a16="http://schemas.microsoft.com/office/drawing/2014/main" id="{FD5444EB-2210-467F-B894-6598409F98E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77" name="Text Box 1">
          <a:extLst>
            <a:ext uri="{FF2B5EF4-FFF2-40B4-BE49-F238E27FC236}">
              <a16:creationId xmlns:a16="http://schemas.microsoft.com/office/drawing/2014/main" id="{9EEA9F6E-3F3B-41B1-9B50-18C0C6C5CC8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78" name="Text Box 1">
          <a:extLst>
            <a:ext uri="{FF2B5EF4-FFF2-40B4-BE49-F238E27FC236}">
              <a16:creationId xmlns:a16="http://schemas.microsoft.com/office/drawing/2014/main" id="{6BDEE093-D41C-41A8-A3CF-640AB07F4F8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79" name="Text Box 1">
          <a:extLst>
            <a:ext uri="{FF2B5EF4-FFF2-40B4-BE49-F238E27FC236}">
              <a16:creationId xmlns:a16="http://schemas.microsoft.com/office/drawing/2014/main" id="{ABF4E6B7-E1D4-43C9-BA14-91A3D07BEF0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80" name="Text Box 1">
          <a:extLst>
            <a:ext uri="{FF2B5EF4-FFF2-40B4-BE49-F238E27FC236}">
              <a16:creationId xmlns:a16="http://schemas.microsoft.com/office/drawing/2014/main" id="{32943A26-F18B-4608-9912-295C99F3213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81" name="Text Box 1">
          <a:extLst>
            <a:ext uri="{FF2B5EF4-FFF2-40B4-BE49-F238E27FC236}">
              <a16:creationId xmlns:a16="http://schemas.microsoft.com/office/drawing/2014/main" id="{678A6EF4-B58D-4E41-AFBA-01BCD0B45D6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82" name="Text Box 1">
          <a:extLst>
            <a:ext uri="{FF2B5EF4-FFF2-40B4-BE49-F238E27FC236}">
              <a16:creationId xmlns:a16="http://schemas.microsoft.com/office/drawing/2014/main" id="{6F7E5C80-4C16-4B40-A8D5-545538FCCA6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83" name="Text Box 1">
          <a:extLst>
            <a:ext uri="{FF2B5EF4-FFF2-40B4-BE49-F238E27FC236}">
              <a16:creationId xmlns:a16="http://schemas.microsoft.com/office/drawing/2014/main" id="{F952EEB9-8D50-4856-9B04-4C634AA68DE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84" name="Text Box 1">
          <a:extLst>
            <a:ext uri="{FF2B5EF4-FFF2-40B4-BE49-F238E27FC236}">
              <a16:creationId xmlns:a16="http://schemas.microsoft.com/office/drawing/2014/main" id="{78811A59-D8B2-4D0D-833F-707F01A3C9B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85" name="Text Box 1">
          <a:extLst>
            <a:ext uri="{FF2B5EF4-FFF2-40B4-BE49-F238E27FC236}">
              <a16:creationId xmlns:a16="http://schemas.microsoft.com/office/drawing/2014/main" id="{999E07E1-5CA8-4FDB-91F1-D8422DBEDA5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86" name="Text Box 1">
          <a:extLst>
            <a:ext uri="{FF2B5EF4-FFF2-40B4-BE49-F238E27FC236}">
              <a16:creationId xmlns:a16="http://schemas.microsoft.com/office/drawing/2014/main" id="{4E56887B-92AE-42D6-8A13-E724AC3E652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87" name="Text Box 1">
          <a:extLst>
            <a:ext uri="{FF2B5EF4-FFF2-40B4-BE49-F238E27FC236}">
              <a16:creationId xmlns:a16="http://schemas.microsoft.com/office/drawing/2014/main" id="{74B3D23E-12A0-4B37-9ABB-F7A9AE60767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88" name="Text Box 1">
          <a:extLst>
            <a:ext uri="{FF2B5EF4-FFF2-40B4-BE49-F238E27FC236}">
              <a16:creationId xmlns:a16="http://schemas.microsoft.com/office/drawing/2014/main" id="{50D01CCD-B30F-4880-BCFE-A5091893325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89" name="Text Box 1">
          <a:extLst>
            <a:ext uri="{FF2B5EF4-FFF2-40B4-BE49-F238E27FC236}">
              <a16:creationId xmlns:a16="http://schemas.microsoft.com/office/drawing/2014/main" id="{5CC69B41-A433-485A-B6C3-64879B762FE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90" name="Text Box 1">
          <a:extLst>
            <a:ext uri="{FF2B5EF4-FFF2-40B4-BE49-F238E27FC236}">
              <a16:creationId xmlns:a16="http://schemas.microsoft.com/office/drawing/2014/main" id="{3DCB601D-1F96-48D2-AEA8-D42605359B7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91" name="Text Box 1">
          <a:extLst>
            <a:ext uri="{FF2B5EF4-FFF2-40B4-BE49-F238E27FC236}">
              <a16:creationId xmlns:a16="http://schemas.microsoft.com/office/drawing/2014/main" id="{F4D3DB13-3B76-428C-9DE1-A1DA3083209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92" name="Text Box 1">
          <a:extLst>
            <a:ext uri="{FF2B5EF4-FFF2-40B4-BE49-F238E27FC236}">
              <a16:creationId xmlns:a16="http://schemas.microsoft.com/office/drawing/2014/main" id="{1ABE6352-97BC-4AED-956D-C888BEE30FC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93" name="Text Box 1">
          <a:extLst>
            <a:ext uri="{FF2B5EF4-FFF2-40B4-BE49-F238E27FC236}">
              <a16:creationId xmlns:a16="http://schemas.microsoft.com/office/drawing/2014/main" id="{944BA8F1-3751-4450-83C5-CC21E542C49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94" name="Text Box 1">
          <a:extLst>
            <a:ext uri="{FF2B5EF4-FFF2-40B4-BE49-F238E27FC236}">
              <a16:creationId xmlns:a16="http://schemas.microsoft.com/office/drawing/2014/main" id="{DB48855D-6CFB-47A1-9E06-22887484626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95" name="Text Box 1">
          <a:extLst>
            <a:ext uri="{FF2B5EF4-FFF2-40B4-BE49-F238E27FC236}">
              <a16:creationId xmlns:a16="http://schemas.microsoft.com/office/drawing/2014/main" id="{48D3D4D5-9066-4812-9704-FFECF86CE60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96" name="Text Box 1">
          <a:extLst>
            <a:ext uri="{FF2B5EF4-FFF2-40B4-BE49-F238E27FC236}">
              <a16:creationId xmlns:a16="http://schemas.microsoft.com/office/drawing/2014/main" id="{91C346E3-56A4-4D4B-BBDD-A599C489128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97" name="Text Box 1">
          <a:extLst>
            <a:ext uri="{FF2B5EF4-FFF2-40B4-BE49-F238E27FC236}">
              <a16:creationId xmlns:a16="http://schemas.microsoft.com/office/drawing/2014/main" id="{855DA084-CE48-494D-BC62-9330A080E1D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98" name="Text Box 1">
          <a:extLst>
            <a:ext uri="{FF2B5EF4-FFF2-40B4-BE49-F238E27FC236}">
              <a16:creationId xmlns:a16="http://schemas.microsoft.com/office/drawing/2014/main" id="{48CCF6EF-E9CD-4F69-825D-5130DEAA3C2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399" name="Text Box 1">
          <a:extLst>
            <a:ext uri="{FF2B5EF4-FFF2-40B4-BE49-F238E27FC236}">
              <a16:creationId xmlns:a16="http://schemas.microsoft.com/office/drawing/2014/main" id="{862F4962-A643-40D7-92F8-FC7E33D437D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00" name="Text Box 1">
          <a:extLst>
            <a:ext uri="{FF2B5EF4-FFF2-40B4-BE49-F238E27FC236}">
              <a16:creationId xmlns:a16="http://schemas.microsoft.com/office/drawing/2014/main" id="{9EE5424A-BCCC-45BF-BEDF-BD5F882FA25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01" name="Text Box 1">
          <a:extLst>
            <a:ext uri="{FF2B5EF4-FFF2-40B4-BE49-F238E27FC236}">
              <a16:creationId xmlns:a16="http://schemas.microsoft.com/office/drawing/2014/main" id="{B8FF160B-8C42-4EC0-94C2-A568D93C489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02" name="Text Box 1">
          <a:extLst>
            <a:ext uri="{FF2B5EF4-FFF2-40B4-BE49-F238E27FC236}">
              <a16:creationId xmlns:a16="http://schemas.microsoft.com/office/drawing/2014/main" id="{3E661E4E-BDCF-40A8-95BB-A63151687D6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03" name="Text Box 1">
          <a:extLst>
            <a:ext uri="{FF2B5EF4-FFF2-40B4-BE49-F238E27FC236}">
              <a16:creationId xmlns:a16="http://schemas.microsoft.com/office/drawing/2014/main" id="{911EFB4E-0841-495D-8CAE-33C0EB252A3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04" name="Text Box 1">
          <a:extLst>
            <a:ext uri="{FF2B5EF4-FFF2-40B4-BE49-F238E27FC236}">
              <a16:creationId xmlns:a16="http://schemas.microsoft.com/office/drawing/2014/main" id="{2E1BDD5B-33C8-4542-B456-711642219AC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05" name="Text Box 1">
          <a:extLst>
            <a:ext uri="{FF2B5EF4-FFF2-40B4-BE49-F238E27FC236}">
              <a16:creationId xmlns:a16="http://schemas.microsoft.com/office/drawing/2014/main" id="{E0D7730C-E868-4699-97A1-F3DA352E68A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06" name="Text Box 1">
          <a:extLst>
            <a:ext uri="{FF2B5EF4-FFF2-40B4-BE49-F238E27FC236}">
              <a16:creationId xmlns:a16="http://schemas.microsoft.com/office/drawing/2014/main" id="{E446BB47-960B-45C2-8F2F-BCEFB24A535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07" name="Text Box 1">
          <a:extLst>
            <a:ext uri="{FF2B5EF4-FFF2-40B4-BE49-F238E27FC236}">
              <a16:creationId xmlns:a16="http://schemas.microsoft.com/office/drawing/2014/main" id="{46D07A33-3AA7-4857-B696-F8E22AFE5A5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08" name="Text Box 1">
          <a:extLst>
            <a:ext uri="{FF2B5EF4-FFF2-40B4-BE49-F238E27FC236}">
              <a16:creationId xmlns:a16="http://schemas.microsoft.com/office/drawing/2014/main" id="{3DB82793-ED8F-4599-BB1D-3E74BE10320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09" name="Text Box 1">
          <a:extLst>
            <a:ext uri="{FF2B5EF4-FFF2-40B4-BE49-F238E27FC236}">
              <a16:creationId xmlns:a16="http://schemas.microsoft.com/office/drawing/2014/main" id="{2A7F95A4-0C23-4FD4-8567-76E021C1B7F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10" name="Text Box 1">
          <a:extLst>
            <a:ext uri="{FF2B5EF4-FFF2-40B4-BE49-F238E27FC236}">
              <a16:creationId xmlns:a16="http://schemas.microsoft.com/office/drawing/2014/main" id="{99DA9D25-F030-4FA9-9055-EA748650CA6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11" name="Text Box 1">
          <a:extLst>
            <a:ext uri="{FF2B5EF4-FFF2-40B4-BE49-F238E27FC236}">
              <a16:creationId xmlns:a16="http://schemas.microsoft.com/office/drawing/2014/main" id="{DC7ACD3D-A790-4410-85BD-F96BC37D404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12" name="Text Box 1">
          <a:extLst>
            <a:ext uri="{FF2B5EF4-FFF2-40B4-BE49-F238E27FC236}">
              <a16:creationId xmlns:a16="http://schemas.microsoft.com/office/drawing/2014/main" id="{C4CC4185-F580-4A56-AE2C-7760DE690C9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13" name="Text Box 1">
          <a:extLst>
            <a:ext uri="{FF2B5EF4-FFF2-40B4-BE49-F238E27FC236}">
              <a16:creationId xmlns:a16="http://schemas.microsoft.com/office/drawing/2014/main" id="{CD69B8F4-AFC5-4105-BEDD-ABAFC40FBF4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14" name="Text Box 1">
          <a:extLst>
            <a:ext uri="{FF2B5EF4-FFF2-40B4-BE49-F238E27FC236}">
              <a16:creationId xmlns:a16="http://schemas.microsoft.com/office/drawing/2014/main" id="{4AFC0865-ED31-4CC9-AF26-C2F3D5E2F8C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15" name="Text Box 1">
          <a:extLst>
            <a:ext uri="{FF2B5EF4-FFF2-40B4-BE49-F238E27FC236}">
              <a16:creationId xmlns:a16="http://schemas.microsoft.com/office/drawing/2014/main" id="{09106799-F512-459F-AC1E-FC4532B700E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16" name="Text Box 1">
          <a:extLst>
            <a:ext uri="{FF2B5EF4-FFF2-40B4-BE49-F238E27FC236}">
              <a16:creationId xmlns:a16="http://schemas.microsoft.com/office/drawing/2014/main" id="{33686B58-957D-4821-923F-6C66716FF3D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17" name="Text Box 1">
          <a:extLst>
            <a:ext uri="{FF2B5EF4-FFF2-40B4-BE49-F238E27FC236}">
              <a16:creationId xmlns:a16="http://schemas.microsoft.com/office/drawing/2014/main" id="{B1817544-9B78-41CE-9411-4813711E3BD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18" name="Text Box 1">
          <a:extLst>
            <a:ext uri="{FF2B5EF4-FFF2-40B4-BE49-F238E27FC236}">
              <a16:creationId xmlns:a16="http://schemas.microsoft.com/office/drawing/2014/main" id="{BF613DED-A49A-49F9-BE8C-BD2E6A2BC0D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19" name="Text Box 1">
          <a:extLst>
            <a:ext uri="{FF2B5EF4-FFF2-40B4-BE49-F238E27FC236}">
              <a16:creationId xmlns:a16="http://schemas.microsoft.com/office/drawing/2014/main" id="{658B181B-E3A6-49D9-BB1F-07234EB244B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20" name="Text Box 1">
          <a:extLst>
            <a:ext uri="{FF2B5EF4-FFF2-40B4-BE49-F238E27FC236}">
              <a16:creationId xmlns:a16="http://schemas.microsoft.com/office/drawing/2014/main" id="{E8859007-9CD6-41F1-859C-DFFDFACFB6C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21" name="Text Box 1">
          <a:extLst>
            <a:ext uri="{FF2B5EF4-FFF2-40B4-BE49-F238E27FC236}">
              <a16:creationId xmlns:a16="http://schemas.microsoft.com/office/drawing/2014/main" id="{ACF41DD9-C2D1-4708-9681-1ED6A33DB25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22" name="Text Box 1">
          <a:extLst>
            <a:ext uri="{FF2B5EF4-FFF2-40B4-BE49-F238E27FC236}">
              <a16:creationId xmlns:a16="http://schemas.microsoft.com/office/drawing/2014/main" id="{9337E14A-0956-45F6-9F83-492518F0AA3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23" name="Text Box 1">
          <a:extLst>
            <a:ext uri="{FF2B5EF4-FFF2-40B4-BE49-F238E27FC236}">
              <a16:creationId xmlns:a16="http://schemas.microsoft.com/office/drawing/2014/main" id="{306A044A-3B48-433F-B000-558BA52DA26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24" name="Text Box 1">
          <a:extLst>
            <a:ext uri="{FF2B5EF4-FFF2-40B4-BE49-F238E27FC236}">
              <a16:creationId xmlns:a16="http://schemas.microsoft.com/office/drawing/2014/main" id="{28864DD2-7B2C-4314-A88D-38D79507131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25" name="Text Box 1">
          <a:extLst>
            <a:ext uri="{FF2B5EF4-FFF2-40B4-BE49-F238E27FC236}">
              <a16:creationId xmlns:a16="http://schemas.microsoft.com/office/drawing/2014/main" id="{AE880494-6C28-4CD5-BE79-81754FB8A61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26" name="Text Box 1">
          <a:extLst>
            <a:ext uri="{FF2B5EF4-FFF2-40B4-BE49-F238E27FC236}">
              <a16:creationId xmlns:a16="http://schemas.microsoft.com/office/drawing/2014/main" id="{7992EEA9-CFA1-4404-98C1-3066AFBDB18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27" name="Text Box 1">
          <a:extLst>
            <a:ext uri="{FF2B5EF4-FFF2-40B4-BE49-F238E27FC236}">
              <a16:creationId xmlns:a16="http://schemas.microsoft.com/office/drawing/2014/main" id="{D5135DDF-6356-49FC-B248-3D158BCA7EB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28" name="Text Box 1">
          <a:extLst>
            <a:ext uri="{FF2B5EF4-FFF2-40B4-BE49-F238E27FC236}">
              <a16:creationId xmlns:a16="http://schemas.microsoft.com/office/drawing/2014/main" id="{18AF56C3-8B28-445B-8566-BE8AAE5C4E7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29" name="Text Box 1">
          <a:extLst>
            <a:ext uri="{FF2B5EF4-FFF2-40B4-BE49-F238E27FC236}">
              <a16:creationId xmlns:a16="http://schemas.microsoft.com/office/drawing/2014/main" id="{ED6E3726-0B54-46A5-ACD7-3C0FD76D2CB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30" name="Text Box 1">
          <a:extLst>
            <a:ext uri="{FF2B5EF4-FFF2-40B4-BE49-F238E27FC236}">
              <a16:creationId xmlns:a16="http://schemas.microsoft.com/office/drawing/2014/main" id="{8590E016-D2EC-4F82-9EF5-F8ED1A19D9A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31" name="Text Box 1">
          <a:extLst>
            <a:ext uri="{FF2B5EF4-FFF2-40B4-BE49-F238E27FC236}">
              <a16:creationId xmlns:a16="http://schemas.microsoft.com/office/drawing/2014/main" id="{3792DA8B-2C19-4488-94E4-2BA4C93F5CE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32" name="Text Box 1">
          <a:extLst>
            <a:ext uri="{FF2B5EF4-FFF2-40B4-BE49-F238E27FC236}">
              <a16:creationId xmlns:a16="http://schemas.microsoft.com/office/drawing/2014/main" id="{BB265C73-66D6-462B-B485-9475FA4F417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33" name="Text Box 1">
          <a:extLst>
            <a:ext uri="{FF2B5EF4-FFF2-40B4-BE49-F238E27FC236}">
              <a16:creationId xmlns:a16="http://schemas.microsoft.com/office/drawing/2014/main" id="{5DAD3D35-1FFD-478C-99DD-060DDBA1340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34" name="Text Box 1">
          <a:extLst>
            <a:ext uri="{FF2B5EF4-FFF2-40B4-BE49-F238E27FC236}">
              <a16:creationId xmlns:a16="http://schemas.microsoft.com/office/drawing/2014/main" id="{BC47EACB-4A2B-455A-A803-343B4B68859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35" name="Text Box 1">
          <a:extLst>
            <a:ext uri="{FF2B5EF4-FFF2-40B4-BE49-F238E27FC236}">
              <a16:creationId xmlns:a16="http://schemas.microsoft.com/office/drawing/2014/main" id="{399E73B5-CD7B-4ED9-B4B7-02406E3543A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36" name="Text Box 1">
          <a:extLst>
            <a:ext uri="{FF2B5EF4-FFF2-40B4-BE49-F238E27FC236}">
              <a16:creationId xmlns:a16="http://schemas.microsoft.com/office/drawing/2014/main" id="{0A67BF8C-F1DF-40C7-BF56-32D8CC459E6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37" name="Text Box 1">
          <a:extLst>
            <a:ext uri="{FF2B5EF4-FFF2-40B4-BE49-F238E27FC236}">
              <a16:creationId xmlns:a16="http://schemas.microsoft.com/office/drawing/2014/main" id="{C3FEA7E0-2B76-4FC4-A348-14548382228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38" name="Text Box 1">
          <a:extLst>
            <a:ext uri="{FF2B5EF4-FFF2-40B4-BE49-F238E27FC236}">
              <a16:creationId xmlns:a16="http://schemas.microsoft.com/office/drawing/2014/main" id="{6219BBA3-6C57-4704-908C-178650AC73B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39" name="Text Box 1">
          <a:extLst>
            <a:ext uri="{FF2B5EF4-FFF2-40B4-BE49-F238E27FC236}">
              <a16:creationId xmlns:a16="http://schemas.microsoft.com/office/drawing/2014/main" id="{8F201CD0-0540-4322-9230-B6F0BEFCCDD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40" name="Text Box 1">
          <a:extLst>
            <a:ext uri="{FF2B5EF4-FFF2-40B4-BE49-F238E27FC236}">
              <a16:creationId xmlns:a16="http://schemas.microsoft.com/office/drawing/2014/main" id="{DD98A4F3-6BED-4494-9097-1FABBA182D8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41" name="Text Box 1">
          <a:extLst>
            <a:ext uri="{FF2B5EF4-FFF2-40B4-BE49-F238E27FC236}">
              <a16:creationId xmlns:a16="http://schemas.microsoft.com/office/drawing/2014/main" id="{5C34E181-039C-47FC-B3DC-5F0AF46243A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42" name="Text Box 1">
          <a:extLst>
            <a:ext uri="{FF2B5EF4-FFF2-40B4-BE49-F238E27FC236}">
              <a16:creationId xmlns:a16="http://schemas.microsoft.com/office/drawing/2014/main" id="{1C14C038-A4FE-40D4-8E6A-5D37F975DAA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43" name="Text Box 1">
          <a:extLst>
            <a:ext uri="{FF2B5EF4-FFF2-40B4-BE49-F238E27FC236}">
              <a16:creationId xmlns:a16="http://schemas.microsoft.com/office/drawing/2014/main" id="{BFB2501B-AA55-4A13-8444-C1E71D29901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44" name="Text Box 1">
          <a:extLst>
            <a:ext uri="{FF2B5EF4-FFF2-40B4-BE49-F238E27FC236}">
              <a16:creationId xmlns:a16="http://schemas.microsoft.com/office/drawing/2014/main" id="{90DEEC45-790F-4309-8BAC-413D4EA44A7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45" name="Text Box 1">
          <a:extLst>
            <a:ext uri="{FF2B5EF4-FFF2-40B4-BE49-F238E27FC236}">
              <a16:creationId xmlns:a16="http://schemas.microsoft.com/office/drawing/2014/main" id="{4630A6AC-6176-4FA1-A3D2-9510D9FC5F6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46" name="Text Box 1">
          <a:extLst>
            <a:ext uri="{FF2B5EF4-FFF2-40B4-BE49-F238E27FC236}">
              <a16:creationId xmlns:a16="http://schemas.microsoft.com/office/drawing/2014/main" id="{79C64BF6-9C95-4DA0-BADC-410E7E066EB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47" name="Text Box 1">
          <a:extLst>
            <a:ext uri="{FF2B5EF4-FFF2-40B4-BE49-F238E27FC236}">
              <a16:creationId xmlns:a16="http://schemas.microsoft.com/office/drawing/2014/main" id="{74540D41-A0A2-4274-8DC6-F2CA7F3E7EF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48" name="Text Box 1">
          <a:extLst>
            <a:ext uri="{FF2B5EF4-FFF2-40B4-BE49-F238E27FC236}">
              <a16:creationId xmlns:a16="http://schemas.microsoft.com/office/drawing/2014/main" id="{25D53B9F-A1F2-4EBA-8F64-7AD3B51B7BE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49" name="Text Box 1">
          <a:extLst>
            <a:ext uri="{FF2B5EF4-FFF2-40B4-BE49-F238E27FC236}">
              <a16:creationId xmlns:a16="http://schemas.microsoft.com/office/drawing/2014/main" id="{ABB39076-3FFB-4C48-BFA7-8A967F5A2F0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50" name="Text Box 1">
          <a:extLst>
            <a:ext uri="{FF2B5EF4-FFF2-40B4-BE49-F238E27FC236}">
              <a16:creationId xmlns:a16="http://schemas.microsoft.com/office/drawing/2014/main" id="{A1C7F2F5-27A2-4668-ACA0-27E8BEBE819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51" name="Text Box 1">
          <a:extLst>
            <a:ext uri="{FF2B5EF4-FFF2-40B4-BE49-F238E27FC236}">
              <a16:creationId xmlns:a16="http://schemas.microsoft.com/office/drawing/2014/main" id="{08138A7E-6946-4E51-8F47-839D70B9967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52" name="Text Box 1">
          <a:extLst>
            <a:ext uri="{FF2B5EF4-FFF2-40B4-BE49-F238E27FC236}">
              <a16:creationId xmlns:a16="http://schemas.microsoft.com/office/drawing/2014/main" id="{A102CE01-1E7D-47D2-9170-4F3904F9943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53" name="Text Box 1">
          <a:extLst>
            <a:ext uri="{FF2B5EF4-FFF2-40B4-BE49-F238E27FC236}">
              <a16:creationId xmlns:a16="http://schemas.microsoft.com/office/drawing/2014/main" id="{3CAA4EC5-48DB-4827-AB10-A35876D9A7A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54" name="Text Box 1">
          <a:extLst>
            <a:ext uri="{FF2B5EF4-FFF2-40B4-BE49-F238E27FC236}">
              <a16:creationId xmlns:a16="http://schemas.microsoft.com/office/drawing/2014/main" id="{05C06571-76F8-4533-82A3-6DA09755E99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55" name="Text Box 1">
          <a:extLst>
            <a:ext uri="{FF2B5EF4-FFF2-40B4-BE49-F238E27FC236}">
              <a16:creationId xmlns:a16="http://schemas.microsoft.com/office/drawing/2014/main" id="{4A79D6B9-C3C9-4F03-B912-3596D310DB6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56" name="Text Box 1">
          <a:extLst>
            <a:ext uri="{FF2B5EF4-FFF2-40B4-BE49-F238E27FC236}">
              <a16:creationId xmlns:a16="http://schemas.microsoft.com/office/drawing/2014/main" id="{AC700831-6E02-4A4B-A7AC-F22994E0290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57" name="Text Box 1">
          <a:extLst>
            <a:ext uri="{FF2B5EF4-FFF2-40B4-BE49-F238E27FC236}">
              <a16:creationId xmlns:a16="http://schemas.microsoft.com/office/drawing/2014/main" id="{25A88C53-6484-438B-8FE9-157B0AA6BC0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58" name="Text Box 1">
          <a:extLst>
            <a:ext uri="{FF2B5EF4-FFF2-40B4-BE49-F238E27FC236}">
              <a16:creationId xmlns:a16="http://schemas.microsoft.com/office/drawing/2014/main" id="{6C123042-7695-4D96-ACF0-1E6D4366AA4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59" name="Text Box 1">
          <a:extLst>
            <a:ext uri="{FF2B5EF4-FFF2-40B4-BE49-F238E27FC236}">
              <a16:creationId xmlns:a16="http://schemas.microsoft.com/office/drawing/2014/main" id="{0DAB25AE-03F9-41E3-BA27-1FCEA2405BC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60" name="Text Box 1">
          <a:extLst>
            <a:ext uri="{FF2B5EF4-FFF2-40B4-BE49-F238E27FC236}">
              <a16:creationId xmlns:a16="http://schemas.microsoft.com/office/drawing/2014/main" id="{D3CF8A2C-AFF4-4E34-B325-259ACB8B321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61" name="Text Box 1">
          <a:extLst>
            <a:ext uri="{FF2B5EF4-FFF2-40B4-BE49-F238E27FC236}">
              <a16:creationId xmlns:a16="http://schemas.microsoft.com/office/drawing/2014/main" id="{D0105290-AAA5-48A5-8E2F-556D6F21159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62" name="Text Box 1">
          <a:extLst>
            <a:ext uri="{FF2B5EF4-FFF2-40B4-BE49-F238E27FC236}">
              <a16:creationId xmlns:a16="http://schemas.microsoft.com/office/drawing/2014/main" id="{ABA3AB2A-C017-4728-8847-98697C24A6F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63" name="Text Box 1">
          <a:extLst>
            <a:ext uri="{FF2B5EF4-FFF2-40B4-BE49-F238E27FC236}">
              <a16:creationId xmlns:a16="http://schemas.microsoft.com/office/drawing/2014/main" id="{500F8682-EA14-4A83-BF11-E4BA8B71F8E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64" name="Text Box 1">
          <a:extLst>
            <a:ext uri="{FF2B5EF4-FFF2-40B4-BE49-F238E27FC236}">
              <a16:creationId xmlns:a16="http://schemas.microsoft.com/office/drawing/2014/main" id="{0E350377-25E2-4F10-A78B-D89C303429B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65" name="Text Box 1">
          <a:extLst>
            <a:ext uri="{FF2B5EF4-FFF2-40B4-BE49-F238E27FC236}">
              <a16:creationId xmlns:a16="http://schemas.microsoft.com/office/drawing/2014/main" id="{6C7939BD-F4FE-4F74-9028-E52FB2B9A99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66" name="Text Box 1">
          <a:extLst>
            <a:ext uri="{FF2B5EF4-FFF2-40B4-BE49-F238E27FC236}">
              <a16:creationId xmlns:a16="http://schemas.microsoft.com/office/drawing/2014/main" id="{38C0BDEF-8C65-4167-BC58-6A0D308E523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67" name="Text Box 1">
          <a:extLst>
            <a:ext uri="{FF2B5EF4-FFF2-40B4-BE49-F238E27FC236}">
              <a16:creationId xmlns:a16="http://schemas.microsoft.com/office/drawing/2014/main" id="{52DA9CEE-875F-4E0B-96F5-BB419FC173A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68" name="Text Box 1">
          <a:extLst>
            <a:ext uri="{FF2B5EF4-FFF2-40B4-BE49-F238E27FC236}">
              <a16:creationId xmlns:a16="http://schemas.microsoft.com/office/drawing/2014/main" id="{AF0081D4-FE1D-4EF8-A2C4-51280E3E292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69" name="Text Box 1">
          <a:extLst>
            <a:ext uri="{FF2B5EF4-FFF2-40B4-BE49-F238E27FC236}">
              <a16:creationId xmlns:a16="http://schemas.microsoft.com/office/drawing/2014/main" id="{1CE9C2B6-BA55-4823-B6A9-F5BE847E703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70" name="Text Box 1">
          <a:extLst>
            <a:ext uri="{FF2B5EF4-FFF2-40B4-BE49-F238E27FC236}">
              <a16:creationId xmlns:a16="http://schemas.microsoft.com/office/drawing/2014/main" id="{C75FE555-A457-45D6-B18D-BB62F3145E2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71" name="Text Box 1">
          <a:extLst>
            <a:ext uri="{FF2B5EF4-FFF2-40B4-BE49-F238E27FC236}">
              <a16:creationId xmlns:a16="http://schemas.microsoft.com/office/drawing/2014/main" id="{C83B0EC8-7D21-4F1A-BBBC-40739ED138E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72" name="Text Box 1">
          <a:extLst>
            <a:ext uri="{FF2B5EF4-FFF2-40B4-BE49-F238E27FC236}">
              <a16:creationId xmlns:a16="http://schemas.microsoft.com/office/drawing/2014/main" id="{DAAA02FD-E991-4145-B1BA-CA669387975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73" name="Text Box 1">
          <a:extLst>
            <a:ext uri="{FF2B5EF4-FFF2-40B4-BE49-F238E27FC236}">
              <a16:creationId xmlns:a16="http://schemas.microsoft.com/office/drawing/2014/main" id="{43D58E93-5E57-4AD9-BE0E-3DD833DD97A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74" name="Text Box 1">
          <a:extLst>
            <a:ext uri="{FF2B5EF4-FFF2-40B4-BE49-F238E27FC236}">
              <a16:creationId xmlns:a16="http://schemas.microsoft.com/office/drawing/2014/main" id="{DE236DFE-1BCF-486E-BF84-235A9403F39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75" name="Text Box 1">
          <a:extLst>
            <a:ext uri="{FF2B5EF4-FFF2-40B4-BE49-F238E27FC236}">
              <a16:creationId xmlns:a16="http://schemas.microsoft.com/office/drawing/2014/main" id="{2B146ECA-D5E5-4C92-BE26-4C29613BFF4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76" name="Text Box 1">
          <a:extLst>
            <a:ext uri="{FF2B5EF4-FFF2-40B4-BE49-F238E27FC236}">
              <a16:creationId xmlns:a16="http://schemas.microsoft.com/office/drawing/2014/main" id="{8AD7A76F-3867-4DD6-86AA-134436C4B31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77" name="Text Box 1">
          <a:extLst>
            <a:ext uri="{FF2B5EF4-FFF2-40B4-BE49-F238E27FC236}">
              <a16:creationId xmlns:a16="http://schemas.microsoft.com/office/drawing/2014/main" id="{B44B7A1A-818C-4927-B20B-4B18B4B4521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78" name="Text Box 1">
          <a:extLst>
            <a:ext uri="{FF2B5EF4-FFF2-40B4-BE49-F238E27FC236}">
              <a16:creationId xmlns:a16="http://schemas.microsoft.com/office/drawing/2014/main" id="{AC284AA6-3E62-4041-9CD7-434F87296C0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79" name="Text Box 1">
          <a:extLst>
            <a:ext uri="{FF2B5EF4-FFF2-40B4-BE49-F238E27FC236}">
              <a16:creationId xmlns:a16="http://schemas.microsoft.com/office/drawing/2014/main" id="{C5F0EBEA-2615-4ECC-B3B8-E269F2133D7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80" name="Text Box 1">
          <a:extLst>
            <a:ext uri="{FF2B5EF4-FFF2-40B4-BE49-F238E27FC236}">
              <a16:creationId xmlns:a16="http://schemas.microsoft.com/office/drawing/2014/main" id="{CE90D826-0504-4D4E-843A-9A452943D58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81" name="Text Box 1">
          <a:extLst>
            <a:ext uri="{FF2B5EF4-FFF2-40B4-BE49-F238E27FC236}">
              <a16:creationId xmlns:a16="http://schemas.microsoft.com/office/drawing/2014/main" id="{8E9D231F-6434-4120-9A99-DCF3539AA53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82" name="Text Box 1">
          <a:extLst>
            <a:ext uri="{FF2B5EF4-FFF2-40B4-BE49-F238E27FC236}">
              <a16:creationId xmlns:a16="http://schemas.microsoft.com/office/drawing/2014/main" id="{52A71C25-FA87-40F1-8EB5-3503DC7BCE8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83" name="Text Box 1">
          <a:extLst>
            <a:ext uri="{FF2B5EF4-FFF2-40B4-BE49-F238E27FC236}">
              <a16:creationId xmlns:a16="http://schemas.microsoft.com/office/drawing/2014/main" id="{FA532883-C843-4F8A-A85B-C877E9CA666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84" name="Text Box 1">
          <a:extLst>
            <a:ext uri="{FF2B5EF4-FFF2-40B4-BE49-F238E27FC236}">
              <a16:creationId xmlns:a16="http://schemas.microsoft.com/office/drawing/2014/main" id="{B71E6299-10F8-4496-99CB-7C975587FFF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85" name="Text Box 1">
          <a:extLst>
            <a:ext uri="{FF2B5EF4-FFF2-40B4-BE49-F238E27FC236}">
              <a16:creationId xmlns:a16="http://schemas.microsoft.com/office/drawing/2014/main" id="{628C398C-9ADE-4DFB-94AA-A4DB33E057D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86" name="Text Box 1">
          <a:extLst>
            <a:ext uri="{FF2B5EF4-FFF2-40B4-BE49-F238E27FC236}">
              <a16:creationId xmlns:a16="http://schemas.microsoft.com/office/drawing/2014/main" id="{1C4D8ED7-2F15-40B2-9C7C-0B298531459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87" name="Text Box 1">
          <a:extLst>
            <a:ext uri="{FF2B5EF4-FFF2-40B4-BE49-F238E27FC236}">
              <a16:creationId xmlns:a16="http://schemas.microsoft.com/office/drawing/2014/main" id="{7A48E8ED-8EE1-4F76-A6EF-8173444C9E2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88" name="Text Box 1">
          <a:extLst>
            <a:ext uri="{FF2B5EF4-FFF2-40B4-BE49-F238E27FC236}">
              <a16:creationId xmlns:a16="http://schemas.microsoft.com/office/drawing/2014/main" id="{CBA28A4F-E06A-451A-9B59-73982080193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89" name="Text Box 1">
          <a:extLst>
            <a:ext uri="{FF2B5EF4-FFF2-40B4-BE49-F238E27FC236}">
              <a16:creationId xmlns:a16="http://schemas.microsoft.com/office/drawing/2014/main" id="{025F7064-8E92-4C48-8E54-613915C548F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90" name="Text Box 1">
          <a:extLst>
            <a:ext uri="{FF2B5EF4-FFF2-40B4-BE49-F238E27FC236}">
              <a16:creationId xmlns:a16="http://schemas.microsoft.com/office/drawing/2014/main" id="{377EB3A6-E80E-4029-AF52-214A3D55718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91" name="Text Box 1">
          <a:extLst>
            <a:ext uri="{FF2B5EF4-FFF2-40B4-BE49-F238E27FC236}">
              <a16:creationId xmlns:a16="http://schemas.microsoft.com/office/drawing/2014/main" id="{5B0696AC-6978-4972-937B-AAB1A1D04C5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92" name="Text Box 1">
          <a:extLst>
            <a:ext uri="{FF2B5EF4-FFF2-40B4-BE49-F238E27FC236}">
              <a16:creationId xmlns:a16="http://schemas.microsoft.com/office/drawing/2014/main" id="{19608F06-5D21-4B04-819C-96E0A24F076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93" name="Text Box 1">
          <a:extLst>
            <a:ext uri="{FF2B5EF4-FFF2-40B4-BE49-F238E27FC236}">
              <a16:creationId xmlns:a16="http://schemas.microsoft.com/office/drawing/2014/main" id="{F5C9C35F-6851-46D4-BC37-55FA122F676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94" name="Text Box 1">
          <a:extLst>
            <a:ext uri="{FF2B5EF4-FFF2-40B4-BE49-F238E27FC236}">
              <a16:creationId xmlns:a16="http://schemas.microsoft.com/office/drawing/2014/main" id="{5500B9FE-53DA-4B37-9B15-B90FEC21237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95" name="Text Box 1">
          <a:extLst>
            <a:ext uri="{FF2B5EF4-FFF2-40B4-BE49-F238E27FC236}">
              <a16:creationId xmlns:a16="http://schemas.microsoft.com/office/drawing/2014/main" id="{BBD3BCAE-72D8-4330-9432-63ED6432974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96" name="Text Box 1">
          <a:extLst>
            <a:ext uri="{FF2B5EF4-FFF2-40B4-BE49-F238E27FC236}">
              <a16:creationId xmlns:a16="http://schemas.microsoft.com/office/drawing/2014/main" id="{4570887F-A232-4F2E-99F2-04C1D11696F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97" name="Text Box 1">
          <a:extLst>
            <a:ext uri="{FF2B5EF4-FFF2-40B4-BE49-F238E27FC236}">
              <a16:creationId xmlns:a16="http://schemas.microsoft.com/office/drawing/2014/main" id="{E34FE8BA-E209-40AE-AC1E-173F45880A8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98" name="Text Box 1">
          <a:extLst>
            <a:ext uri="{FF2B5EF4-FFF2-40B4-BE49-F238E27FC236}">
              <a16:creationId xmlns:a16="http://schemas.microsoft.com/office/drawing/2014/main" id="{8DF0BBC5-9CB8-4309-A9B7-3C7BDFFB726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499" name="Text Box 1">
          <a:extLst>
            <a:ext uri="{FF2B5EF4-FFF2-40B4-BE49-F238E27FC236}">
              <a16:creationId xmlns:a16="http://schemas.microsoft.com/office/drawing/2014/main" id="{16764B05-4871-41F6-90DF-24C9136A2FC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00" name="Text Box 1">
          <a:extLst>
            <a:ext uri="{FF2B5EF4-FFF2-40B4-BE49-F238E27FC236}">
              <a16:creationId xmlns:a16="http://schemas.microsoft.com/office/drawing/2014/main" id="{16578DB4-EAFA-4DFD-935B-987B040F030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01" name="Text Box 1">
          <a:extLst>
            <a:ext uri="{FF2B5EF4-FFF2-40B4-BE49-F238E27FC236}">
              <a16:creationId xmlns:a16="http://schemas.microsoft.com/office/drawing/2014/main" id="{C38F2EAF-C60E-45EC-8FC1-9391CEDC474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02" name="Text Box 1">
          <a:extLst>
            <a:ext uri="{FF2B5EF4-FFF2-40B4-BE49-F238E27FC236}">
              <a16:creationId xmlns:a16="http://schemas.microsoft.com/office/drawing/2014/main" id="{A95E0BF3-2E7E-4861-A3AA-7CC42BCECDB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03" name="Text Box 1">
          <a:extLst>
            <a:ext uri="{FF2B5EF4-FFF2-40B4-BE49-F238E27FC236}">
              <a16:creationId xmlns:a16="http://schemas.microsoft.com/office/drawing/2014/main" id="{4EE5666E-2614-4929-A522-D7632A4D1B0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04" name="Text Box 1">
          <a:extLst>
            <a:ext uri="{FF2B5EF4-FFF2-40B4-BE49-F238E27FC236}">
              <a16:creationId xmlns:a16="http://schemas.microsoft.com/office/drawing/2014/main" id="{655CACCA-DF52-4E89-B9FF-FD256CE3299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05" name="Text Box 1">
          <a:extLst>
            <a:ext uri="{FF2B5EF4-FFF2-40B4-BE49-F238E27FC236}">
              <a16:creationId xmlns:a16="http://schemas.microsoft.com/office/drawing/2014/main" id="{F8667922-0106-44C8-AD20-C910740B113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06" name="Text Box 1">
          <a:extLst>
            <a:ext uri="{FF2B5EF4-FFF2-40B4-BE49-F238E27FC236}">
              <a16:creationId xmlns:a16="http://schemas.microsoft.com/office/drawing/2014/main" id="{B0E1AD69-029D-472B-BCBB-84F1B66B33F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07" name="Text Box 1">
          <a:extLst>
            <a:ext uri="{FF2B5EF4-FFF2-40B4-BE49-F238E27FC236}">
              <a16:creationId xmlns:a16="http://schemas.microsoft.com/office/drawing/2014/main" id="{AB4D4EF1-6F0F-4F1C-AE83-2EA0E7E7DF3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08" name="Text Box 1">
          <a:extLst>
            <a:ext uri="{FF2B5EF4-FFF2-40B4-BE49-F238E27FC236}">
              <a16:creationId xmlns:a16="http://schemas.microsoft.com/office/drawing/2014/main" id="{66657F76-A869-4491-8C7A-250C6E2645B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09" name="Text Box 1">
          <a:extLst>
            <a:ext uri="{FF2B5EF4-FFF2-40B4-BE49-F238E27FC236}">
              <a16:creationId xmlns:a16="http://schemas.microsoft.com/office/drawing/2014/main" id="{C2E165B7-D2E6-43F3-919A-AAA339AE54E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10" name="Text Box 1">
          <a:extLst>
            <a:ext uri="{FF2B5EF4-FFF2-40B4-BE49-F238E27FC236}">
              <a16:creationId xmlns:a16="http://schemas.microsoft.com/office/drawing/2014/main" id="{06616669-3905-4AAC-9A96-A3A72AA223C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11" name="Text Box 1">
          <a:extLst>
            <a:ext uri="{FF2B5EF4-FFF2-40B4-BE49-F238E27FC236}">
              <a16:creationId xmlns:a16="http://schemas.microsoft.com/office/drawing/2014/main" id="{384C8AA5-7799-40BD-83FB-831DF8B6775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12" name="Text Box 1">
          <a:extLst>
            <a:ext uri="{FF2B5EF4-FFF2-40B4-BE49-F238E27FC236}">
              <a16:creationId xmlns:a16="http://schemas.microsoft.com/office/drawing/2014/main" id="{463B211F-67FB-4FBF-9EE5-1DE45A38661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13" name="Text Box 1">
          <a:extLst>
            <a:ext uri="{FF2B5EF4-FFF2-40B4-BE49-F238E27FC236}">
              <a16:creationId xmlns:a16="http://schemas.microsoft.com/office/drawing/2014/main" id="{7D2479C8-7421-4A6D-A66C-97346C31C7E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14" name="Text Box 1">
          <a:extLst>
            <a:ext uri="{FF2B5EF4-FFF2-40B4-BE49-F238E27FC236}">
              <a16:creationId xmlns:a16="http://schemas.microsoft.com/office/drawing/2014/main" id="{F1F1B402-3184-44D4-AB56-906C7BD8702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15" name="Text Box 1">
          <a:extLst>
            <a:ext uri="{FF2B5EF4-FFF2-40B4-BE49-F238E27FC236}">
              <a16:creationId xmlns:a16="http://schemas.microsoft.com/office/drawing/2014/main" id="{59FFE4FE-AAB4-4A0A-85FC-59343BA08E3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16" name="Text Box 1">
          <a:extLst>
            <a:ext uri="{FF2B5EF4-FFF2-40B4-BE49-F238E27FC236}">
              <a16:creationId xmlns:a16="http://schemas.microsoft.com/office/drawing/2014/main" id="{21D282B2-B707-4D1A-A1CB-694F4F7911A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17" name="Text Box 1">
          <a:extLst>
            <a:ext uri="{FF2B5EF4-FFF2-40B4-BE49-F238E27FC236}">
              <a16:creationId xmlns:a16="http://schemas.microsoft.com/office/drawing/2014/main" id="{40BB8546-CB03-4038-83AB-96972905DE9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18" name="Text Box 1">
          <a:extLst>
            <a:ext uri="{FF2B5EF4-FFF2-40B4-BE49-F238E27FC236}">
              <a16:creationId xmlns:a16="http://schemas.microsoft.com/office/drawing/2014/main" id="{CC6DFB5A-F04B-41A8-B423-41A4EBF41E5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19" name="Text Box 1">
          <a:extLst>
            <a:ext uri="{FF2B5EF4-FFF2-40B4-BE49-F238E27FC236}">
              <a16:creationId xmlns:a16="http://schemas.microsoft.com/office/drawing/2014/main" id="{A287D381-099A-4C48-AD82-07126E22133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20" name="Text Box 1">
          <a:extLst>
            <a:ext uri="{FF2B5EF4-FFF2-40B4-BE49-F238E27FC236}">
              <a16:creationId xmlns:a16="http://schemas.microsoft.com/office/drawing/2014/main" id="{A439615E-686D-4E11-BA71-599AAFE50E5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21" name="Text Box 1">
          <a:extLst>
            <a:ext uri="{FF2B5EF4-FFF2-40B4-BE49-F238E27FC236}">
              <a16:creationId xmlns:a16="http://schemas.microsoft.com/office/drawing/2014/main" id="{355E3A47-E948-4F0C-B695-D033B45DDAB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22" name="Text Box 1">
          <a:extLst>
            <a:ext uri="{FF2B5EF4-FFF2-40B4-BE49-F238E27FC236}">
              <a16:creationId xmlns:a16="http://schemas.microsoft.com/office/drawing/2014/main" id="{366555A3-8B88-4EE9-B929-68E59238EA0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23" name="Text Box 1">
          <a:extLst>
            <a:ext uri="{FF2B5EF4-FFF2-40B4-BE49-F238E27FC236}">
              <a16:creationId xmlns:a16="http://schemas.microsoft.com/office/drawing/2014/main" id="{A6580716-E8E9-40B3-BEC9-E3268015F34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24" name="Text Box 1">
          <a:extLst>
            <a:ext uri="{FF2B5EF4-FFF2-40B4-BE49-F238E27FC236}">
              <a16:creationId xmlns:a16="http://schemas.microsoft.com/office/drawing/2014/main" id="{621AC696-A533-42C7-9AF2-FF43939E9F3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25" name="Text Box 1">
          <a:extLst>
            <a:ext uri="{FF2B5EF4-FFF2-40B4-BE49-F238E27FC236}">
              <a16:creationId xmlns:a16="http://schemas.microsoft.com/office/drawing/2014/main" id="{90025097-8809-4637-B255-B5D0F5C00DD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26" name="Text Box 1">
          <a:extLst>
            <a:ext uri="{FF2B5EF4-FFF2-40B4-BE49-F238E27FC236}">
              <a16:creationId xmlns:a16="http://schemas.microsoft.com/office/drawing/2014/main" id="{8A09D100-2615-419A-B726-2913158926B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27" name="Text Box 1">
          <a:extLst>
            <a:ext uri="{FF2B5EF4-FFF2-40B4-BE49-F238E27FC236}">
              <a16:creationId xmlns:a16="http://schemas.microsoft.com/office/drawing/2014/main" id="{DC9121A0-1DB9-47B1-A846-8B496DE8068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28" name="Text Box 1">
          <a:extLst>
            <a:ext uri="{FF2B5EF4-FFF2-40B4-BE49-F238E27FC236}">
              <a16:creationId xmlns:a16="http://schemas.microsoft.com/office/drawing/2014/main" id="{3B3F6432-BBDF-4C35-9135-939A8097991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29" name="Text Box 1">
          <a:extLst>
            <a:ext uri="{FF2B5EF4-FFF2-40B4-BE49-F238E27FC236}">
              <a16:creationId xmlns:a16="http://schemas.microsoft.com/office/drawing/2014/main" id="{37139F0B-D45A-43FA-8208-BA5A1026B0D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30" name="Text Box 1">
          <a:extLst>
            <a:ext uri="{FF2B5EF4-FFF2-40B4-BE49-F238E27FC236}">
              <a16:creationId xmlns:a16="http://schemas.microsoft.com/office/drawing/2014/main" id="{F645854B-9875-4449-841A-E060342E4AD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31" name="Text Box 1">
          <a:extLst>
            <a:ext uri="{FF2B5EF4-FFF2-40B4-BE49-F238E27FC236}">
              <a16:creationId xmlns:a16="http://schemas.microsoft.com/office/drawing/2014/main" id="{12FDF376-539F-4EA2-90F4-86E44984D22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32" name="Text Box 1">
          <a:extLst>
            <a:ext uri="{FF2B5EF4-FFF2-40B4-BE49-F238E27FC236}">
              <a16:creationId xmlns:a16="http://schemas.microsoft.com/office/drawing/2014/main" id="{899261A3-8E55-42C6-864C-83C41D5BEBC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33" name="Text Box 1">
          <a:extLst>
            <a:ext uri="{FF2B5EF4-FFF2-40B4-BE49-F238E27FC236}">
              <a16:creationId xmlns:a16="http://schemas.microsoft.com/office/drawing/2014/main" id="{0F3FC23C-5129-4AE2-9C6B-37E53180F5F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34" name="Text Box 1">
          <a:extLst>
            <a:ext uri="{FF2B5EF4-FFF2-40B4-BE49-F238E27FC236}">
              <a16:creationId xmlns:a16="http://schemas.microsoft.com/office/drawing/2014/main" id="{5121BE5A-8F8B-4FC0-8E43-BC26B388227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35" name="Text Box 1">
          <a:extLst>
            <a:ext uri="{FF2B5EF4-FFF2-40B4-BE49-F238E27FC236}">
              <a16:creationId xmlns:a16="http://schemas.microsoft.com/office/drawing/2014/main" id="{2D8CC15E-D96A-40AF-98EF-465549B1D38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36" name="Text Box 1">
          <a:extLst>
            <a:ext uri="{FF2B5EF4-FFF2-40B4-BE49-F238E27FC236}">
              <a16:creationId xmlns:a16="http://schemas.microsoft.com/office/drawing/2014/main" id="{F2B4B401-E2D8-442F-AB16-563022E2503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37" name="Text Box 1">
          <a:extLst>
            <a:ext uri="{FF2B5EF4-FFF2-40B4-BE49-F238E27FC236}">
              <a16:creationId xmlns:a16="http://schemas.microsoft.com/office/drawing/2014/main" id="{B96237E4-FF55-4596-A800-F94EE69B9C5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38" name="Text Box 1">
          <a:extLst>
            <a:ext uri="{FF2B5EF4-FFF2-40B4-BE49-F238E27FC236}">
              <a16:creationId xmlns:a16="http://schemas.microsoft.com/office/drawing/2014/main" id="{6FF187D9-2262-4CB8-86AB-954FFB34709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39" name="Text Box 1">
          <a:extLst>
            <a:ext uri="{FF2B5EF4-FFF2-40B4-BE49-F238E27FC236}">
              <a16:creationId xmlns:a16="http://schemas.microsoft.com/office/drawing/2014/main" id="{399E9E23-0EFD-4F3E-9047-3F734099CF1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40" name="Text Box 1">
          <a:extLst>
            <a:ext uri="{FF2B5EF4-FFF2-40B4-BE49-F238E27FC236}">
              <a16:creationId xmlns:a16="http://schemas.microsoft.com/office/drawing/2014/main" id="{F21EFF1E-445C-421E-BE6A-ED982E81B17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41" name="Text Box 1">
          <a:extLst>
            <a:ext uri="{FF2B5EF4-FFF2-40B4-BE49-F238E27FC236}">
              <a16:creationId xmlns:a16="http://schemas.microsoft.com/office/drawing/2014/main" id="{8E00B2AC-7446-415D-A1B9-D0BF39AE13E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42" name="Text Box 1">
          <a:extLst>
            <a:ext uri="{FF2B5EF4-FFF2-40B4-BE49-F238E27FC236}">
              <a16:creationId xmlns:a16="http://schemas.microsoft.com/office/drawing/2014/main" id="{E48021BB-5FAB-4B9C-BDBE-1C160CB3A9B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43" name="Text Box 1">
          <a:extLst>
            <a:ext uri="{FF2B5EF4-FFF2-40B4-BE49-F238E27FC236}">
              <a16:creationId xmlns:a16="http://schemas.microsoft.com/office/drawing/2014/main" id="{EFC0BBBA-262C-46B7-A8EC-6F195A4645D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44" name="Text Box 1">
          <a:extLst>
            <a:ext uri="{FF2B5EF4-FFF2-40B4-BE49-F238E27FC236}">
              <a16:creationId xmlns:a16="http://schemas.microsoft.com/office/drawing/2014/main" id="{185B3453-E052-4655-8426-2B94FF5BEA1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45" name="Text Box 1">
          <a:extLst>
            <a:ext uri="{FF2B5EF4-FFF2-40B4-BE49-F238E27FC236}">
              <a16:creationId xmlns:a16="http://schemas.microsoft.com/office/drawing/2014/main" id="{0A17304F-AD2B-46CD-A9DE-C23E348423B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46" name="Text Box 1">
          <a:extLst>
            <a:ext uri="{FF2B5EF4-FFF2-40B4-BE49-F238E27FC236}">
              <a16:creationId xmlns:a16="http://schemas.microsoft.com/office/drawing/2014/main" id="{76F9EF8F-33A5-43A7-8E57-39BDAA22E63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47" name="Text Box 1">
          <a:extLst>
            <a:ext uri="{FF2B5EF4-FFF2-40B4-BE49-F238E27FC236}">
              <a16:creationId xmlns:a16="http://schemas.microsoft.com/office/drawing/2014/main" id="{18405F6F-9750-45BE-A2C8-0AA239D1504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48" name="Text Box 1">
          <a:extLst>
            <a:ext uri="{FF2B5EF4-FFF2-40B4-BE49-F238E27FC236}">
              <a16:creationId xmlns:a16="http://schemas.microsoft.com/office/drawing/2014/main" id="{B9FCC969-D6FB-42D8-BF22-9C7958ECA06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49" name="Text Box 1">
          <a:extLst>
            <a:ext uri="{FF2B5EF4-FFF2-40B4-BE49-F238E27FC236}">
              <a16:creationId xmlns:a16="http://schemas.microsoft.com/office/drawing/2014/main" id="{DD96349B-5527-4574-8352-6EFEC30B9DC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50" name="Text Box 1">
          <a:extLst>
            <a:ext uri="{FF2B5EF4-FFF2-40B4-BE49-F238E27FC236}">
              <a16:creationId xmlns:a16="http://schemas.microsoft.com/office/drawing/2014/main" id="{503CA7EE-0647-4785-8F56-27055FC65FB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51" name="Text Box 1">
          <a:extLst>
            <a:ext uri="{FF2B5EF4-FFF2-40B4-BE49-F238E27FC236}">
              <a16:creationId xmlns:a16="http://schemas.microsoft.com/office/drawing/2014/main" id="{8165D73B-8552-4CBF-916C-1E3E7752D94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52" name="Text Box 1">
          <a:extLst>
            <a:ext uri="{FF2B5EF4-FFF2-40B4-BE49-F238E27FC236}">
              <a16:creationId xmlns:a16="http://schemas.microsoft.com/office/drawing/2014/main" id="{DE59B23E-BEC2-43A0-8335-6136B9ADCB0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53" name="Text Box 1">
          <a:extLst>
            <a:ext uri="{FF2B5EF4-FFF2-40B4-BE49-F238E27FC236}">
              <a16:creationId xmlns:a16="http://schemas.microsoft.com/office/drawing/2014/main" id="{4046B822-0095-46C4-A1B2-2A6F99CA1C8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54" name="Text Box 1">
          <a:extLst>
            <a:ext uri="{FF2B5EF4-FFF2-40B4-BE49-F238E27FC236}">
              <a16:creationId xmlns:a16="http://schemas.microsoft.com/office/drawing/2014/main" id="{A1C7E008-7400-4410-A147-E9FE7A899E1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55" name="Text Box 1">
          <a:extLst>
            <a:ext uri="{FF2B5EF4-FFF2-40B4-BE49-F238E27FC236}">
              <a16:creationId xmlns:a16="http://schemas.microsoft.com/office/drawing/2014/main" id="{F02E7981-F690-4286-802F-0FD5D1381B0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56" name="Text Box 1">
          <a:extLst>
            <a:ext uri="{FF2B5EF4-FFF2-40B4-BE49-F238E27FC236}">
              <a16:creationId xmlns:a16="http://schemas.microsoft.com/office/drawing/2014/main" id="{61FB8E28-24C7-4CB5-89AE-2C447852F8A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57" name="Text Box 1">
          <a:extLst>
            <a:ext uri="{FF2B5EF4-FFF2-40B4-BE49-F238E27FC236}">
              <a16:creationId xmlns:a16="http://schemas.microsoft.com/office/drawing/2014/main" id="{90F6C86D-6E0C-470C-86BB-0A562A46846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58" name="Text Box 1">
          <a:extLst>
            <a:ext uri="{FF2B5EF4-FFF2-40B4-BE49-F238E27FC236}">
              <a16:creationId xmlns:a16="http://schemas.microsoft.com/office/drawing/2014/main" id="{4F400F26-F263-40E5-A9C7-19F7E2AFFFF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59" name="Text Box 1">
          <a:extLst>
            <a:ext uri="{FF2B5EF4-FFF2-40B4-BE49-F238E27FC236}">
              <a16:creationId xmlns:a16="http://schemas.microsoft.com/office/drawing/2014/main" id="{B5CD63B8-F8DB-41BC-A719-E9BF051D8EB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60" name="Text Box 1">
          <a:extLst>
            <a:ext uri="{FF2B5EF4-FFF2-40B4-BE49-F238E27FC236}">
              <a16:creationId xmlns:a16="http://schemas.microsoft.com/office/drawing/2014/main" id="{27C68D43-63D7-445B-BBE9-8DC145B87EB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61" name="Text Box 1">
          <a:extLst>
            <a:ext uri="{FF2B5EF4-FFF2-40B4-BE49-F238E27FC236}">
              <a16:creationId xmlns:a16="http://schemas.microsoft.com/office/drawing/2014/main" id="{366C8F6F-017B-48CD-AE2B-4C8F0A85087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62" name="Text Box 1">
          <a:extLst>
            <a:ext uri="{FF2B5EF4-FFF2-40B4-BE49-F238E27FC236}">
              <a16:creationId xmlns:a16="http://schemas.microsoft.com/office/drawing/2014/main" id="{25063011-FF1E-489F-B852-84D4AD1487D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63" name="Text Box 1">
          <a:extLst>
            <a:ext uri="{FF2B5EF4-FFF2-40B4-BE49-F238E27FC236}">
              <a16:creationId xmlns:a16="http://schemas.microsoft.com/office/drawing/2014/main" id="{78F4C488-3ACA-41CC-B5A7-215F1F1EDCF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64" name="Text Box 1">
          <a:extLst>
            <a:ext uri="{FF2B5EF4-FFF2-40B4-BE49-F238E27FC236}">
              <a16:creationId xmlns:a16="http://schemas.microsoft.com/office/drawing/2014/main" id="{046E88E6-69EA-489E-8102-7A98F48C208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65" name="Text Box 1">
          <a:extLst>
            <a:ext uri="{FF2B5EF4-FFF2-40B4-BE49-F238E27FC236}">
              <a16:creationId xmlns:a16="http://schemas.microsoft.com/office/drawing/2014/main" id="{FFAFA89F-145C-43A8-9950-ECE08A59511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66" name="Text Box 1">
          <a:extLst>
            <a:ext uri="{FF2B5EF4-FFF2-40B4-BE49-F238E27FC236}">
              <a16:creationId xmlns:a16="http://schemas.microsoft.com/office/drawing/2014/main" id="{6D97E3E2-AA35-48AC-ACAB-C802BCD2C71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67" name="Text Box 1">
          <a:extLst>
            <a:ext uri="{FF2B5EF4-FFF2-40B4-BE49-F238E27FC236}">
              <a16:creationId xmlns:a16="http://schemas.microsoft.com/office/drawing/2014/main" id="{1BE30A60-7E55-4D91-9A5E-B107DE37A65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68" name="Text Box 1">
          <a:extLst>
            <a:ext uri="{FF2B5EF4-FFF2-40B4-BE49-F238E27FC236}">
              <a16:creationId xmlns:a16="http://schemas.microsoft.com/office/drawing/2014/main" id="{4BA89C96-5A9C-4B74-A2D0-B0205AF31BD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69" name="Text Box 1">
          <a:extLst>
            <a:ext uri="{FF2B5EF4-FFF2-40B4-BE49-F238E27FC236}">
              <a16:creationId xmlns:a16="http://schemas.microsoft.com/office/drawing/2014/main" id="{629C118F-FB25-49D0-A5A6-6DC4AD9894A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70" name="Text Box 1">
          <a:extLst>
            <a:ext uri="{FF2B5EF4-FFF2-40B4-BE49-F238E27FC236}">
              <a16:creationId xmlns:a16="http://schemas.microsoft.com/office/drawing/2014/main" id="{66CDE9D2-D977-4BDF-B7E4-96222811778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71" name="Text Box 1">
          <a:extLst>
            <a:ext uri="{FF2B5EF4-FFF2-40B4-BE49-F238E27FC236}">
              <a16:creationId xmlns:a16="http://schemas.microsoft.com/office/drawing/2014/main" id="{BAD05DDD-25F4-4430-B144-E60C7AACD16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72" name="Text Box 1">
          <a:extLst>
            <a:ext uri="{FF2B5EF4-FFF2-40B4-BE49-F238E27FC236}">
              <a16:creationId xmlns:a16="http://schemas.microsoft.com/office/drawing/2014/main" id="{5E98C698-0F54-4D1E-B7E9-89A8BF349DD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73" name="Text Box 1">
          <a:extLst>
            <a:ext uri="{FF2B5EF4-FFF2-40B4-BE49-F238E27FC236}">
              <a16:creationId xmlns:a16="http://schemas.microsoft.com/office/drawing/2014/main" id="{E94E8CB0-CF9A-46A1-B119-C68CDECA4C0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74" name="Text Box 1">
          <a:extLst>
            <a:ext uri="{FF2B5EF4-FFF2-40B4-BE49-F238E27FC236}">
              <a16:creationId xmlns:a16="http://schemas.microsoft.com/office/drawing/2014/main" id="{1DDF9587-6D74-47DD-87A1-F0280A9C147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75" name="Text Box 1">
          <a:extLst>
            <a:ext uri="{FF2B5EF4-FFF2-40B4-BE49-F238E27FC236}">
              <a16:creationId xmlns:a16="http://schemas.microsoft.com/office/drawing/2014/main" id="{40BACFBD-8D82-48EC-9E87-87A36727B62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76" name="Text Box 1">
          <a:extLst>
            <a:ext uri="{FF2B5EF4-FFF2-40B4-BE49-F238E27FC236}">
              <a16:creationId xmlns:a16="http://schemas.microsoft.com/office/drawing/2014/main" id="{09C0AA49-38E7-474A-9A24-C390979174A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77" name="Text Box 1">
          <a:extLst>
            <a:ext uri="{FF2B5EF4-FFF2-40B4-BE49-F238E27FC236}">
              <a16:creationId xmlns:a16="http://schemas.microsoft.com/office/drawing/2014/main" id="{91D0E886-47FC-4E67-8612-08D9393933C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78" name="Text Box 1">
          <a:extLst>
            <a:ext uri="{FF2B5EF4-FFF2-40B4-BE49-F238E27FC236}">
              <a16:creationId xmlns:a16="http://schemas.microsoft.com/office/drawing/2014/main" id="{E7999CD5-73A3-465D-B92D-39D5A8658E0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79" name="Text Box 1">
          <a:extLst>
            <a:ext uri="{FF2B5EF4-FFF2-40B4-BE49-F238E27FC236}">
              <a16:creationId xmlns:a16="http://schemas.microsoft.com/office/drawing/2014/main" id="{27E42A04-E9C8-4EFF-B02E-EA9F27706FA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80" name="Text Box 1">
          <a:extLst>
            <a:ext uri="{FF2B5EF4-FFF2-40B4-BE49-F238E27FC236}">
              <a16:creationId xmlns:a16="http://schemas.microsoft.com/office/drawing/2014/main" id="{2A4E1CA8-9586-43D8-BD60-B0A3F3B70EA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81" name="Text Box 1">
          <a:extLst>
            <a:ext uri="{FF2B5EF4-FFF2-40B4-BE49-F238E27FC236}">
              <a16:creationId xmlns:a16="http://schemas.microsoft.com/office/drawing/2014/main" id="{5BFA3279-D1C6-4F34-B352-E285B4779D4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82" name="Text Box 1">
          <a:extLst>
            <a:ext uri="{FF2B5EF4-FFF2-40B4-BE49-F238E27FC236}">
              <a16:creationId xmlns:a16="http://schemas.microsoft.com/office/drawing/2014/main" id="{E2805C1C-9301-4463-83AF-BE06C4EFA96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83" name="Text Box 1">
          <a:extLst>
            <a:ext uri="{FF2B5EF4-FFF2-40B4-BE49-F238E27FC236}">
              <a16:creationId xmlns:a16="http://schemas.microsoft.com/office/drawing/2014/main" id="{926CCD76-6AE8-4F9C-9F99-84B48D46C85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84" name="Text Box 1">
          <a:extLst>
            <a:ext uri="{FF2B5EF4-FFF2-40B4-BE49-F238E27FC236}">
              <a16:creationId xmlns:a16="http://schemas.microsoft.com/office/drawing/2014/main" id="{8B5BF290-6AF0-4523-AB46-588066D0387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85" name="Text Box 1">
          <a:extLst>
            <a:ext uri="{FF2B5EF4-FFF2-40B4-BE49-F238E27FC236}">
              <a16:creationId xmlns:a16="http://schemas.microsoft.com/office/drawing/2014/main" id="{C2A45C79-C9D9-4F17-9C71-D18CE6A35FA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86" name="Text Box 1">
          <a:extLst>
            <a:ext uri="{FF2B5EF4-FFF2-40B4-BE49-F238E27FC236}">
              <a16:creationId xmlns:a16="http://schemas.microsoft.com/office/drawing/2014/main" id="{5CCEB50B-2CD7-4D3A-B125-767CC3A73C9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87" name="Text Box 1">
          <a:extLst>
            <a:ext uri="{FF2B5EF4-FFF2-40B4-BE49-F238E27FC236}">
              <a16:creationId xmlns:a16="http://schemas.microsoft.com/office/drawing/2014/main" id="{AAD4EC31-04C8-47DA-AE0D-F35C93C18B4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88" name="Text Box 1">
          <a:extLst>
            <a:ext uri="{FF2B5EF4-FFF2-40B4-BE49-F238E27FC236}">
              <a16:creationId xmlns:a16="http://schemas.microsoft.com/office/drawing/2014/main" id="{E5586FAD-DF6F-4026-A303-54FE38B1E94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89" name="Text Box 1">
          <a:extLst>
            <a:ext uri="{FF2B5EF4-FFF2-40B4-BE49-F238E27FC236}">
              <a16:creationId xmlns:a16="http://schemas.microsoft.com/office/drawing/2014/main" id="{50F2C847-2DFF-4D24-A71D-1E8AF0F98FE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90" name="Text Box 1">
          <a:extLst>
            <a:ext uri="{FF2B5EF4-FFF2-40B4-BE49-F238E27FC236}">
              <a16:creationId xmlns:a16="http://schemas.microsoft.com/office/drawing/2014/main" id="{7D1C9733-2CC3-45E2-B813-51D69D833A8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91" name="Text Box 1">
          <a:extLst>
            <a:ext uri="{FF2B5EF4-FFF2-40B4-BE49-F238E27FC236}">
              <a16:creationId xmlns:a16="http://schemas.microsoft.com/office/drawing/2014/main" id="{8625E7CA-5F72-435A-AB91-D89C5DD83F5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92" name="Text Box 1">
          <a:extLst>
            <a:ext uri="{FF2B5EF4-FFF2-40B4-BE49-F238E27FC236}">
              <a16:creationId xmlns:a16="http://schemas.microsoft.com/office/drawing/2014/main" id="{57920048-8F0F-4366-AAD6-A0AC2F5B333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93" name="Text Box 1">
          <a:extLst>
            <a:ext uri="{FF2B5EF4-FFF2-40B4-BE49-F238E27FC236}">
              <a16:creationId xmlns:a16="http://schemas.microsoft.com/office/drawing/2014/main" id="{C2A7B600-074E-481B-9757-364CE814F6F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94" name="Text Box 1">
          <a:extLst>
            <a:ext uri="{FF2B5EF4-FFF2-40B4-BE49-F238E27FC236}">
              <a16:creationId xmlns:a16="http://schemas.microsoft.com/office/drawing/2014/main" id="{78B92AA0-BA88-4FCA-A753-33D3B2BDFF2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95" name="Text Box 1">
          <a:extLst>
            <a:ext uri="{FF2B5EF4-FFF2-40B4-BE49-F238E27FC236}">
              <a16:creationId xmlns:a16="http://schemas.microsoft.com/office/drawing/2014/main" id="{6AA84782-B52A-498E-8C29-300792A59AF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96" name="Text Box 1">
          <a:extLst>
            <a:ext uri="{FF2B5EF4-FFF2-40B4-BE49-F238E27FC236}">
              <a16:creationId xmlns:a16="http://schemas.microsoft.com/office/drawing/2014/main" id="{4BEAAAA2-0A8A-4FFA-97C4-D2D879812BC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97" name="Text Box 1">
          <a:extLst>
            <a:ext uri="{FF2B5EF4-FFF2-40B4-BE49-F238E27FC236}">
              <a16:creationId xmlns:a16="http://schemas.microsoft.com/office/drawing/2014/main" id="{52830B51-0B84-43A7-BF3D-036BDFF1597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98" name="Text Box 1">
          <a:extLst>
            <a:ext uri="{FF2B5EF4-FFF2-40B4-BE49-F238E27FC236}">
              <a16:creationId xmlns:a16="http://schemas.microsoft.com/office/drawing/2014/main" id="{D37861A8-87AE-4A4B-ADB3-016ECF80656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599" name="Text Box 1">
          <a:extLst>
            <a:ext uri="{FF2B5EF4-FFF2-40B4-BE49-F238E27FC236}">
              <a16:creationId xmlns:a16="http://schemas.microsoft.com/office/drawing/2014/main" id="{4D4AA1F4-9F23-4D78-8D3D-5D32C640B11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00" name="Text Box 1">
          <a:extLst>
            <a:ext uri="{FF2B5EF4-FFF2-40B4-BE49-F238E27FC236}">
              <a16:creationId xmlns:a16="http://schemas.microsoft.com/office/drawing/2014/main" id="{D3D327F7-A260-4838-B544-F067892DE2B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01" name="Text Box 1">
          <a:extLst>
            <a:ext uri="{FF2B5EF4-FFF2-40B4-BE49-F238E27FC236}">
              <a16:creationId xmlns:a16="http://schemas.microsoft.com/office/drawing/2014/main" id="{4C49E98F-3015-4F82-9E36-0F5A5ED9477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02" name="Text Box 1">
          <a:extLst>
            <a:ext uri="{FF2B5EF4-FFF2-40B4-BE49-F238E27FC236}">
              <a16:creationId xmlns:a16="http://schemas.microsoft.com/office/drawing/2014/main" id="{450224A6-2D39-449C-A77D-6EBF00FE258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03" name="Text Box 1">
          <a:extLst>
            <a:ext uri="{FF2B5EF4-FFF2-40B4-BE49-F238E27FC236}">
              <a16:creationId xmlns:a16="http://schemas.microsoft.com/office/drawing/2014/main" id="{8149F6F4-A01C-47FD-A117-8E77EEA74C4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04" name="Text Box 1">
          <a:extLst>
            <a:ext uri="{FF2B5EF4-FFF2-40B4-BE49-F238E27FC236}">
              <a16:creationId xmlns:a16="http://schemas.microsoft.com/office/drawing/2014/main" id="{AF81221E-A40A-4D6A-9CDC-920B1585A80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05" name="Text Box 1">
          <a:extLst>
            <a:ext uri="{FF2B5EF4-FFF2-40B4-BE49-F238E27FC236}">
              <a16:creationId xmlns:a16="http://schemas.microsoft.com/office/drawing/2014/main" id="{B958E44F-545D-437C-A95D-681F9EC107D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06" name="Text Box 1">
          <a:extLst>
            <a:ext uri="{FF2B5EF4-FFF2-40B4-BE49-F238E27FC236}">
              <a16:creationId xmlns:a16="http://schemas.microsoft.com/office/drawing/2014/main" id="{2EEA1183-A64F-4241-8A6D-13F081CC71B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07" name="Text Box 1">
          <a:extLst>
            <a:ext uri="{FF2B5EF4-FFF2-40B4-BE49-F238E27FC236}">
              <a16:creationId xmlns:a16="http://schemas.microsoft.com/office/drawing/2014/main" id="{0684D973-399D-4ABE-97F8-C5934E2FBC9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08" name="Text Box 1">
          <a:extLst>
            <a:ext uri="{FF2B5EF4-FFF2-40B4-BE49-F238E27FC236}">
              <a16:creationId xmlns:a16="http://schemas.microsoft.com/office/drawing/2014/main" id="{1C2EDE66-FACE-4514-A686-18BE7FB582C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09" name="Text Box 1">
          <a:extLst>
            <a:ext uri="{FF2B5EF4-FFF2-40B4-BE49-F238E27FC236}">
              <a16:creationId xmlns:a16="http://schemas.microsoft.com/office/drawing/2014/main" id="{247655A1-7A19-4C84-B2DD-180B5BD86EA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10" name="Text Box 1">
          <a:extLst>
            <a:ext uri="{FF2B5EF4-FFF2-40B4-BE49-F238E27FC236}">
              <a16:creationId xmlns:a16="http://schemas.microsoft.com/office/drawing/2014/main" id="{FA59DB8B-D95A-49DA-BC82-DAE6D348DF1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11" name="Text Box 1">
          <a:extLst>
            <a:ext uri="{FF2B5EF4-FFF2-40B4-BE49-F238E27FC236}">
              <a16:creationId xmlns:a16="http://schemas.microsoft.com/office/drawing/2014/main" id="{41BE0156-6AAE-4538-84FF-37145646DCE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12" name="Text Box 1">
          <a:extLst>
            <a:ext uri="{FF2B5EF4-FFF2-40B4-BE49-F238E27FC236}">
              <a16:creationId xmlns:a16="http://schemas.microsoft.com/office/drawing/2014/main" id="{4CD23B14-26A5-440D-AB45-D7887537B52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13" name="Text Box 1">
          <a:extLst>
            <a:ext uri="{FF2B5EF4-FFF2-40B4-BE49-F238E27FC236}">
              <a16:creationId xmlns:a16="http://schemas.microsoft.com/office/drawing/2014/main" id="{B7824B9F-8BDE-4B1C-8837-F35F799BA15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14" name="Text Box 1">
          <a:extLst>
            <a:ext uri="{FF2B5EF4-FFF2-40B4-BE49-F238E27FC236}">
              <a16:creationId xmlns:a16="http://schemas.microsoft.com/office/drawing/2014/main" id="{D9C91CD6-25F4-4951-B9CB-431D9D4EDC3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15" name="Text Box 1">
          <a:extLst>
            <a:ext uri="{FF2B5EF4-FFF2-40B4-BE49-F238E27FC236}">
              <a16:creationId xmlns:a16="http://schemas.microsoft.com/office/drawing/2014/main" id="{9383D6F5-C48A-4AD1-9C52-47CB6BAF7C0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16" name="Text Box 1">
          <a:extLst>
            <a:ext uri="{FF2B5EF4-FFF2-40B4-BE49-F238E27FC236}">
              <a16:creationId xmlns:a16="http://schemas.microsoft.com/office/drawing/2014/main" id="{7BDBF3CA-76F7-43FF-965F-73CC12AB62B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17" name="Text Box 1">
          <a:extLst>
            <a:ext uri="{FF2B5EF4-FFF2-40B4-BE49-F238E27FC236}">
              <a16:creationId xmlns:a16="http://schemas.microsoft.com/office/drawing/2014/main" id="{2F23A815-3824-4591-9F5D-DB9E3FDA48F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18" name="Text Box 1">
          <a:extLst>
            <a:ext uri="{FF2B5EF4-FFF2-40B4-BE49-F238E27FC236}">
              <a16:creationId xmlns:a16="http://schemas.microsoft.com/office/drawing/2014/main" id="{D6388BD4-4E4F-4027-A691-399AC8C4BAB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19" name="Text Box 1">
          <a:extLst>
            <a:ext uri="{FF2B5EF4-FFF2-40B4-BE49-F238E27FC236}">
              <a16:creationId xmlns:a16="http://schemas.microsoft.com/office/drawing/2014/main" id="{0F38DE19-82A9-4839-9E69-FA97D87F3CA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20" name="Text Box 1">
          <a:extLst>
            <a:ext uri="{FF2B5EF4-FFF2-40B4-BE49-F238E27FC236}">
              <a16:creationId xmlns:a16="http://schemas.microsoft.com/office/drawing/2014/main" id="{66CFF5D7-C110-48C4-873B-FBB664F0F7C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21" name="Text Box 1">
          <a:extLst>
            <a:ext uri="{FF2B5EF4-FFF2-40B4-BE49-F238E27FC236}">
              <a16:creationId xmlns:a16="http://schemas.microsoft.com/office/drawing/2014/main" id="{036487EE-9175-4CDB-8136-9F8DB37E528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22" name="Text Box 1">
          <a:extLst>
            <a:ext uri="{FF2B5EF4-FFF2-40B4-BE49-F238E27FC236}">
              <a16:creationId xmlns:a16="http://schemas.microsoft.com/office/drawing/2014/main" id="{D1A92B08-9EF5-4DBF-B5D4-0D62A5B881C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23" name="Text Box 1">
          <a:extLst>
            <a:ext uri="{FF2B5EF4-FFF2-40B4-BE49-F238E27FC236}">
              <a16:creationId xmlns:a16="http://schemas.microsoft.com/office/drawing/2014/main" id="{89D78FBE-2DA2-4CDD-A94B-B154C22145F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24" name="Text Box 1">
          <a:extLst>
            <a:ext uri="{FF2B5EF4-FFF2-40B4-BE49-F238E27FC236}">
              <a16:creationId xmlns:a16="http://schemas.microsoft.com/office/drawing/2014/main" id="{E7601C17-1610-45E3-A440-6553CFD9FF2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25" name="Text Box 1">
          <a:extLst>
            <a:ext uri="{FF2B5EF4-FFF2-40B4-BE49-F238E27FC236}">
              <a16:creationId xmlns:a16="http://schemas.microsoft.com/office/drawing/2014/main" id="{CC946A46-0398-4DEB-8431-84B4B42BAE0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26" name="Text Box 1">
          <a:extLst>
            <a:ext uri="{FF2B5EF4-FFF2-40B4-BE49-F238E27FC236}">
              <a16:creationId xmlns:a16="http://schemas.microsoft.com/office/drawing/2014/main" id="{1FC1FDA6-8F65-48B3-9B94-1DEA0E23CAC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27" name="Text Box 1">
          <a:extLst>
            <a:ext uri="{FF2B5EF4-FFF2-40B4-BE49-F238E27FC236}">
              <a16:creationId xmlns:a16="http://schemas.microsoft.com/office/drawing/2014/main" id="{3C5485C9-4067-45DA-ADA5-52250B0FBDF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28" name="Text Box 1">
          <a:extLst>
            <a:ext uri="{FF2B5EF4-FFF2-40B4-BE49-F238E27FC236}">
              <a16:creationId xmlns:a16="http://schemas.microsoft.com/office/drawing/2014/main" id="{0E6B3863-AC16-45AC-B5BF-452F3F6A7B4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29" name="Text Box 1">
          <a:extLst>
            <a:ext uri="{FF2B5EF4-FFF2-40B4-BE49-F238E27FC236}">
              <a16:creationId xmlns:a16="http://schemas.microsoft.com/office/drawing/2014/main" id="{4ED4DA5A-7F49-42C3-A3C4-6A6EF163004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30" name="Text Box 1">
          <a:extLst>
            <a:ext uri="{FF2B5EF4-FFF2-40B4-BE49-F238E27FC236}">
              <a16:creationId xmlns:a16="http://schemas.microsoft.com/office/drawing/2014/main" id="{1F217162-3FD8-4182-BDED-3FDD8689E05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31" name="Text Box 1">
          <a:extLst>
            <a:ext uri="{FF2B5EF4-FFF2-40B4-BE49-F238E27FC236}">
              <a16:creationId xmlns:a16="http://schemas.microsoft.com/office/drawing/2014/main" id="{5F2FD15C-64DE-4FA6-87A6-B1FBFD0A65F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32" name="Text Box 1">
          <a:extLst>
            <a:ext uri="{FF2B5EF4-FFF2-40B4-BE49-F238E27FC236}">
              <a16:creationId xmlns:a16="http://schemas.microsoft.com/office/drawing/2014/main" id="{8B460D06-E14C-492E-988C-310A3D244C2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33" name="Text Box 1">
          <a:extLst>
            <a:ext uri="{FF2B5EF4-FFF2-40B4-BE49-F238E27FC236}">
              <a16:creationId xmlns:a16="http://schemas.microsoft.com/office/drawing/2014/main" id="{3B63E1C9-6B19-4FD0-BF18-7D3BF4E6885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34" name="Text Box 1">
          <a:extLst>
            <a:ext uri="{FF2B5EF4-FFF2-40B4-BE49-F238E27FC236}">
              <a16:creationId xmlns:a16="http://schemas.microsoft.com/office/drawing/2014/main" id="{C31C0A13-6BAD-40FE-99BA-07436D185EC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35" name="Text Box 1">
          <a:extLst>
            <a:ext uri="{FF2B5EF4-FFF2-40B4-BE49-F238E27FC236}">
              <a16:creationId xmlns:a16="http://schemas.microsoft.com/office/drawing/2014/main" id="{8C8F47D6-1D11-4A68-8BC2-BFBD7F879F7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36" name="Text Box 1">
          <a:extLst>
            <a:ext uri="{FF2B5EF4-FFF2-40B4-BE49-F238E27FC236}">
              <a16:creationId xmlns:a16="http://schemas.microsoft.com/office/drawing/2014/main" id="{FC4BF0BB-8921-4888-A1A4-A3B570D7BC7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37" name="Text Box 1">
          <a:extLst>
            <a:ext uri="{FF2B5EF4-FFF2-40B4-BE49-F238E27FC236}">
              <a16:creationId xmlns:a16="http://schemas.microsoft.com/office/drawing/2014/main" id="{D03654D8-1721-4976-BDA0-5EBE506D847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38" name="Text Box 1">
          <a:extLst>
            <a:ext uri="{FF2B5EF4-FFF2-40B4-BE49-F238E27FC236}">
              <a16:creationId xmlns:a16="http://schemas.microsoft.com/office/drawing/2014/main" id="{65C813F5-4CC0-4F30-BDFF-DD1C65E37BF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39" name="Text Box 1">
          <a:extLst>
            <a:ext uri="{FF2B5EF4-FFF2-40B4-BE49-F238E27FC236}">
              <a16:creationId xmlns:a16="http://schemas.microsoft.com/office/drawing/2014/main" id="{EC0A4264-91CD-4031-8834-15CC9594523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40" name="Text Box 1">
          <a:extLst>
            <a:ext uri="{FF2B5EF4-FFF2-40B4-BE49-F238E27FC236}">
              <a16:creationId xmlns:a16="http://schemas.microsoft.com/office/drawing/2014/main" id="{608DDF3D-185C-488C-98FF-EF6B100017F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41" name="Text Box 1">
          <a:extLst>
            <a:ext uri="{FF2B5EF4-FFF2-40B4-BE49-F238E27FC236}">
              <a16:creationId xmlns:a16="http://schemas.microsoft.com/office/drawing/2014/main" id="{102CDE3C-F3BA-450F-B8B4-ED341B6ED0F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42" name="Text Box 1">
          <a:extLst>
            <a:ext uri="{FF2B5EF4-FFF2-40B4-BE49-F238E27FC236}">
              <a16:creationId xmlns:a16="http://schemas.microsoft.com/office/drawing/2014/main" id="{E4862711-BAB2-488C-A6BB-46FD7E3D0A8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43" name="Text Box 1">
          <a:extLst>
            <a:ext uri="{FF2B5EF4-FFF2-40B4-BE49-F238E27FC236}">
              <a16:creationId xmlns:a16="http://schemas.microsoft.com/office/drawing/2014/main" id="{66567F4A-DEA5-49DF-B5E3-FF0FCA197D7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44" name="Text Box 1">
          <a:extLst>
            <a:ext uri="{FF2B5EF4-FFF2-40B4-BE49-F238E27FC236}">
              <a16:creationId xmlns:a16="http://schemas.microsoft.com/office/drawing/2014/main" id="{2A9EBED2-D16D-4BBE-8C8D-8E708CE2F60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45" name="Text Box 1">
          <a:extLst>
            <a:ext uri="{FF2B5EF4-FFF2-40B4-BE49-F238E27FC236}">
              <a16:creationId xmlns:a16="http://schemas.microsoft.com/office/drawing/2014/main" id="{5FF05369-A683-4221-90D9-124B6DA5E2F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46" name="Text Box 1">
          <a:extLst>
            <a:ext uri="{FF2B5EF4-FFF2-40B4-BE49-F238E27FC236}">
              <a16:creationId xmlns:a16="http://schemas.microsoft.com/office/drawing/2014/main" id="{360D73E4-6C1E-4DD7-A479-D0C6B7F4B55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47" name="Text Box 1">
          <a:extLst>
            <a:ext uri="{FF2B5EF4-FFF2-40B4-BE49-F238E27FC236}">
              <a16:creationId xmlns:a16="http://schemas.microsoft.com/office/drawing/2014/main" id="{B9271A4D-ECC6-41A8-A36A-96BCC69D9C2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48" name="Text Box 1">
          <a:extLst>
            <a:ext uri="{FF2B5EF4-FFF2-40B4-BE49-F238E27FC236}">
              <a16:creationId xmlns:a16="http://schemas.microsoft.com/office/drawing/2014/main" id="{A99FDC88-546F-48EF-9F68-8D1852D8889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49" name="Text Box 1">
          <a:extLst>
            <a:ext uri="{FF2B5EF4-FFF2-40B4-BE49-F238E27FC236}">
              <a16:creationId xmlns:a16="http://schemas.microsoft.com/office/drawing/2014/main" id="{38866D3A-A70A-44CD-900C-7310CEE73B8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50" name="Text Box 1">
          <a:extLst>
            <a:ext uri="{FF2B5EF4-FFF2-40B4-BE49-F238E27FC236}">
              <a16:creationId xmlns:a16="http://schemas.microsoft.com/office/drawing/2014/main" id="{A8ABAFE3-435A-4977-AAFE-BCD32E69967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51" name="Text Box 1">
          <a:extLst>
            <a:ext uri="{FF2B5EF4-FFF2-40B4-BE49-F238E27FC236}">
              <a16:creationId xmlns:a16="http://schemas.microsoft.com/office/drawing/2014/main" id="{97F5118F-B8DF-4002-996F-EB3BBB34EF1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52" name="Text Box 1">
          <a:extLst>
            <a:ext uri="{FF2B5EF4-FFF2-40B4-BE49-F238E27FC236}">
              <a16:creationId xmlns:a16="http://schemas.microsoft.com/office/drawing/2014/main" id="{9ABFD641-24E4-47CC-924D-377047BCDED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53" name="Text Box 1">
          <a:extLst>
            <a:ext uri="{FF2B5EF4-FFF2-40B4-BE49-F238E27FC236}">
              <a16:creationId xmlns:a16="http://schemas.microsoft.com/office/drawing/2014/main" id="{7BF47149-E910-4E31-9255-8FB28909068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54" name="Text Box 1">
          <a:extLst>
            <a:ext uri="{FF2B5EF4-FFF2-40B4-BE49-F238E27FC236}">
              <a16:creationId xmlns:a16="http://schemas.microsoft.com/office/drawing/2014/main" id="{614559E9-2A84-4BAB-A081-BD6923171F7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55" name="Text Box 1">
          <a:extLst>
            <a:ext uri="{FF2B5EF4-FFF2-40B4-BE49-F238E27FC236}">
              <a16:creationId xmlns:a16="http://schemas.microsoft.com/office/drawing/2014/main" id="{F44B4F29-2663-4469-A50A-139FA477DC6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56" name="Text Box 1">
          <a:extLst>
            <a:ext uri="{FF2B5EF4-FFF2-40B4-BE49-F238E27FC236}">
              <a16:creationId xmlns:a16="http://schemas.microsoft.com/office/drawing/2014/main" id="{EE1F27F6-6FC3-478B-9E74-17DF5F46F38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57" name="Text Box 1">
          <a:extLst>
            <a:ext uri="{FF2B5EF4-FFF2-40B4-BE49-F238E27FC236}">
              <a16:creationId xmlns:a16="http://schemas.microsoft.com/office/drawing/2014/main" id="{049215BC-F39A-4FD6-AE99-D3DB6FAF465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58" name="Text Box 1">
          <a:extLst>
            <a:ext uri="{FF2B5EF4-FFF2-40B4-BE49-F238E27FC236}">
              <a16:creationId xmlns:a16="http://schemas.microsoft.com/office/drawing/2014/main" id="{49AFE201-7A03-411A-9685-7A311F67EFE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59" name="Text Box 1">
          <a:extLst>
            <a:ext uri="{FF2B5EF4-FFF2-40B4-BE49-F238E27FC236}">
              <a16:creationId xmlns:a16="http://schemas.microsoft.com/office/drawing/2014/main" id="{BA14729D-800A-45F6-975E-238DCC667A5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60" name="Text Box 1">
          <a:extLst>
            <a:ext uri="{FF2B5EF4-FFF2-40B4-BE49-F238E27FC236}">
              <a16:creationId xmlns:a16="http://schemas.microsoft.com/office/drawing/2014/main" id="{D51BD24E-1AAE-4A0C-8BEF-E3AA053C7F2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61" name="Text Box 1">
          <a:extLst>
            <a:ext uri="{FF2B5EF4-FFF2-40B4-BE49-F238E27FC236}">
              <a16:creationId xmlns:a16="http://schemas.microsoft.com/office/drawing/2014/main" id="{1412D12B-93ED-41FA-92FD-CAA8EE07936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62" name="Text Box 1">
          <a:extLst>
            <a:ext uri="{FF2B5EF4-FFF2-40B4-BE49-F238E27FC236}">
              <a16:creationId xmlns:a16="http://schemas.microsoft.com/office/drawing/2014/main" id="{FDD73B37-DD4F-4DFB-9407-7C4192E9F3D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63" name="Text Box 1">
          <a:extLst>
            <a:ext uri="{FF2B5EF4-FFF2-40B4-BE49-F238E27FC236}">
              <a16:creationId xmlns:a16="http://schemas.microsoft.com/office/drawing/2014/main" id="{C9B714D3-B8E4-4458-974B-0DFA5419FCD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64" name="Text Box 1">
          <a:extLst>
            <a:ext uri="{FF2B5EF4-FFF2-40B4-BE49-F238E27FC236}">
              <a16:creationId xmlns:a16="http://schemas.microsoft.com/office/drawing/2014/main" id="{478A6E26-48BE-40AE-9EA1-84504592B58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65" name="Text Box 1">
          <a:extLst>
            <a:ext uri="{FF2B5EF4-FFF2-40B4-BE49-F238E27FC236}">
              <a16:creationId xmlns:a16="http://schemas.microsoft.com/office/drawing/2014/main" id="{33E29319-CCD1-405A-943E-428BAA2BFD0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66" name="Text Box 1">
          <a:extLst>
            <a:ext uri="{FF2B5EF4-FFF2-40B4-BE49-F238E27FC236}">
              <a16:creationId xmlns:a16="http://schemas.microsoft.com/office/drawing/2014/main" id="{BEDE107D-CF27-4730-AF86-54511216C9C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67" name="Text Box 1">
          <a:extLst>
            <a:ext uri="{FF2B5EF4-FFF2-40B4-BE49-F238E27FC236}">
              <a16:creationId xmlns:a16="http://schemas.microsoft.com/office/drawing/2014/main" id="{110F867A-321B-4088-B106-2351B5EB637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68" name="Text Box 1">
          <a:extLst>
            <a:ext uri="{FF2B5EF4-FFF2-40B4-BE49-F238E27FC236}">
              <a16:creationId xmlns:a16="http://schemas.microsoft.com/office/drawing/2014/main" id="{9AFCFBB5-14F7-4C1D-8C5C-A0C87016008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69" name="Text Box 1">
          <a:extLst>
            <a:ext uri="{FF2B5EF4-FFF2-40B4-BE49-F238E27FC236}">
              <a16:creationId xmlns:a16="http://schemas.microsoft.com/office/drawing/2014/main" id="{C09A1561-513B-43C6-B578-403250FEE65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70" name="Text Box 1">
          <a:extLst>
            <a:ext uri="{FF2B5EF4-FFF2-40B4-BE49-F238E27FC236}">
              <a16:creationId xmlns:a16="http://schemas.microsoft.com/office/drawing/2014/main" id="{4EF57CEB-6314-41E1-A1E8-C9561D619EE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71" name="Text Box 1">
          <a:extLst>
            <a:ext uri="{FF2B5EF4-FFF2-40B4-BE49-F238E27FC236}">
              <a16:creationId xmlns:a16="http://schemas.microsoft.com/office/drawing/2014/main" id="{9BD3E9A7-8449-4D28-86E0-7694F894178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72" name="Text Box 1">
          <a:extLst>
            <a:ext uri="{FF2B5EF4-FFF2-40B4-BE49-F238E27FC236}">
              <a16:creationId xmlns:a16="http://schemas.microsoft.com/office/drawing/2014/main" id="{ECCDB0B2-0D9A-47F0-9334-7A0F52AA174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73" name="Text Box 1">
          <a:extLst>
            <a:ext uri="{FF2B5EF4-FFF2-40B4-BE49-F238E27FC236}">
              <a16:creationId xmlns:a16="http://schemas.microsoft.com/office/drawing/2014/main" id="{A0809112-62B8-4703-8011-4DCDF41C9A0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74" name="Text Box 1">
          <a:extLst>
            <a:ext uri="{FF2B5EF4-FFF2-40B4-BE49-F238E27FC236}">
              <a16:creationId xmlns:a16="http://schemas.microsoft.com/office/drawing/2014/main" id="{24F0285E-5E51-4E93-A7EA-86AF2CDF016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75" name="Text Box 1">
          <a:extLst>
            <a:ext uri="{FF2B5EF4-FFF2-40B4-BE49-F238E27FC236}">
              <a16:creationId xmlns:a16="http://schemas.microsoft.com/office/drawing/2014/main" id="{C4717530-1100-432B-8A3F-08EB5A06A8D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76" name="Text Box 1">
          <a:extLst>
            <a:ext uri="{FF2B5EF4-FFF2-40B4-BE49-F238E27FC236}">
              <a16:creationId xmlns:a16="http://schemas.microsoft.com/office/drawing/2014/main" id="{F002AB61-40B7-4366-BA9E-4C15728A5C3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77" name="Text Box 1">
          <a:extLst>
            <a:ext uri="{FF2B5EF4-FFF2-40B4-BE49-F238E27FC236}">
              <a16:creationId xmlns:a16="http://schemas.microsoft.com/office/drawing/2014/main" id="{26E992D1-198D-4ECA-B1B5-B004C2ACF71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78" name="Text Box 1">
          <a:extLst>
            <a:ext uri="{FF2B5EF4-FFF2-40B4-BE49-F238E27FC236}">
              <a16:creationId xmlns:a16="http://schemas.microsoft.com/office/drawing/2014/main" id="{979D3694-B88D-42F0-8F61-089EFE4D718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79" name="Text Box 1">
          <a:extLst>
            <a:ext uri="{FF2B5EF4-FFF2-40B4-BE49-F238E27FC236}">
              <a16:creationId xmlns:a16="http://schemas.microsoft.com/office/drawing/2014/main" id="{273CC90B-81E4-4CA5-ADE6-D8B99C98589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80" name="Text Box 1">
          <a:extLst>
            <a:ext uri="{FF2B5EF4-FFF2-40B4-BE49-F238E27FC236}">
              <a16:creationId xmlns:a16="http://schemas.microsoft.com/office/drawing/2014/main" id="{450B2F57-50E3-4D7A-B8AB-ACD07B777E3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81" name="Text Box 1">
          <a:extLst>
            <a:ext uri="{FF2B5EF4-FFF2-40B4-BE49-F238E27FC236}">
              <a16:creationId xmlns:a16="http://schemas.microsoft.com/office/drawing/2014/main" id="{C1F0C8F4-A7A3-423C-8242-9611C4CB9CB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82" name="Text Box 1">
          <a:extLst>
            <a:ext uri="{FF2B5EF4-FFF2-40B4-BE49-F238E27FC236}">
              <a16:creationId xmlns:a16="http://schemas.microsoft.com/office/drawing/2014/main" id="{A0A8FFA2-3DC8-4030-9348-DF9D5D84303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83" name="Text Box 1">
          <a:extLst>
            <a:ext uri="{FF2B5EF4-FFF2-40B4-BE49-F238E27FC236}">
              <a16:creationId xmlns:a16="http://schemas.microsoft.com/office/drawing/2014/main" id="{A1E21799-C9F9-4A14-B217-7197D9D3DA7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84" name="Text Box 1">
          <a:extLst>
            <a:ext uri="{FF2B5EF4-FFF2-40B4-BE49-F238E27FC236}">
              <a16:creationId xmlns:a16="http://schemas.microsoft.com/office/drawing/2014/main" id="{6678AC6D-4500-4678-9CD1-83EC8E18700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85" name="Text Box 1">
          <a:extLst>
            <a:ext uri="{FF2B5EF4-FFF2-40B4-BE49-F238E27FC236}">
              <a16:creationId xmlns:a16="http://schemas.microsoft.com/office/drawing/2014/main" id="{CD1F5060-2C74-44E9-AD62-EBFA5D53588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86" name="Text Box 1">
          <a:extLst>
            <a:ext uri="{FF2B5EF4-FFF2-40B4-BE49-F238E27FC236}">
              <a16:creationId xmlns:a16="http://schemas.microsoft.com/office/drawing/2014/main" id="{8D7BA8AA-CA8A-44F4-AF6D-975ADDC8C8D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87" name="Text Box 1">
          <a:extLst>
            <a:ext uri="{FF2B5EF4-FFF2-40B4-BE49-F238E27FC236}">
              <a16:creationId xmlns:a16="http://schemas.microsoft.com/office/drawing/2014/main" id="{101DB82C-D69E-476A-8DB7-09A65A048D1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88" name="Text Box 1">
          <a:extLst>
            <a:ext uri="{FF2B5EF4-FFF2-40B4-BE49-F238E27FC236}">
              <a16:creationId xmlns:a16="http://schemas.microsoft.com/office/drawing/2014/main" id="{4F3FEAB5-FA1E-4CCB-9E4C-4D28867E798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89" name="Text Box 1">
          <a:extLst>
            <a:ext uri="{FF2B5EF4-FFF2-40B4-BE49-F238E27FC236}">
              <a16:creationId xmlns:a16="http://schemas.microsoft.com/office/drawing/2014/main" id="{26301E04-6B20-4593-9F06-1B9A637065A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90" name="Text Box 1">
          <a:extLst>
            <a:ext uri="{FF2B5EF4-FFF2-40B4-BE49-F238E27FC236}">
              <a16:creationId xmlns:a16="http://schemas.microsoft.com/office/drawing/2014/main" id="{F4A54786-F527-4C5C-A8B2-D9B4379E886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91" name="Text Box 1">
          <a:extLst>
            <a:ext uri="{FF2B5EF4-FFF2-40B4-BE49-F238E27FC236}">
              <a16:creationId xmlns:a16="http://schemas.microsoft.com/office/drawing/2014/main" id="{1A289CA8-FC26-409A-B11F-1A9A46C2223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92" name="Text Box 1">
          <a:extLst>
            <a:ext uri="{FF2B5EF4-FFF2-40B4-BE49-F238E27FC236}">
              <a16:creationId xmlns:a16="http://schemas.microsoft.com/office/drawing/2014/main" id="{9CA6D11B-C22F-40A7-9598-7BC76629953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93" name="Text Box 1">
          <a:extLst>
            <a:ext uri="{FF2B5EF4-FFF2-40B4-BE49-F238E27FC236}">
              <a16:creationId xmlns:a16="http://schemas.microsoft.com/office/drawing/2014/main" id="{192C3285-6D05-4B72-AF18-D708CCFC64E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94" name="Text Box 1">
          <a:extLst>
            <a:ext uri="{FF2B5EF4-FFF2-40B4-BE49-F238E27FC236}">
              <a16:creationId xmlns:a16="http://schemas.microsoft.com/office/drawing/2014/main" id="{782F9FFC-292E-4121-98F1-DF9F870DF79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95" name="Text Box 1">
          <a:extLst>
            <a:ext uri="{FF2B5EF4-FFF2-40B4-BE49-F238E27FC236}">
              <a16:creationId xmlns:a16="http://schemas.microsoft.com/office/drawing/2014/main" id="{57C6326E-15C7-402A-A4C1-7894C47C11F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96" name="Text Box 1">
          <a:extLst>
            <a:ext uri="{FF2B5EF4-FFF2-40B4-BE49-F238E27FC236}">
              <a16:creationId xmlns:a16="http://schemas.microsoft.com/office/drawing/2014/main" id="{2EA78AEF-A03F-4EC8-84DB-48090D40928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97" name="Text Box 1">
          <a:extLst>
            <a:ext uri="{FF2B5EF4-FFF2-40B4-BE49-F238E27FC236}">
              <a16:creationId xmlns:a16="http://schemas.microsoft.com/office/drawing/2014/main" id="{3AC0AD12-26D3-49E5-AF6A-992B78884F9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98" name="Text Box 1">
          <a:extLst>
            <a:ext uri="{FF2B5EF4-FFF2-40B4-BE49-F238E27FC236}">
              <a16:creationId xmlns:a16="http://schemas.microsoft.com/office/drawing/2014/main" id="{7B2B85B4-A8E0-464D-965B-410006A4A1C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699" name="Text Box 1">
          <a:extLst>
            <a:ext uri="{FF2B5EF4-FFF2-40B4-BE49-F238E27FC236}">
              <a16:creationId xmlns:a16="http://schemas.microsoft.com/office/drawing/2014/main" id="{BA21B0BF-619F-4EB7-9CD8-D8E0AF714F5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00" name="Text Box 1">
          <a:extLst>
            <a:ext uri="{FF2B5EF4-FFF2-40B4-BE49-F238E27FC236}">
              <a16:creationId xmlns:a16="http://schemas.microsoft.com/office/drawing/2014/main" id="{EE4FF6F7-637C-415D-999E-52C55BE9D4E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01" name="Text Box 1">
          <a:extLst>
            <a:ext uri="{FF2B5EF4-FFF2-40B4-BE49-F238E27FC236}">
              <a16:creationId xmlns:a16="http://schemas.microsoft.com/office/drawing/2014/main" id="{6B938C74-FECC-4AA5-B005-B592708A427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02" name="Text Box 1">
          <a:extLst>
            <a:ext uri="{FF2B5EF4-FFF2-40B4-BE49-F238E27FC236}">
              <a16:creationId xmlns:a16="http://schemas.microsoft.com/office/drawing/2014/main" id="{8529F888-66FF-4FC6-9EC9-24462014AF0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03" name="Text Box 1">
          <a:extLst>
            <a:ext uri="{FF2B5EF4-FFF2-40B4-BE49-F238E27FC236}">
              <a16:creationId xmlns:a16="http://schemas.microsoft.com/office/drawing/2014/main" id="{73CE2DB9-824F-4513-8E8B-77CEC51ECB5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04" name="Text Box 1">
          <a:extLst>
            <a:ext uri="{FF2B5EF4-FFF2-40B4-BE49-F238E27FC236}">
              <a16:creationId xmlns:a16="http://schemas.microsoft.com/office/drawing/2014/main" id="{0688ECCE-8F1C-45AC-9F4F-0E28FB05500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05" name="Text Box 1">
          <a:extLst>
            <a:ext uri="{FF2B5EF4-FFF2-40B4-BE49-F238E27FC236}">
              <a16:creationId xmlns:a16="http://schemas.microsoft.com/office/drawing/2014/main" id="{741D65F1-078E-4ABD-B318-634E211AE45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06" name="Text Box 1">
          <a:extLst>
            <a:ext uri="{FF2B5EF4-FFF2-40B4-BE49-F238E27FC236}">
              <a16:creationId xmlns:a16="http://schemas.microsoft.com/office/drawing/2014/main" id="{D0A464F2-C238-4B4D-86BA-B6E7A90D2EA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07" name="Text Box 1">
          <a:extLst>
            <a:ext uri="{FF2B5EF4-FFF2-40B4-BE49-F238E27FC236}">
              <a16:creationId xmlns:a16="http://schemas.microsoft.com/office/drawing/2014/main" id="{D3E94EAA-F82D-47F4-A4FE-FB90A50FF84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08" name="Text Box 1">
          <a:extLst>
            <a:ext uri="{FF2B5EF4-FFF2-40B4-BE49-F238E27FC236}">
              <a16:creationId xmlns:a16="http://schemas.microsoft.com/office/drawing/2014/main" id="{ABD890AE-A3CE-4A9F-AA5F-80984047C76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09" name="Text Box 1">
          <a:extLst>
            <a:ext uri="{FF2B5EF4-FFF2-40B4-BE49-F238E27FC236}">
              <a16:creationId xmlns:a16="http://schemas.microsoft.com/office/drawing/2014/main" id="{48FDEA37-588B-4826-87F4-00B11EF55E8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10" name="Text Box 1">
          <a:extLst>
            <a:ext uri="{FF2B5EF4-FFF2-40B4-BE49-F238E27FC236}">
              <a16:creationId xmlns:a16="http://schemas.microsoft.com/office/drawing/2014/main" id="{3926E726-4BEF-418A-9EE3-11D67239D98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11" name="Text Box 1">
          <a:extLst>
            <a:ext uri="{FF2B5EF4-FFF2-40B4-BE49-F238E27FC236}">
              <a16:creationId xmlns:a16="http://schemas.microsoft.com/office/drawing/2014/main" id="{8C8A25E1-ACD8-4AD9-B007-8A776274F05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12" name="Text Box 1">
          <a:extLst>
            <a:ext uri="{FF2B5EF4-FFF2-40B4-BE49-F238E27FC236}">
              <a16:creationId xmlns:a16="http://schemas.microsoft.com/office/drawing/2014/main" id="{5FD09AB7-61A3-4D6B-A25A-5A23FCF3BAE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13" name="Text Box 1">
          <a:extLst>
            <a:ext uri="{FF2B5EF4-FFF2-40B4-BE49-F238E27FC236}">
              <a16:creationId xmlns:a16="http://schemas.microsoft.com/office/drawing/2014/main" id="{B3C12D0F-EA51-4F2E-BC24-E869C2ADE7D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14" name="Text Box 1">
          <a:extLst>
            <a:ext uri="{FF2B5EF4-FFF2-40B4-BE49-F238E27FC236}">
              <a16:creationId xmlns:a16="http://schemas.microsoft.com/office/drawing/2014/main" id="{45188AF4-F180-49E2-813D-CDA76DE1DBC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15" name="Text Box 1">
          <a:extLst>
            <a:ext uri="{FF2B5EF4-FFF2-40B4-BE49-F238E27FC236}">
              <a16:creationId xmlns:a16="http://schemas.microsoft.com/office/drawing/2014/main" id="{841CA459-BBF5-4B81-8B1F-1FA005906E8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16" name="Text Box 1">
          <a:extLst>
            <a:ext uri="{FF2B5EF4-FFF2-40B4-BE49-F238E27FC236}">
              <a16:creationId xmlns:a16="http://schemas.microsoft.com/office/drawing/2014/main" id="{B4A81E28-D7F6-43EB-9130-955EC98347D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17" name="Text Box 1">
          <a:extLst>
            <a:ext uri="{FF2B5EF4-FFF2-40B4-BE49-F238E27FC236}">
              <a16:creationId xmlns:a16="http://schemas.microsoft.com/office/drawing/2014/main" id="{EC3F3580-B494-449A-81A3-9952540A3D7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18" name="Text Box 1">
          <a:extLst>
            <a:ext uri="{FF2B5EF4-FFF2-40B4-BE49-F238E27FC236}">
              <a16:creationId xmlns:a16="http://schemas.microsoft.com/office/drawing/2014/main" id="{813ABD1B-CBF5-457C-B7DF-D6B9C0D5C48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19" name="Text Box 1">
          <a:extLst>
            <a:ext uri="{FF2B5EF4-FFF2-40B4-BE49-F238E27FC236}">
              <a16:creationId xmlns:a16="http://schemas.microsoft.com/office/drawing/2014/main" id="{1EEE17C3-A869-4117-849C-5F0CA3034B6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20" name="Text Box 1">
          <a:extLst>
            <a:ext uri="{FF2B5EF4-FFF2-40B4-BE49-F238E27FC236}">
              <a16:creationId xmlns:a16="http://schemas.microsoft.com/office/drawing/2014/main" id="{810AB40F-4ACB-4ED1-8717-A752D61DE3F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21" name="Text Box 1">
          <a:extLst>
            <a:ext uri="{FF2B5EF4-FFF2-40B4-BE49-F238E27FC236}">
              <a16:creationId xmlns:a16="http://schemas.microsoft.com/office/drawing/2014/main" id="{7EDD27AC-04FB-42FC-B5C6-F1E377A3DA2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22" name="Text Box 1">
          <a:extLst>
            <a:ext uri="{FF2B5EF4-FFF2-40B4-BE49-F238E27FC236}">
              <a16:creationId xmlns:a16="http://schemas.microsoft.com/office/drawing/2014/main" id="{2F458D1A-A60E-405A-B74E-18BDF8E3812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23" name="Text Box 1">
          <a:extLst>
            <a:ext uri="{FF2B5EF4-FFF2-40B4-BE49-F238E27FC236}">
              <a16:creationId xmlns:a16="http://schemas.microsoft.com/office/drawing/2014/main" id="{C5B45674-AA62-4A47-AED8-BD900F71D07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24" name="Text Box 1">
          <a:extLst>
            <a:ext uri="{FF2B5EF4-FFF2-40B4-BE49-F238E27FC236}">
              <a16:creationId xmlns:a16="http://schemas.microsoft.com/office/drawing/2014/main" id="{27C6A72A-2027-4F43-8876-DEC551226DB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25" name="Text Box 1">
          <a:extLst>
            <a:ext uri="{FF2B5EF4-FFF2-40B4-BE49-F238E27FC236}">
              <a16:creationId xmlns:a16="http://schemas.microsoft.com/office/drawing/2014/main" id="{D4B9E327-F26D-45AD-B328-1FE3AE68D0B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26" name="Text Box 1">
          <a:extLst>
            <a:ext uri="{FF2B5EF4-FFF2-40B4-BE49-F238E27FC236}">
              <a16:creationId xmlns:a16="http://schemas.microsoft.com/office/drawing/2014/main" id="{E76C0400-081A-4783-AF29-0CFC265D39C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27" name="Text Box 1">
          <a:extLst>
            <a:ext uri="{FF2B5EF4-FFF2-40B4-BE49-F238E27FC236}">
              <a16:creationId xmlns:a16="http://schemas.microsoft.com/office/drawing/2014/main" id="{EE30320A-D201-4195-A128-5DAD9A21889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28" name="Text Box 1">
          <a:extLst>
            <a:ext uri="{FF2B5EF4-FFF2-40B4-BE49-F238E27FC236}">
              <a16:creationId xmlns:a16="http://schemas.microsoft.com/office/drawing/2014/main" id="{5D243E4D-EAE3-44BA-9B74-420B572C4D9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29" name="Text Box 1">
          <a:extLst>
            <a:ext uri="{FF2B5EF4-FFF2-40B4-BE49-F238E27FC236}">
              <a16:creationId xmlns:a16="http://schemas.microsoft.com/office/drawing/2014/main" id="{853C6A50-D2F9-4E08-8698-DD9F2CE15B8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30" name="Text Box 1">
          <a:extLst>
            <a:ext uri="{FF2B5EF4-FFF2-40B4-BE49-F238E27FC236}">
              <a16:creationId xmlns:a16="http://schemas.microsoft.com/office/drawing/2014/main" id="{77842768-B59F-4D8A-B030-14A26ECCBE1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31" name="Text Box 1">
          <a:extLst>
            <a:ext uri="{FF2B5EF4-FFF2-40B4-BE49-F238E27FC236}">
              <a16:creationId xmlns:a16="http://schemas.microsoft.com/office/drawing/2014/main" id="{BE59B5B1-A6FE-4E07-B804-784D3E39F4D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32" name="Text Box 1">
          <a:extLst>
            <a:ext uri="{FF2B5EF4-FFF2-40B4-BE49-F238E27FC236}">
              <a16:creationId xmlns:a16="http://schemas.microsoft.com/office/drawing/2014/main" id="{11E06F89-A48E-4F1E-8117-C4617D0BBFC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33" name="Text Box 1">
          <a:extLst>
            <a:ext uri="{FF2B5EF4-FFF2-40B4-BE49-F238E27FC236}">
              <a16:creationId xmlns:a16="http://schemas.microsoft.com/office/drawing/2014/main" id="{AAED9BDA-20A7-4D5B-8735-0F3B335DFAA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34" name="Text Box 1">
          <a:extLst>
            <a:ext uri="{FF2B5EF4-FFF2-40B4-BE49-F238E27FC236}">
              <a16:creationId xmlns:a16="http://schemas.microsoft.com/office/drawing/2014/main" id="{A13D343E-A151-4F0F-85B9-6FDD97F9745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35" name="Text Box 1">
          <a:extLst>
            <a:ext uri="{FF2B5EF4-FFF2-40B4-BE49-F238E27FC236}">
              <a16:creationId xmlns:a16="http://schemas.microsoft.com/office/drawing/2014/main" id="{900DA947-889E-47B7-AFB2-C8587E83229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36" name="Text Box 1">
          <a:extLst>
            <a:ext uri="{FF2B5EF4-FFF2-40B4-BE49-F238E27FC236}">
              <a16:creationId xmlns:a16="http://schemas.microsoft.com/office/drawing/2014/main" id="{D835DE21-0E9F-4944-9B66-6554B40392E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37" name="Text Box 1">
          <a:extLst>
            <a:ext uri="{FF2B5EF4-FFF2-40B4-BE49-F238E27FC236}">
              <a16:creationId xmlns:a16="http://schemas.microsoft.com/office/drawing/2014/main" id="{0FEEB1CE-7860-419B-963F-F86C426BE13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38" name="Text Box 1">
          <a:extLst>
            <a:ext uri="{FF2B5EF4-FFF2-40B4-BE49-F238E27FC236}">
              <a16:creationId xmlns:a16="http://schemas.microsoft.com/office/drawing/2014/main" id="{0EF10A7F-AA36-4C0D-BEBE-8D2F9050666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39" name="Text Box 1">
          <a:extLst>
            <a:ext uri="{FF2B5EF4-FFF2-40B4-BE49-F238E27FC236}">
              <a16:creationId xmlns:a16="http://schemas.microsoft.com/office/drawing/2014/main" id="{E55D2C30-E8A2-46ED-ABAF-3F8B55782CA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40" name="Text Box 1">
          <a:extLst>
            <a:ext uri="{FF2B5EF4-FFF2-40B4-BE49-F238E27FC236}">
              <a16:creationId xmlns:a16="http://schemas.microsoft.com/office/drawing/2014/main" id="{FF425A73-BFD7-4079-B45B-372E20F4D31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41" name="Text Box 1">
          <a:extLst>
            <a:ext uri="{FF2B5EF4-FFF2-40B4-BE49-F238E27FC236}">
              <a16:creationId xmlns:a16="http://schemas.microsoft.com/office/drawing/2014/main" id="{EF9E76A5-D336-4F77-8660-F1C6C189719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42" name="Text Box 1">
          <a:extLst>
            <a:ext uri="{FF2B5EF4-FFF2-40B4-BE49-F238E27FC236}">
              <a16:creationId xmlns:a16="http://schemas.microsoft.com/office/drawing/2014/main" id="{D321CC98-88BB-475C-BEB2-CFF4E0CE3C6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43" name="Text Box 1">
          <a:extLst>
            <a:ext uri="{FF2B5EF4-FFF2-40B4-BE49-F238E27FC236}">
              <a16:creationId xmlns:a16="http://schemas.microsoft.com/office/drawing/2014/main" id="{937F9596-324B-4106-AAE6-3E36BCF4FBF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44" name="Text Box 1">
          <a:extLst>
            <a:ext uri="{FF2B5EF4-FFF2-40B4-BE49-F238E27FC236}">
              <a16:creationId xmlns:a16="http://schemas.microsoft.com/office/drawing/2014/main" id="{9611C1B8-8018-440D-B349-7F4101493FD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45" name="Text Box 1">
          <a:extLst>
            <a:ext uri="{FF2B5EF4-FFF2-40B4-BE49-F238E27FC236}">
              <a16:creationId xmlns:a16="http://schemas.microsoft.com/office/drawing/2014/main" id="{3DBD8F5E-1375-4615-897B-E47793C0B42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46" name="Text Box 1">
          <a:extLst>
            <a:ext uri="{FF2B5EF4-FFF2-40B4-BE49-F238E27FC236}">
              <a16:creationId xmlns:a16="http://schemas.microsoft.com/office/drawing/2014/main" id="{18BA06FA-995F-41DB-800C-5FEFBF588D5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47" name="Text Box 1">
          <a:extLst>
            <a:ext uri="{FF2B5EF4-FFF2-40B4-BE49-F238E27FC236}">
              <a16:creationId xmlns:a16="http://schemas.microsoft.com/office/drawing/2014/main" id="{2CD9CB1B-E625-4056-A9ED-2B67622502D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48" name="Text Box 1">
          <a:extLst>
            <a:ext uri="{FF2B5EF4-FFF2-40B4-BE49-F238E27FC236}">
              <a16:creationId xmlns:a16="http://schemas.microsoft.com/office/drawing/2014/main" id="{78D3A783-4D0E-4ACD-ADC0-434098CC3D9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49" name="Text Box 1">
          <a:extLst>
            <a:ext uri="{FF2B5EF4-FFF2-40B4-BE49-F238E27FC236}">
              <a16:creationId xmlns:a16="http://schemas.microsoft.com/office/drawing/2014/main" id="{93F2030C-4BA0-41F2-A994-0FCE53EC8B5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50" name="Text Box 1">
          <a:extLst>
            <a:ext uri="{FF2B5EF4-FFF2-40B4-BE49-F238E27FC236}">
              <a16:creationId xmlns:a16="http://schemas.microsoft.com/office/drawing/2014/main" id="{186D40C8-7347-4374-9369-B7F9366FE62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51" name="Text Box 1">
          <a:extLst>
            <a:ext uri="{FF2B5EF4-FFF2-40B4-BE49-F238E27FC236}">
              <a16:creationId xmlns:a16="http://schemas.microsoft.com/office/drawing/2014/main" id="{8A1FCC23-1753-41E2-AAA4-11352617C51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52" name="Text Box 1">
          <a:extLst>
            <a:ext uri="{FF2B5EF4-FFF2-40B4-BE49-F238E27FC236}">
              <a16:creationId xmlns:a16="http://schemas.microsoft.com/office/drawing/2014/main" id="{110806F9-EBD5-4DFB-BCC0-232DE2301CA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53" name="Text Box 1">
          <a:extLst>
            <a:ext uri="{FF2B5EF4-FFF2-40B4-BE49-F238E27FC236}">
              <a16:creationId xmlns:a16="http://schemas.microsoft.com/office/drawing/2014/main" id="{67D640A5-8FE4-4CC5-B548-597C975AFE6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54" name="Text Box 1">
          <a:extLst>
            <a:ext uri="{FF2B5EF4-FFF2-40B4-BE49-F238E27FC236}">
              <a16:creationId xmlns:a16="http://schemas.microsoft.com/office/drawing/2014/main" id="{C97EF6CC-C697-4918-AD25-BB940FB5775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55" name="Text Box 1">
          <a:extLst>
            <a:ext uri="{FF2B5EF4-FFF2-40B4-BE49-F238E27FC236}">
              <a16:creationId xmlns:a16="http://schemas.microsoft.com/office/drawing/2014/main" id="{B61E132A-A039-4585-AFDA-951A9FC69E3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56" name="Text Box 1">
          <a:extLst>
            <a:ext uri="{FF2B5EF4-FFF2-40B4-BE49-F238E27FC236}">
              <a16:creationId xmlns:a16="http://schemas.microsoft.com/office/drawing/2014/main" id="{46A2B8B9-5CE1-40B8-ACF2-E4516B0378B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57" name="Text Box 1">
          <a:extLst>
            <a:ext uri="{FF2B5EF4-FFF2-40B4-BE49-F238E27FC236}">
              <a16:creationId xmlns:a16="http://schemas.microsoft.com/office/drawing/2014/main" id="{D0BFB716-1A9F-4D24-85E1-A7B4C6503EA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58" name="Text Box 1">
          <a:extLst>
            <a:ext uri="{FF2B5EF4-FFF2-40B4-BE49-F238E27FC236}">
              <a16:creationId xmlns:a16="http://schemas.microsoft.com/office/drawing/2014/main" id="{3F43EEB6-58BE-4CD8-A2A5-F0148FF625B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59" name="Text Box 1">
          <a:extLst>
            <a:ext uri="{FF2B5EF4-FFF2-40B4-BE49-F238E27FC236}">
              <a16:creationId xmlns:a16="http://schemas.microsoft.com/office/drawing/2014/main" id="{A9EBA5F9-7749-4951-BF57-C2087EA19FF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60" name="Text Box 1">
          <a:extLst>
            <a:ext uri="{FF2B5EF4-FFF2-40B4-BE49-F238E27FC236}">
              <a16:creationId xmlns:a16="http://schemas.microsoft.com/office/drawing/2014/main" id="{B4C5FBEC-751C-4F0B-ADB1-6EFF089FAD9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61" name="Text Box 1">
          <a:extLst>
            <a:ext uri="{FF2B5EF4-FFF2-40B4-BE49-F238E27FC236}">
              <a16:creationId xmlns:a16="http://schemas.microsoft.com/office/drawing/2014/main" id="{76E432A8-ADC2-42C2-B7CD-8AFB3721725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62" name="Text Box 1">
          <a:extLst>
            <a:ext uri="{FF2B5EF4-FFF2-40B4-BE49-F238E27FC236}">
              <a16:creationId xmlns:a16="http://schemas.microsoft.com/office/drawing/2014/main" id="{EFB151BF-CF87-40A1-A8D3-7D151A97423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63" name="Text Box 1">
          <a:extLst>
            <a:ext uri="{FF2B5EF4-FFF2-40B4-BE49-F238E27FC236}">
              <a16:creationId xmlns:a16="http://schemas.microsoft.com/office/drawing/2014/main" id="{8938DCAF-BC97-4EF6-B875-7DFB94F5E2C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64" name="Text Box 1">
          <a:extLst>
            <a:ext uri="{FF2B5EF4-FFF2-40B4-BE49-F238E27FC236}">
              <a16:creationId xmlns:a16="http://schemas.microsoft.com/office/drawing/2014/main" id="{1A897B31-D2F7-4847-A477-D99A650A433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65" name="Text Box 1">
          <a:extLst>
            <a:ext uri="{FF2B5EF4-FFF2-40B4-BE49-F238E27FC236}">
              <a16:creationId xmlns:a16="http://schemas.microsoft.com/office/drawing/2014/main" id="{418AF036-8A7F-4D4F-A8D3-9D8309735B9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66" name="Text Box 1">
          <a:extLst>
            <a:ext uri="{FF2B5EF4-FFF2-40B4-BE49-F238E27FC236}">
              <a16:creationId xmlns:a16="http://schemas.microsoft.com/office/drawing/2014/main" id="{4ED6A3D7-15D7-4458-9270-89771B9F917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67" name="Text Box 1">
          <a:extLst>
            <a:ext uri="{FF2B5EF4-FFF2-40B4-BE49-F238E27FC236}">
              <a16:creationId xmlns:a16="http://schemas.microsoft.com/office/drawing/2014/main" id="{F637FF00-3BD9-4898-84E9-0E260492E59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68" name="Text Box 1">
          <a:extLst>
            <a:ext uri="{FF2B5EF4-FFF2-40B4-BE49-F238E27FC236}">
              <a16:creationId xmlns:a16="http://schemas.microsoft.com/office/drawing/2014/main" id="{1008D386-3FE2-4167-9F49-4FBC889E832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69" name="Text Box 1">
          <a:extLst>
            <a:ext uri="{FF2B5EF4-FFF2-40B4-BE49-F238E27FC236}">
              <a16:creationId xmlns:a16="http://schemas.microsoft.com/office/drawing/2014/main" id="{07B749F9-34F8-417B-9081-A9799AF9F48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70" name="Text Box 1">
          <a:extLst>
            <a:ext uri="{FF2B5EF4-FFF2-40B4-BE49-F238E27FC236}">
              <a16:creationId xmlns:a16="http://schemas.microsoft.com/office/drawing/2014/main" id="{C7474D7C-A086-4D13-9550-9203691CACD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71" name="Text Box 1">
          <a:extLst>
            <a:ext uri="{FF2B5EF4-FFF2-40B4-BE49-F238E27FC236}">
              <a16:creationId xmlns:a16="http://schemas.microsoft.com/office/drawing/2014/main" id="{210688F0-2799-46D7-B1E0-22410A26AF4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72" name="Text Box 1">
          <a:extLst>
            <a:ext uri="{FF2B5EF4-FFF2-40B4-BE49-F238E27FC236}">
              <a16:creationId xmlns:a16="http://schemas.microsoft.com/office/drawing/2014/main" id="{B9214E94-5502-4D80-801B-CCCCF41B3D0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73" name="Text Box 1">
          <a:extLst>
            <a:ext uri="{FF2B5EF4-FFF2-40B4-BE49-F238E27FC236}">
              <a16:creationId xmlns:a16="http://schemas.microsoft.com/office/drawing/2014/main" id="{F19A90D3-C8D9-463F-BE7D-3BE290CC82B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74" name="Text Box 1">
          <a:extLst>
            <a:ext uri="{FF2B5EF4-FFF2-40B4-BE49-F238E27FC236}">
              <a16:creationId xmlns:a16="http://schemas.microsoft.com/office/drawing/2014/main" id="{65C6ECCB-4A8C-4A16-BD3F-2BFC86475B1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75" name="Text Box 1">
          <a:extLst>
            <a:ext uri="{FF2B5EF4-FFF2-40B4-BE49-F238E27FC236}">
              <a16:creationId xmlns:a16="http://schemas.microsoft.com/office/drawing/2014/main" id="{C1554FF6-D470-4172-BCA2-38AF0AE4F8A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76" name="Text Box 1">
          <a:extLst>
            <a:ext uri="{FF2B5EF4-FFF2-40B4-BE49-F238E27FC236}">
              <a16:creationId xmlns:a16="http://schemas.microsoft.com/office/drawing/2014/main" id="{95E9D6D3-6188-43FE-A8FF-214BA557F07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77" name="Text Box 1">
          <a:extLst>
            <a:ext uri="{FF2B5EF4-FFF2-40B4-BE49-F238E27FC236}">
              <a16:creationId xmlns:a16="http://schemas.microsoft.com/office/drawing/2014/main" id="{3E994734-4BE3-4E66-9B38-E3719A0CFF1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78" name="Text Box 1">
          <a:extLst>
            <a:ext uri="{FF2B5EF4-FFF2-40B4-BE49-F238E27FC236}">
              <a16:creationId xmlns:a16="http://schemas.microsoft.com/office/drawing/2014/main" id="{334620CE-F556-44AC-A394-90B3F001458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79" name="Text Box 1">
          <a:extLst>
            <a:ext uri="{FF2B5EF4-FFF2-40B4-BE49-F238E27FC236}">
              <a16:creationId xmlns:a16="http://schemas.microsoft.com/office/drawing/2014/main" id="{0EF975D4-3510-45A9-B37D-944602F6456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80" name="Text Box 1">
          <a:extLst>
            <a:ext uri="{FF2B5EF4-FFF2-40B4-BE49-F238E27FC236}">
              <a16:creationId xmlns:a16="http://schemas.microsoft.com/office/drawing/2014/main" id="{15B1B9E5-D630-4166-987A-E4CCCCD49D7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81" name="Text Box 1">
          <a:extLst>
            <a:ext uri="{FF2B5EF4-FFF2-40B4-BE49-F238E27FC236}">
              <a16:creationId xmlns:a16="http://schemas.microsoft.com/office/drawing/2014/main" id="{000D0687-960E-40FE-A93F-80D32B1406A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82" name="Text Box 1">
          <a:extLst>
            <a:ext uri="{FF2B5EF4-FFF2-40B4-BE49-F238E27FC236}">
              <a16:creationId xmlns:a16="http://schemas.microsoft.com/office/drawing/2014/main" id="{8B90EAD2-6568-45D4-A8EC-5677504E82B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83" name="Text Box 1">
          <a:extLst>
            <a:ext uri="{FF2B5EF4-FFF2-40B4-BE49-F238E27FC236}">
              <a16:creationId xmlns:a16="http://schemas.microsoft.com/office/drawing/2014/main" id="{E1FD7FCA-AE46-4835-9BBB-EC3AF7D6A28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84" name="Text Box 1">
          <a:extLst>
            <a:ext uri="{FF2B5EF4-FFF2-40B4-BE49-F238E27FC236}">
              <a16:creationId xmlns:a16="http://schemas.microsoft.com/office/drawing/2014/main" id="{D1DFF9D4-31BC-4C96-AD30-F52F8BBC525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85" name="Text Box 1">
          <a:extLst>
            <a:ext uri="{FF2B5EF4-FFF2-40B4-BE49-F238E27FC236}">
              <a16:creationId xmlns:a16="http://schemas.microsoft.com/office/drawing/2014/main" id="{4B1FDC70-BC3C-49D4-913F-AC5B5C09EE8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86" name="Text Box 1">
          <a:extLst>
            <a:ext uri="{FF2B5EF4-FFF2-40B4-BE49-F238E27FC236}">
              <a16:creationId xmlns:a16="http://schemas.microsoft.com/office/drawing/2014/main" id="{02E634D8-7547-4C52-8EEF-8E02AECD2EC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87" name="Text Box 1">
          <a:extLst>
            <a:ext uri="{FF2B5EF4-FFF2-40B4-BE49-F238E27FC236}">
              <a16:creationId xmlns:a16="http://schemas.microsoft.com/office/drawing/2014/main" id="{EB20ED10-C7F2-43E1-9B6D-AF09A0DAF9F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88" name="Text Box 1">
          <a:extLst>
            <a:ext uri="{FF2B5EF4-FFF2-40B4-BE49-F238E27FC236}">
              <a16:creationId xmlns:a16="http://schemas.microsoft.com/office/drawing/2014/main" id="{FEA6FB9D-2A48-41DA-A52E-D165C2CD855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89" name="Text Box 1">
          <a:extLst>
            <a:ext uri="{FF2B5EF4-FFF2-40B4-BE49-F238E27FC236}">
              <a16:creationId xmlns:a16="http://schemas.microsoft.com/office/drawing/2014/main" id="{FB63B961-61BD-448B-A194-7E72046FEC2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90" name="Text Box 1">
          <a:extLst>
            <a:ext uri="{FF2B5EF4-FFF2-40B4-BE49-F238E27FC236}">
              <a16:creationId xmlns:a16="http://schemas.microsoft.com/office/drawing/2014/main" id="{E7152AC8-4784-435C-A2EB-BABB629714B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91" name="Text Box 1">
          <a:extLst>
            <a:ext uri="{FF2B5EF4-FFF2-40B4-BE49-F238E27FC236}">
              <a16:creationId xmlns:a16="http://schemas.microsoft.com/office/drawing/2014/main" id="{FB4B5172-B04A-467A-AC7E-21C6C4DFEC4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92" name="Text Box 1">
          <a:extLst>
            <a:ext uri="{FF2B5EF4-FFF2-40B4-BE49-F238E27FC236}">
              <a16:creationId xmlns:a16="http://schemas.microsoft.com/office/drawing/2014/main" id="{FF724A9C-863B-4E24-AE8B-ECA26A15ED3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93" name="Text Box 1">
          <a:extLst>
            <a:ext uri="{FF2B5EF4-FFF2-40B4-BE49-F238E27FC236}">
              <a16:creationId xmlns:a16="http://schemas.microsoft.com/office/drawing/2014/main" id="{AFBF477B-4254-4E8D-8763-966A7E5B760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94" name="Text Box 1">
          <a:extLst>
            <a:ext uri="{FF2B5EF4-FFF2-40B4-BE49-F238E27FC236}">
              <a16:creationId xmlns:a16="http://schemas.microsoft.com/office/drawing/2014/main" id="{EFEA1A71-FB05-48D9-9F80-966C3BF0ADF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95" name="Text Box 1">
          <a:extLst>
            <a:ext uri="{FF2B5EF4-FFF2-40B4-BE49-F238E27FC236}">
              <a16:creationId xmlns:a16="http://schemas.microsoft.com/office/drawing/2014/main" id="{9600B8A0-5BF3-44CD-8061-6869550ECDF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96" name="Text Box 1">
          <a:extLst>
            <a:ext uri="{FF2B5EF4-FFF2-40B4-BE49-F238E27FC236}">
              <a16:creationId xmlns:a16="http://schemas.microsoft.com/office/drawing/2014/main" id="{40833F75-AF94-4263-A032-128BCB1D9F9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97" name="Text Box 1">
          <a:extLst>
            <a:ext uri="{FF2B5EF4-FFF2-40B4-BE49-F238E27FC236}">
              <a16:creationId xmlns:a16="http://schemas.microsoft.com/office/drawing/2014/main" id="{F2D5ACAD-FFFE-4F81-95F7-E61262F0F5E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98" name="Text Box 1">
          <a:extLst>
            <a:ext uri="{FF2B5EF4-FFF2-40B4-BE49-F238E27FC236}">
              <a16:creationId xmlns:a16="http://schemas.microsoft.com/office/drawing/2014/main" id="{C1FA9F35-690B-496F-9294-0642C4CAEBB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799" name="Text Box 1">
          <a:extLst>
            <a:ext uri="{FF2B5EF4-FFF2-40B4-BE49-F238E27FC236}">
              <a16:creationId xmlns:a16="http://schemas.microsoft.com/office/drawing/2014/main" id="{F7F4983C-BC74-4AD4-99C8-1D6AEC7979D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00" name="Text Box 1">
          <a:extLst>
            <a:ext uri="{FF2B5EF4-FFF2-40B4-BE49-F238E27FC236}">
              <a16:creationId xmlns:a16="http://schemas.microsoft.com/office/drawing/2014/main" id="{440BD59D-76C1-4FEE-9737-1E2887BFBCE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01" name="Text Box 1">
          <a:extLst>
            <a:ext uri="{FF2B5EF4-FFF2-40B4-BE49-F238E27FC236}">
              <a16:creationId xmlns:a16="http://schemas.microsoft.com/office/drawing/2014/main" id="{8040333D-B967-4852-8BD9-32B16448EB4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02" name="Text Box 1">
          <a:extLst>
            <a:ext uri="{FF2B5EF4-FFF2-40B4-BE49-F238E27FC236}">
              <a16:creationId xmlns:a16="http://schemas.microsoft.com/office/drawing/2014/main" id="{0D8D2252-8CF4-430A-8158-1077905F782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03" name="Text Box 1">
          <a:extLst>
            <a:ext uri="{FF2B5EF4-FFF2-40B4-BE49-F238E27FC236}">
              <a16:creationId xmlns:a16="http://schemas.microsoft.com/office/drawing/2014/main" id="{06F36254-0B47-4EE5-A376-84790BE08E5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04" name="Text Box 1">
          <a:extLst>
            <a:ext uri="{FF2B5EF4-FFF2-40B4-BE49-F238E27FC236}">
              <a16:creationId xmlns:a16="http://schemas.microsoft.com/office/drawing/2014/main" id="{C9BF8AF4-67F8-41FD-AC56-324750225EF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05" name="Text Box 1">
          <a:extLst>
            <a:ext uri="{FF2B5EF4-FFF2-40B4-BE49-F238E27FC236}">
              <a16:creationId xmlns:a16="http://schemas.microsoft.com/office/drawing/2014/main" id="{9490960A-70E3-4C55-9635-C3EDA91E7A4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06" name="Text Box 1">
          <a:extLst>
            <a:ext uri="{FF2B5EF4-FFF2-40B4-BE49-F238E27FC236}">
              <a16:creationId xmlns:a16="http://schemas.microsoft.com/office/drawing/2014/main" id="{69BB342D-E465-44A8-A8EB-7681C7FE5AB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07" name="Text Box 1">
          <a:extLst>
            <a:ext uri="{FF2B5EF4-FFF2-40B4-BE49-F238E27FC236}">
              <a16:creationId xmlns:a16="http://schemas.microsoft.com/office/drawing/2014/main" id="{5D197D8C-9D83-449D-B412-CFF1181D293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08" name="Text Box 1">
          <a:extLst>
            <a:ext uri="{FF2B5EF4-FFF2-40B4-BE49-F238E27FC236}">
              <a16:creationId xmlns:a16="http://schemas.microsoft.com/office/drawing/2014/main" id="{6DF29E0C-EB1D-49CD-94F8-B23565F5AC5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09" name="Text Box 1">
          <a:extLst>
            <a:ext uri="{FF2B5EF4-FFF2-40B4-BE49-F238E27FC236}">
              <a16:creationId xmlns:a16="http://schemas.microsoft.com/office/drawing/2014/main" id="{FA0EF8A1-5819-4C64-927D-C72D5D51315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10" name="Text Box 1">
          <a:extLst>
            <a:ext uri="{FF2B5EF4-FFF2-40B4-BE49-F238E27FC236}">
              <a16:creationId xmlns:a16="http://schemas.microsoft.com/office/drawing/2014/main" id="{11D1628A-7BC2-4E2F-A5D0-5F64844AF98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11" name="Text Box 1">
          <a:extLst>
            <a:ext uri="{FF2B5EF4-FFF2-40B4-BE49-F238E27FC236}">
              <a16:creationId xmlns:a16="http://schemas.microsoft.com/office/drawing/2014/main" id="{C1F56724-C16E-44D0-A2BC-9A7F85B1FAF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12" name="Text Box 1">
          <a:extLst>
            <a:ext uri="{FF2B5EF4-FFF2-40B4-BE49-F238E27FC236}">
              <a16:creationId xmlns:a16="http://schemas.microsoft.com/office/drawing/2014/main" id="{FB93096C-77AF-4C72-828C-2C686BD40D9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13" name="Text Box 1">
          <a:extLst>
            <a:ext uri="{FF2B5EF4-FFF2-40B4-BE49-F238E27FC236}">
              <a16:creationId xmlns:a16="http://schemas.microsoft.com/office/drawing/2014/main" id="{9A2F4735-5573-4782-8A98-9E3E2118FF6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14" name="Text Box 1">
          <a:extLst>
            <a:ext uri="{FF2B5EF4-FFF2-40B4-BE49-F238E27FC236}">
              <a16:creationId xmlns:a16="http://schemas.microsoft.com/office/drawing/2014/main" id="{69940035-0F06-449B-92E7-8E93685D315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15" name="Text Box 1">
          <a:extLst>
            <a:ext uri="{FF2B5EF4-FFF2-40B4-BE49-F238E27FC236}">
              <a16:creationId xmlns:a16="http://schemas.microsoft.com/office/drawing/2014/main" id="{B6F27D53-86EF-4EF4-92A7-2DC9B38EC9E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16" name="Text Box 1">
          <a:extLst>
            <a:ext uri="{FF2B5EF4-FFF2-40B4-BE49-F238E27FC236}">
              <a16:creationId xmlns:a16="http://schemas.microsoft.com/office/drawing/2014/main" id="{022E6D09-07F8-4523-AA26-9E65D1DFD32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17" name="Text Box 1">
          <a:extLst>
            <a:ext uri="{FF2B5EF4-FFF2-40B4-BE49-F238E27FC236}">
              <a16:creationId xmlns:a16="http://schemas.microsoft.com/office/drawing/2014/main" id="{2567D34B-3DBD-4977-9C3C-F6205DEDDDC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18" name="Text Box 1">
          <a:extLst>
            <a:ext uri="{FF2B5EF4-FFF2-40B4-BE49-F238E27FC236}">
              <a16:creationId xmlns:a16="http://schemas.microsoft.com/office/drawing/2014/main" id="{70D0A187-6B6C-4740-890D-714E72B46C3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19" name="Text Box 1">
          <a:extLst>
            <a:ext uri="{FF2B5EF4-FFF2-40B4-BE49-F238E27FC236}">
              <a16:creationId xmlns:a16="http://schemas.microsoft.com/office/drawing/2014/main" id="{BA434558-6A73-430A-9793-4B743EB173A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20" name="Text Box 1">
          <a:extLst>
            <a:ext uri="{FF2B5EF4-FFF2-40B4-BE49-F238E27FC236}">
              <a16:creationId xmlns:a16="http://schemas.microsoft.com/office/drawing/2014/main" id="{290A56AD-2B2A-427F-9716-CE9A3CB9983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21" name="Text Box 1">
          <a:extLst>
            <a:ext uri="{FF2B5EF4-FFF2-40B4-BE49-F238E27FC236}">
              <a16:creationId xmlns:a16="http://schemas.microsoft.com/office/drawing/2014/main" id="{C9D58451-0CC0-446F-8AD3-1A82BD1C97B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22" name="Text Box 1">
          <a:extLst>
            <a:ext uri="{FF2B5EF4-FFF2-40B4-BE49-F238E27FC236}">
              <a16:creationId xmlns:a16="http://schemas.microsoft.com/office/drawing/2014/main" id="{79A6E115-E843-4831-9791-B4FA77B9F1A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23" name="Text Box 1">
          <a:extLst>
            <a:ext uri="{FF2B5EF4-FFF2-40B4-BE49-F238E27FC236}">
              <a16:creationId xmlns:a16="http://schemas.microsoft.com/office/drawing/2014/main" id="{FF8A75F7-460B-4963-8E98-12560755440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24" name="Text Box 1">
          <a:extLst>
            <a:ext uri="{FF2B5EF4-FFF2-40B4-BE49-F238E27FC236}">
              <a16:creationId xmlns:a16="http://schemas.microsoft.com/office/drawing/2014/main" id="{C4AFEEF1-99C5-47A5-AE4B-CCAECC45AD4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25" name="Text Box 1">
          <a:extLst>
            <a:ext uri="{FF2B5EF4-FFF2-40B4-BE49-F238E27FC236}">
              <a16:creationId xmlns:a16="http://schemas.microsoft.com/office/drawing/2014/main" id="{CA97CF8B-4A05-4D85-9186-566FFFFB4A1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26" name="Text Box 1">
          <a:extLst>
            <a:ext uri="{FF2B5EF4-FFF2-40B4-BE49-F238E27FC236}">
              <a16:creationId xmlns:a16="http://schemas.microsoft.com/office/drawing/2014/main" id="{9021BABB-C186-487E-90DD-B255989915B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27" name="Text Box 1">
          <a:extLst>
            <a:ext uri="{FF2B5EF4-FFF2-40B4-BE49-F238E27FC236}">
              <a16:creationId xmlns:a16="http://schemas.microsoft.com/office/drawing/2014/main" id="{4701052F-1B1F-48C8-85FA-FFC346ADC4C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28" name="Text Box 1">
          <a:extLst>
            <a:ext uri="{FF2B5EF4-FFF2-40B4-BE49-F238E27FC236}">
              <a16:creationId xmlns:a16="http://schemas.microsoft.com/office/drawing/2014/main" id="{EA473195-470C-4D3D-BE0D-C61ED4DE338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29" name="Text Box 1">
          <a:extLst>
            <a:ext uri="{FF2B5EF4-FFF2-40B4-BE49-F238E27FC236}">
              <a16:creationId xmlns:a16="http://schemas.microsoft.com/office/drawing/2014/main" id="{76E23FE7-97E3-4547-BFD3-93763C215A0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30" name="Text Box 1">
          <a:extLst>
            <a:ext uri="{FF2B5EF4-FFF2-40B4-BE49-F238E27FC236}">
              <a16:creationId xmlns:a16="http://schemas.microsoft.com/office/drawing/2014/main" id="{9607E893-584B-497F-894B-B370317192D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31" name="Text Box 1">
          <a:extLst>
            <a:ext uri="{FF2B5EF4-FFF2-40B4-BE49-F238E27FC236}">
              <a16:creationId xmlns:a16="http://schemas.microsoft.com/office/drawing/2014/main" id="{57893ACD-D138-469D-961A-89E9E75291F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32" name="Text Box 1">
          <a:extLst>
            <a:ext uri="{FF2B5EF4-FFF2-40B4-BE49-F238E27FC236}">
              <a16:creationId xmlns:a16="http://schemas.microsoft.com/office/drawing/2014/main" id="{7F3D07B2-43EE-44D8-A7F4-58DD0AE65E4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33" name="Text Box 1">
          <a:extLst>
            <a:ext uri="{FF2B5EF4-FFF2-40B4-BE49-F238E27FC236}">
              <a16:creationId xmlns:a16="http://schemas.microsoft.com/office/drawing/2014/main" id="{A0C87548-8D6F-4329-AE22-006676F5D04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34" name="Text Box 1">
          <a:extLst>
            <a:ext uri="{FF2B5EF4-FFF2-40B4-BE49-F238E27FC236}">
              <a16:creationId xmlns:a16="http://schemas.microsoft.com/office/drawing/2014/main" id="{A15C7A93-6C21-4FCB-B8CC-B39FC211014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35" name="Text Box 1">
          <a:extLst>
            <a:ext uri="{FF2B5EF4-FFF2-40B4-BE49-F238E27FC236}">
              <a16:creationId xmlns:a16="http://schemas.microsoft.com/office/drawing/2014/main" id="{8536E84F-7C6C-4480-BF18-BC824FAC7F4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36" name="Text Box 1">
          <a:extLst>
            <a:ext uri="{FF2B5EF4-FFF2-40B4-BE49-F238E27FC236}">
              <a16:creationId xmlns:a16="http://schemas.microsoft.com/office/drawing/2014/main" id="{C42EA7D4-C214-4D0F-85EB-22E5CF4DBC3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37" name="Text Box 1">
          <a:extLst>
            <a:ext uri="{FF2B5EF4-FFF2-40B4-BE49-F238E27FC236}">
              <a16:creationId xmlns:a16="http://schemas.microsoft.com/office/drawing/2014/main" id="{81365F0E-6927-45A7-918D-1E86ADE944A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38" name="Text Box 1">
          <a:extLst>
            <a:ext uri="{FF2B5EF4-FFF2-40B4-BE49-F238E27FC236}">
              <a16:creationId xmlns:a16="http://schemas.microsoft.com/office/drawing/2014/main" id="{E34A2300-B24E-4DD9-A72F-7649F22F81A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39" name="Text Box 1">
          <a:extLst>
            <a:ext uri="{FF2B5EF4-FFF2-40B4-BE49-F238E27FC236}">
              <a16:creationId xmlns:a16="http://schemas.microsoft.com/office/drawing/2014/main" id="{2FA128C4-BEF3-4B93-8FB4-BC5EB41CA4C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40" name="Text Box 1">
          <a:extLst>
            <a:ext uri="{FF2B5EF4-FFF2-40B4-BE49-F238E27FC236}">
              <a16:creationId xmlns:a16="http://schemas.microsoft.com/office/drawing/2014/main" id="{9C900D5D-CCC9-4A89-96F5-A6C6365D3F8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41" name="Text Box 1">
          <a:extLst>
            <a:ext uri="{FF2B5EF4-FFF2-40B4-BE49-F238E27FC236}">
              <a16:creationId xmlns:a16="http://schemas.microsoft.com/office/drawing/2014/main" id="{F1A0A287-9D0C-415E-8CA5-12B93460673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42" name="Text Box 1">
          <a:extLst>
            <a:ext uri="{FF2B5EF4-FFF2-40B4-BE49-F238E27FC236}">
              <a16:creationId xmlns:a16="http://schemas.microsoft.com/office/drawing/2014/main" id="{B4A39D21-D280-442D-B8E9-171C1CC3FD1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43" name="Text Box 1">
          <a:extLst>
            <a:ext uri="{FF2B5EF4-FFF2-40B4-BE49-F238E27FC236}">
              <a16:creationId xmlns:a16="http://schemas.microsoft.com/office/drawing/2014/main" id="{4F256D34-9C93-4B60-9090-25F67C5E513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44" name="Text Box 1">
          <a:extLst>
            <a:ext uri="{FF2B5EF4-FFF2-40B4-BE49-F238E27FC236}">
              <a16:creationId xmlns:a16="http://schemas.microsoft.com/office/drawing/2014/main" id="{2CFFC297-1527-44FC-A8DE-6480007F8E5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45" name="Text Box 1">
          <a:extLst>
            <a:ext uri="{FF2B5EF4-FFF2-40B4-BE49-F238E27FC236}">
              <a16:creationId xmlns:a16="http://schemas.microsoft.com/office/drawing/2014/main" id="{7CD6DFB9-7D2F-4FDD-AB21-7388489054B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46" name="Text Box 1">
          <a:extLst>
            <a:ext uri="{FF2B5EF4-FFF2-40B4-BE49-F238E27FC236}">
              <a16:creationId xmlns:a16="http://schemas.microsoft.com/office/drawing/2014/main" id="{B5C6A8F4-E5D8-464B-BD90-CBF9CC36AE1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47" name="Text Box 1">
          <a:extLst>
            <a:ext uri="{FF2B5EF4-FFF2-40B4-BE49-F238E27FC236}">
              <a16:creationId xmlns:a16="http://schemas.microsoft.com/office/drawing/2014/main" id="{77263FCC-97B9-4039-B032-FAD2A0D43B6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48" name="Text Box 1">
          <a:extLst>
            <a:ext uri="{FF2B5EF4-FFF2-40B4-BE49-F238E27FC236}">
              <a16:creationId xmlns:a16="http://schemas.microsoft.com/office/drawing/2014/main" id="{9E47A227-251B-4303-B28D-100ED2C4475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49" name="Text Box 1">
          <a:extLst>
            <a:ext uri="{FF2B5EF4-FFF2-40B4-BE49-F238E27FC236}">
              <a16:creationId xmlns:a16="http://schemas.microsoft.com/office/drawing/2014/main" id="{517613B7-0B4D-468D-B020-0540BC4F1E6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50" name="Text Box 1">
          <a:extLst>
            <a:ext uri="{FF2B5EF4-FFF2-40B4-BE49-F238E27FC236}">
              <a16:creationId xmlns:a16="http://schemas.microsoft.com/office/drawing/2014/main" id="{5962304F-ED85-4256-9BA2-D7529614243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51" name="Text Box 1">
          <a:extLst>
            <a:ext uri="{FF2B5EF4-FFF2-40B4-BE49-F238E27FC236}">
              <a16:creationId xmlns:a16="http://schemas.microsoft.com/office/drawing/2014/main" id="{3A694CFD-8A8F-4616-B6D1-B5491BDA1D4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52" name="Text Box 1">
          <a:extLst>
            <a:ext uri="{FF2B5EF4-FFF2-40B4-BE49-F238E27FC236}">
              <a16:creationId xmlns:a16="http://schemas.microsoft.com/office/drawing/2014/main" id="{09DC999D-6CE7-4729-BA98-6143D74688D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53" name="Text Box 1">
          <a:extLst>
            <a:ext uri="{FF2B5EF4-FFF2-40B4-BE49-F238E27FC236}">
              <a16:creationId xmlns:a16="http://schemas.microsoft.com/office/drawing/2014/main" id="{63DEBF9E-4E41-4456-B5C0-757AE539FDD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54" name="Text Box 1">
          <a:extLst>
            <a:ext uri="{FF2B5EF4-FFF2-40B4-BE49-F238E27FC236}">
              <a16:creationId xmlns:a16="http://schemas.microsoft.com/office/drawing/2014/main" id="{8D05D797-7156-47DD-B7C4-75870659F9A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55" name="Text Box 1">
          <a:extLst>
            <a:ext uri="{FF2B5EF4-FFF2-40B4-BE49-F238E27FC236}">
              <a16:creationId xmlns:a16="http://schemas.microsoft.com/office/drawing/2014/main" id="{7E52364A-2ED8-411A-B5A1-8EF53D246E6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56" name="Text Box 1">
          <a:extLst>
            <a:ext uri="{FF2B5EF4-FFF2-40B4-BE49-F238E27FC236}">
              <a16:creationId xmlns:a16="http://schemas.microsoft.com/office/drawing/2014/main" id="{AA9D1E52-73E5-41F2-A294-5E5A7336D84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57" name="Text Box 1">
          <a:extLst>
            <a:ext uri="{FF2B5EF4-FFF2-40B4-BE49-F238E27FC236}">
              <a16:creationId xmlns:a16="http://schemas.microsoft.com/office/drawing/2014/main" id="{BB5022EC-ECB4-4141-A559-D41E9DA4D38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58" name="Text Box 1">
          <a:extLst>
            <a:ext uri="{FF2B5EF4-FFF2-40B4-BE49-F238E27FC236}">
              <a16:creationId xmlns:a16="http://schemas.microsoft.com/office/drawing/2014/main" id="{42D10960-2050-4198-A2DD-15DA6343EBF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59" name="Text Box 1">
          <a:extLst>
            <a:ext uri="{FF2B5EF4-FFF2-40B4-BE49-F238E27FC236}">
              <a16:creationId xmlns:a16="http://schemas.microsoft.com/office/drawing/2014/main" id="{A114FC92-1835-4166-A02D-D6455958005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60" name="Text Box 1">
          <a:extLst>
            <a:ext uri="{FF2B5EF4-FFF2-40B4-BE49-F238E27FC236}">
              <a16:creationId xmlns:a16="http://schemas.microsoft.com/office/drawing/2014/main" id="{E492DE64-E095-48F9-AF2E-E9A3D9026D8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61" name="Text Box 1">
          <a:extLst>
            <a:ext uri="{FF2B5EF4-FFF2-40B4-BE49-F238E27FC236}">
              <a16:creationId xmlns:a16="http://schemas.microsoft.com/office/drawing/2014/main" id="{5BD61442-861E-4D97-9474-4A503DEC36C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62" name="Text Box 1">
          <a:extLst>
            <a:ext uri="{FF2B5EF4-FFF2-40B4-BE49-F238E27FC236}">
              <a16:creationId xmlns:a16="http://schemas.microsoft.com/office/drawing/2014/main" id="{320C4690-6BFE-42C8-B37D-60CC58D7CFA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63" name="Text Box 1">
          <a:extLst>
            <a:ext uri="{FF2B5EF4-FFF2-40B4-BE49-F238E27FC236}">
              <a16:creationId xmlns:a16="http://schemas.microsoft.com/office/drawing/2014/main" id="{D5C653DA-3AE3-4A1A-B1B6-5DFC2BA211B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64" name="Text Box 1">
          <a:extLst>
            <a:ext uri="{FF2B5EF4-FFF2-40B4-BE49-F238E27FC236}">
              <a16:creationId xmlns:a16="http://schemas.microsoft.com/office/drawing/2014/main" id="{FBF215BB-E1C6-4FF5-9E66-DF89D093165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65" name="Text Box 1">
          <a:extLst>
            <a:ext uri="{FF2B5EF4-FFF2-40B4-BE49-F238E27FC236}">
              <a16:creationId xmlns:a16="http://schemas.microsoft.com/office/drawing/2014/main" id="{E95B3B5B-C1F0-4AF2-ADB9-B2607684667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66" name="Text Box 1">
          <a:extLst>
            <a:ext uri="{FF2B5EF4-FFF2-40B4-BE49-F238E27FC236}">
              <a16:creationId xmlns:a16="http://schemas.microsoft.com/office/drawing/2014/main" id="{99848761-0A97-46E0-8692-01359037060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67" name="Text Box 1">
          <a:extLst>
            <a:ext uri="{FF2B5EF4-FFF2-40B4-BE49-F238E27FC236}">
              <a16:creationId xmlns:a16="http://schemas.microsoft.com/office/drawing/2014/main" id="{1CE4259A-560D-4332-8201-538D87A0DBA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68" name="Text Box 1">
          <a:extLst>
            <a:ext uri="{FF2B5EF4-FFF2-40B4-BE49-F238E27FC236}">
              <a16:creationId xmlns:a16="http://schemas.microsoft.com/office/drawing/2014/main" id="{1C014112-51A0-42F1-8110-C7844173E01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69" name="Text Box 1">
          <a:extLst>
            <a:ext uri="{FF2B5EF4-FFF2-40B4-BE49-F238E27FC236}">
              <a16:creationId xmlns:a16="http://schemas.microsoft.com/office/drawing/2014/main" id="{BC39C5BC-E161-41F1-946D-8C6672D0E3E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70" name="Text Box 1">
          <a:extLst>
            <a:ext uri="{FF2B5EF4-FFF2-40B4-BE49-F238E27FC236}">
              <a16:creationId xmlns:a16="http://schemas.microsoft.com/office/drawing/2014/main" id="{3475D482-650F-44D4-BFAB-CB3B4724752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71" name="Text Box 1">
          <a:extLst>
            <a:ext uri="{FF2B5EF4-FFF2-40B4-BE49-F238E27FC236}">
              <a16:creationId xmlns:a16="http://schemas.microsoft.com/office/drawing/2014/main" id="{04926505-407D-4A2B-B31E-1BCE17C9C91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72" name="Text Box 1">
          <a:extLst>
            <a:ext uri="{FF2B5EF4-FFF2-40B4-BE49-F238E27FC236}">
              <a16:creationId xmlns:a16="http://schemas.microsoft.com/office/drawing/2014/main" id="{38C51FF7-D87F-4ED9-9D29-E401BE31DB1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73" name="Text Box 1">
          <a:extLst>
            <a:ext uri="{FF2B5EF4-FFF2-40B4-BE49-F238E27FC236}">
              <a16:creationId xmlns:a16="http://schemas.microsoft.com/office/drawing/2014/main" id="{85A68B4F-07A0-4F1C-9334-CAD2BA6198A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74" name="Text Box 1">
          <a:extLst>
            <a:ext uri="{FF2B5EF4-FFF2-40B4-BE49-F238E27FC236}">
              <a16:creationId xmlns:a16="http://schemas.microsoft.com/office/drawing/2014/main" id="{6E3A283B-D770-4D43-A600-6940CCB68EF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75" name="Text Box 1">
          <a:extLst>
            <a:ext uri="{FF2B5EF4-FFF2-40B4-BE49-F238E27FC236}">
              <a16:creationId xmlns:a16="http://schemas.microsoft.com/office/drawing/2014/main" id="{BEB7B36D-BE18-4B8E-A6D1-04FEC4A7317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76" name="Text Box 1">
          <a:extLst>
            <a:ext uri="{FF2B5EF4-FFF2-40B4-BE49-F238E27FC236}">
              <a16:creationId xmlns:a16="http://schemas.microsoft.com/office/drawing/2014/main" id="{BB13BAAA-A53D-46CF-852E-31C29A34C12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77" name="Text Box 1">
          <a:extLst>
            <a:ext uri="{FF2B5EF4-FFF2-40B4-BE49-F238E27FC236}">
              <a16:creationId xmlns:a16="http://schemas.microsoft.com/office/drawing/2014/main" id="{26224D56-01DC-4AE5-AD7A-CDBA3F75BCD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78" name="Text Box 1">
          <a:extLst>
            <a:ext uri="{FF2B5EF4-FFF2-40B4-BE49-F238E27FC236}">
              <a16:creationId xmlns:a16="http://schemas.microsoft.com/office/drawing/2014/main" id="{F6302FFF-8176-4B1C-80B2-6067FE0C25E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79" name="Text Box 1">
          <a:extLst>
            <a:ext uri="{FF2B5EF4-FFF2-40B4-BE49-F238E27FC236}">
              <a16:creationId xmlns:a16="http://schemas.microsoft.com/office/drawing/2014/main" id="{1682B2E1-F704-40BD-8D4B-57AC55A79C8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80" name="Text Box 1">
          <a:extLst>
            <a:ext uri="{FF2B5EF4-FFF2-40B4-BE49-F238E27FC236}">
              <a16:creationId xmlns:a16="http://schemas.microsoft.com/office/drawing/2014/main" id="{D583B579-0BFE-4847-B4A2-687E94104A7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81" name="Text Box 1">
          <a:extLst>
            <a:ext uri="{FF2B5EF4-FFF2-40B4-BE49-F238E27FC236}">
              <a16:creationId xmlns:a16="http://schemas.microsoft.com/office/drawing/2014/main" id="{4FD5607D-04D3-4ACE-9CE0-2E2CC5296CE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82" name="Text Box 1">
          <a:extLst>
            <a:ext uri="{FF2B5EF4-FFF2-40B4-BE49-F238E27FC236}">
              <a16:creationId xmlns:a16="http://schemas.microsoft.com/office/drawing/2014/main" id="{3DB103C9-B4F3-4FD3-917A-29221D491E4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83" name="Text Box 1">
          <a:extLst>
            <a:ext uri="{FF2B5EF4-FFF2-40B4-BE49-F238E27FC236}">
              <a16:creationId xmlns:a16="http://schemas.microsoft.com/office/drawing/2014/main" id="{E8289929-EA90-49BB-967A-9B72DB62190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84" name="Text Box 1">
          <a:extLst>
            <a:ext uri="{FF2B5EF4-FFF2-40B4-BE49-F238E27FC236}">
              <a16:creationId xmlns:a16="http://schemas.microsoft.com/office/drawing/2014/main" id="{13B312C5-1A49-4EE9-BAAB-4558C07D09B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85" name="Text Box 1">
          <a:extLst>
            <a:ext uri="{FF2B5EF4-FFF2-40B4-BE49-F238E27FC236}">
              <a16:creationId xmlns:a16="http://schemas.microsoft.com/office/drawing/2014/main" id="{ABD1F971-DA86-41BE-9CA4-073D0C08CA7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86" name="Text Box 1">
          <a:extLst>
            <a:ext uri="{FF2B5EF4-FFF2-40B4-BE49-F238E27FC236}">
              <a16:creationId xmlns:a16="http://schemas.microsoft.com/office/drawing/2014/main" id="{BB94AD85-3298-45B9-A99B-FDDEEB1E990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87" name="Text Box 1">
          <a:extLst>
            <a:ext uri="{FF2B5EF4-FFF2-40B4-BE49-F238E27FC236}">
              <a16:creationId xmlns:a16="http://schemas.microsoft.com/office/drawing/2014/main" id="{1CF8E522-B689-44EF-949C-8FFDAAC1250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88" name="Text Box 1">
          <a:extLst>
            <a:ext uri="{FF2B5EF4-FFF2-40B4-BE49-F238E27FC236}">
              <a16:creationId xmlns:a16="http://schemas.microsoft.com/office/drawing/2014/main" id="{AD7FC5AE-6BB6-46BF-98C6-1B566C5D812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89" name="Text Box 1">
          <a:extLst>
            <a:ext uri="{FF2B5EF4-FFF2-40B4-BE49-F238E27FC236}">
              <a16:creationId xmlns:a16="http://schemas.microsoft.com/office/drawing/2014/main" id="{12DB6D86-F019-4473-A943-7101C5B8D57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90" name="Text Box 1">
          <a:extLst>
            <a:ext uri="{FF2B5EF4-FFF2-40B4-BE49-F238E27FC236}">
              <a16:creationId xmlns:a16="http://schemas.microsoft.com/office/drawing/2014/main" id="{DBEF1133-8860-4584-B37B-2921CD1345F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91" name="Text Box 1">
          <a:extLst>
            <a:ext uri="{FF2B5EF4-FFF2-40B4-BE49-F238E27FC236}">
              <a16:creationId xmlns:a16="http://schemas.microsoft.com/office/drawing/2014/main" id="{52B212B7-30F4-445D-82AF-E1B5E682BA2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92" name="Text Box 1">
          <a:extLst>
            <a:ext uri="{FF2B5EF4-FFF2-40B4-BE49-F238E27FC236}">
              <a16:creationId xmlns:a16="http://schemas.microsoft.com/office/drawing/2014/main" id="{8859C917-816A-47DF-8976-F2E771FF447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93" name="Text Box 1">
          <a:extLst>
            <a:ext uri="{FF2B5EF4-FFF2-40B4-BE49-F238E27FC236}">
              <a16:creationId xmlns:a16="http://schemas.microsoft.com/office/drawing/2014/main" id="{B517A03B-0B8C-4696-9F13-C308D1FC8AC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94" name="Text Box 1">
          <a:extLst>
            <a:ext uri="{FF2B5EF4-FFF2-40B4-BE49-F238E27FC236}">
              <a16:creationId xmlns:a16="http://schemas.microsoft.com/office/drawing/2014/main" id="{66DB761B-79AF-4794-B275-C3DABEE4355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95" name="Text Box 1">
          <a:extLst>
            <a:ext uri="{FF2B5EF4-FFF2-40B4-BE49-F238E27FC236}">
              <a16:creationId xmlns:a16="http://schemas.microsoft.com/office/drawing/2014/main" id="{4225BAF1-9058-45D7-BBE4-F5E9C0A973C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96" name="Text Box 1">
          <a:extLst>
            <a:ext uri="{FF2B5EF4-FFF2-40B4-BE49-F238E27FC236}">
              <a16:creationId xmlns:a16="http://schemas.microsoft.com/office/drawing/2014/main" id="{29BDA5E1-8F9F-4DB8-9965-788F0BBFFD9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97" name="Text Box 1">
          <a:extLst>
            <a:ext uri="{FF2B5EF4-FFF2-40B4-BE49-F238E27FC236}">
              <a16:creationId xmlns:a16="http://schemas.microsoft.com/office/drawing/2014/main" id="{83C646A4-5729-4051-A8AA-C5B6FB78E54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98" name="Text Box 1">
          <a:extLst>
            <a:ext uri="{FF2B5EF4-FFF2-40B4-BE49-F238E27FC236}">
              <a16:creationId xmlns:a16="http://schemas.microsoft.com/office/drawing/2014/main" id="{668FC338-BE0C-463C-96A3-D59B538756D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899" name="Text Box 1">
          <a:extLst>
            <a:ext uri="{FF2B5EF4-FFF2-40B4-BE49-F238E27FC236}">
              <a16:creationId xmlns:a16="http://schemas.microsoft.com/office/drawing/2014/main" id="{A6E93882-E872-42FC-9786-245B295EC5C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00" name="Text Box 1">
          <a:extLst>
            <a:ext uri="{FF2B5EF4-FFF2-40B4-BE49-F238E27FC236}">
              <a16:creationId xmlns:a16="http://schemas.microsoft.com/office/drawing/2014/main" id="{DBC0E202-CD14-4E35-BBBE-C0BB9F1FB75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01" name="Text Box 1">
          <a:extLst>
            <a:ext uri="{FF2B5EF4-FFF2-40B4-BE49-F238E27FC236}">
              <a16:creationId xmlns:a16="http://schemas.microsoft.com/office/drawing/2014/main" id="{81ED7FCD-3ABA-414E-8F0A-095ED85C3B2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02" name="Text Box 1">
          <a:extLst>
            <a:ext uri="{FF2B5EF4-FFF2-40B4-BE49-F238E27FC236}">
              <a16:creationId xmlns:a16="http://schemas.microsoft.com/office/drawing/2014/main" id="{35FB34AE-112A-4A65-852C-245E1445686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03" name="Text Box 1">
          <a:extLst>
            <a:ext uri="{FF2B5EF4-FFF2-40B4-BE49-F238E27FC236}">
              <a16:creationId xmlns:a16="http://schemas.microsoft.com/office/drawing/2014/main" id="{34E30116-FBA0-4924-B047-D5C9DB5547E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04" name="Text Box 1">
          <a:extLst>
            <a:ext uri="{FF2B5EF4-FFF2-40B4-BE49-F238E27FC236}">
              <a16:creationId xmlns:a16="http://schemas.microsoft.com/office/drawing/2014/main" id="{77A04EE3-90BE-4846-A26C-94AB39B3A98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05" name="Text Box 1">
          <a:extLst>
            <a:ext uri="{FF2B5EF4-FFF2-40B4-BE49-F238E27FC236}">
              <a16:creationId xmlns:a16="http://schemas.microsoft.com/office/drawing/2014/main" id="{A63853C9-D17F-4FF2-8E90-84C06951E42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06" name="Text Box 1">
          <a:extLst>
            <a:ext uri="{FF2B5EF4-FFF2-40B4-BE49-F238E27FC236}">
              <a16:creationId xmlns:a16="http://schemas.microsoft.com/office/drawing/2014/main" id="{F9487D9B-CF9A-4B9A-9D4B-2113C8C53DE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07" name="Text Box 1">
          <a:extLst>
            <a:ext uri="{FF2B5EF4-FFF2-40B4-BE49-F238E27FC236}">
              <a16:creationId xmlns:a16="http://schemas.microsoft.com/office/drawing/2014/main" id="{A88D661A-FCED-4325-80E8-E8813C30805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08" name="Text Box 1">
          <a:extLst>
            <a:ext uri="{FF2B5EF4-FFF2-40B4-BE49-F238E27FC236}">
              <a16:creationId xmlns:a16="http://schemas.microsoft.com/office/drawing/2014/main" id="{5FD97101-938A-4F7B-B5FE-47FD2082796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09" name="Text Box 1">
          <a:extLst>
            <a:ext uri="{FF2B5EF4-FFF2-40B4-BE49-F238E27FC236}">
              <a16:creationId xmlns:a16="http://schemas.microsoft.com/office/drawing/2014/main" id="{108A09E6-988B-4271-A974-AB9C6851C9E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10" name="Text Box 1">
          <a:extLst>
            <a:ext uri="{FF2B5EF4-FFF2-40B4-BE49-F238E27FC236}">
              <a16:creationId xmlns:a16="http://schemas.microsoft.com/office/drawing/2014/main" id="{FF60C2BC-B7D1-4121-8024-A8C95BD009E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11" name="Text Box 1">
          <a:extLst>
            <a:ext uri="{FF2B5EF4-FFF2-40B4-BE49-F238E27FC236}">
              <a16:creationId xmlns:a16="http://schemas.microsoft.com/office/drawing/2014/main" id="{B4E6BE5B-3ED0-4E12-BCF8-6A64F2381E9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12" name="Text Box 1">
          <a:extLst>
            <a:ext uri="{FF2B5EF4-FFF2-40B4-BE49-F238E27FC236}">
              <a16:creationId xmlns:a16="http://schemas.microsoft.com/office/drawing/2014/main" id="{B6145EC0-ABA3-477C-8922-76F581CBD7B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13" name="Text Box 1">
          <a:extLst>
            <a:ext uri="{FF2B5EF4-FFF2-40B4-BE49-F238E27FC236}">
              <a16:creationId xmlns:a16="http://schemas.microsoft.com/office/drawing/2014/main" id="{9B314770-6397-4BA5-AC57-1D3EBA1B633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14" name="Text Box 1">
          <a:extLst>
            <a:ext uri="{FF2B5EF4-FFF2-40B4-BE49-F238E27FC236}">
              <a16:creationId xmlns:a16="http://schemas.microsoft.com/office/drawing/2014/main" id="{8486F8A5-7D36-4870-8798-51EB7477665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15" name="Text Box 1">
          <a:extLst>
            <a:ext uri="{FF2B5EF4-FFF2-40B4-BE49-F238E27FC236}">
              <a16:creationId xmlns:a16="http://schemas.microsoft.com/office/drawing/2014/main" id="{211495B4-918C-4566-B123-14B9A638029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16" name="Text Box 1">
          <a:extLst>
            <a:ext uri="{FF2B5EF4-FFF2-40B4-BE49-F238E27FC236}">
              <a16:creationId xmlns:a16="http://schemas.microsoft.com/office/drawing/2014/main" id="{952ADFC7-63D0-4363-8582-42ABD258B3F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17" name="Text Box 1">
          <a:extLst>
            <a:ext uri="{FF2B5EF4-FFF2-40B4-BE49-F238E27FC236}">
              <a16:creationId xmlns:a16="http://schemas.microsoft.com/office/drawing/2014/main" id="{76BD9333-16E7-40C5-A0E6-FD0964FE961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18" name="Text Box 1">
          <a:extLst>
            <a:ext uri="{FF2B5EF4-FFF2-40B4-BE49-F238E27FC236}">
              <a16:creationId xmlns:a16="http://schemas.microsoft.com/office/drawing/2014/main" id="{C2AA36C1-1FAD-4C90-B623-A6886A8DDBF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19" name="Text Box 1">
          <a:extLst>
            <a:ext uri="{FF2B5EF4-FFF2-40B4-BE49-F238E27FC236}">
              <a16:creationId xmlns:a16="http://schemas.microsoft.com/office/drawing/2014/main" id="{FABB941B-257A-44AC-AC11-0F859CFB3F6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20" name="Text Box 1">
          <a:extLst>
            <a:ext uri="{FF2B5EF4-FFF2-40B4-BE49-F238E27FC236}">
              <a16:creationId xmlns:a16="http://schemas.microsoft.com/office/drawing/2014/main" id="{53448B9B-5B2B-47B3-9F43-E4F44BE2270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21" name="Text Box 1">
          <a:extLst>
            <a:ext uri="{FF2B5EF4-FFF2-40B4-BE49-F238E27FC236}">
              <a16:creationId xmlns:a16="http://schemas.microsoft.com/office/drawing/2014/main" id="{D666B256-1349-4026-A989-DBB83D42BA1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22" name="Text Box 1">
          <a:extLst>
            <a:ext uri="{FF2B5EF4-FFF2-40B4-BE49-F238E27FC236}">
              <a16:creationId xmlns:a16="http://schemas.microsoft.com/office/drawing/2014/main" id="{2322911B-53D7-4098-9127-A4317F34B84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23" name="Text Box 1">
          <a:extLst>
            <a:ext uri="{FF2B5EF4-FFF2-40B4-BE49-F238E27FC236}">
              <a16:creationId xmlns:a16="http://schemas.microsoft.com/office/drawing/2014/main" id="{EEBBC675-3CB9-47BC-8DE0-C3015B72A2F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24" name="Text Box 1">
          <a:extLst>
            <a:ext uri="{FF2B5EF4-FFF2-40B4-BE49-F238E27FC236}">
              <a16:creationId xmlns:a16="http://schemas.microsoft.com/office/drawing/2014/main" id="{5AF1A271-94BD-4FA6-87F3-5CB05F051E1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25" name="Text Box 1">
          <a:extLst>
            <a:ext uri="{FF2B5EF4-FFF2-40B4-BE49-F238E27FC236}">
              <a16:creationId xmlns:a16="http://schemas.microsoft.com/office/drawing/2014/main" id="{3B0D9A40-33C6-4115-BE1B-F3C8F420982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26" name="Text Box 1">
          <a:extLst>
            <a:ext uri="{FF2B5EF4-FFF2-40B4-BE49-F238E27FC236}">
              <a16:creationId xmlns:a16="http://schemas.microsoft.com/office/drawing/2014/main" id="{DD677307-B461-488F-88C7-5212094ABAA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27" name="Text Box 1">
          <a:extLst>
            <a:ext uri="{FF2B5EF4-FFF2-40B4-BE49-F238E27FC236}">
              <a16:creationId xmlns:a16="http://schemas.microsoft.com/office/drawing/2014/main" id="{12191A8B-2A95-4B41-9DA6-5F3397FC017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28" name="Text Box 1">
          <a:extLst>
            <a:ext uri="{FF2B5EF4-FFF2-40B4-BE49-F238E27FC236}">
              <a16:creationId xmlns:a16="http://schemas.microsoft.com/office/drawing/2014/main" id="{9D0C0899-BF57-4CB1-ADA5-4C8CEC94C24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29" name="Text Box 1">
          <a:extLst>
            <a:ext uri="{FF2B5EF4-FFF2-40B4-BE49-F238E27FC236}">
              <a16:creationId xmlns:a16="http://schemas.microsoft.com/office/drawing/2014/main" id="{482BA85D-6019-4089-B4B4-68A8E52B029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30" name="Text Box 1">
          <a:extLst>
            <a:ext uri="{FF2B5EF4-FFF2-40B4-BE49-F238E27FC236}">
              <a16:creationId xmlns:a16="http://schemas.microsoft.com/office/drawing/2014/main" id="{122FB17E-D2A5-4379-BFE3-3248D23E268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31" name="Text Box 1">
          <a:extLst>
            <a:ext uri="{FF2B5EF4-FFF2-40B4-BE49-F238E27FC236}">
              <a16:creationId xmlns:a16="http://schemas.microsoft.com/office/drawing/2014/main" id="{67E6BE64-0169-48FA-BC7D-BB95FCAAFE8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32" name="Text Box 1">
          <a:extLst>
            <a:ext uri="{FF2B5EF4-FFF2-40B4-BE49-F238E27FC236}">
              <a16:creationId xmlns:a16="http://schemas.microsoft.com/office/drawing/2014/main" id="{0B513C19-0764-408B-8E91-12BB59C4393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33" name="Text Box 1">
          <a:extLst>
            <a:ext uri="{FF2B5EF4-FFF2-40B4-BE49-F238E27FC236}">
              <a16:creationId xmlns:a16="http://schemas.microsoft.com/office/drawing/2014/main" id="{EA61B9A7-DA2A-4E67-8E25-D5FC6998D76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34" name="Text Box 1">
          <a:extLst>
            <a:ext uri="{FF2B5EF4-FFF2-40B4-BE49-F238E27FC236}">
              <a16:creationId xmlns:a16="http://schemas.microsoft.com/office/drawing/2014/main" id="{A01DBFC1-507F-4472-A894-38748766CC3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35" name="Text Box 1">
          <a:extLst>
            <a:ext uri="{FF2B5EF4-FFF2-40B4-BE49-F238E27FC236}">
              <a16:creationId xmlns:a16="http://schemas.microsoft.com/office/drawing/2014/main" id="{9EA46E7C-C580-43AF-AD65-0F8579081A6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36" name="Text Box 1">
          <a:extLst>
            <a:ext uri="{FF2B5EF4-FFF2-40B4-BE49-F238E27FC236}">
              <a16:creationId xmlns:a16="http://schemas.microsoft.com/office/drawing/2014/main" id="{2AC0BA95-12F1-4958-BEED-0D4B20E4D10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37" name="Text Box 1">
          <a:extLst>
            <a:ext uri="{FF2B5EF4-FFF2-40B4-BE49-F238E27FC236}">
              <a16:creationId xmlns:a16="http://schemas.microsoft.com/office/drawing/2014/main" id="{C9D39EAE-89A9-4815-8214-10C4EACE4F9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38" name="Text Box 1">
          <a:extLst>
            <a:ext uri="{FF2B5EF4-FFF2-40B4-BE49-F238E27FC236}">
              <a16:creationId xmlns:a16="http://schemas.microsoft.com/office/drawing/2014/main" id="{E095F898-5909-486A-B87C-C8E99DAF825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39" name="Text Box 1">
          <a:extLst>
            <a:ext uri="{FF2B5EF4-FFF2-40B4-BE49-F238E27FC236}">
              <a16:creationId xmlns:a16="http://schemas.microsoft.com/office/drawing/2014/main" id="{9C38DCB7-7A7C-48BC-BEED-3E7351219E2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40" name="Text Box 1">
          <a:extLst>
            <a:ext uri="{FF2B5EF4-FFF2-40B4-BE49-F238E27FC236}">
              <a16:creationId xmlns:a16="http://schemas.microsoft.com/office/drawing/2014/main" id="{BC4CE47B-28C6-49B0-AA62-CAFD008DFD5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41" name="Text Box 1">
          <a:extLst>
            <a:ext uri="{FF2B5EF4-FFF2-40B4-BE49-F238E27FC236}">
              <a16:creationId xmlns:a16="http://schemas.microsoft.com/office/drawing/2014/main" id="{BF906731-3EDE-4E08-B444-3F99062392F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42" name="Text Box 1">
          <a:extLst>
            <a:ext uri="{FF2B5EF4-FFF2-40B4-BE49-F238E27FC236}">
              <a16:creationId xmlns:a16="http://schemas.microsoft.com/office/drawing/2014/main" id="{AB87AB0E-3F1C-4AFB-9A2E-B5D0F6568E5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43" name="Text Box 1">
          <a:extLst>
            <a:ext uri="{FF2B5EF4-FFF2-40B4-BE49-F238E27FC236}">
              <a16:creationId xmlns:a16="http://schemas.microsoft.com/office/drawing/2014/main" id="{BC298E1E-C6F6-44AE-9F98-12C7C1D44A4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44" name="Text Box 1">
          <a:extLst>
            <a:ext uri="{FF2B5EF4-FFF2-40B4-BE49-F238E27FC236}">
              <a16:creationId xmlns:a16="http://schemas.microsoft.com/office/drawing/2014/main" id="{8563D8C3-90FA-4321-BBA5-E6DDB077427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45" name="Text Box 1">
          <a:extLst>
            <a:ext uri="{FF2B5EF4-FFF2-40B4-BE49-F238E27FC236}">
              <a16:creationId xmlns:a16="http://schemas.microsoft.com/office/drawing/2014/main" id="{61FD3C8B-BBEB-447A-920E-D2370966457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46" name="Text Box 1">
          <a:extLst>
            <a:ext uri="{FF2B5EF4-FFF2-40B4-BE49-F238E27FC236}">
              <a16:creationId xmlns:a16="http://schemas.microsoft.com/office/drawing/2014/main" id="{2DD3D044-099B-4C06-8A2D-A0878CEF3A0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47" name="Text Box 1">
          <a:extLst>
            <a:ext uri="{FF2B5EF4-FFF2-40B4-BE49-F238E27FC236}">
              <a16:creationId xmlns:a16="http://schemas.microsoft.com/office/drawing/2014/main" id="{CB063DFD-3607-4E50-A0A0-421DEC49CC6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48" name="Text Box 1">
          <a:extLst>
            <a:ext uri="{FF2B5EF4-FFF2-40B4-BE49-F238E27FC236}">
              <a16:creationId xmlns:a16="http://schemas.microsoft.com/office/drawing/2014/main" id="{2E8D5948-BFB0-4120-B398-55D9C4EAF30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49" name="Text Box 1">
          <a:extLst>
            <a:ext uri="{FF2B5EF4-FFF2-40B4-BE49-F238E27FC236}">
              <a16:creationId xmlns:a16="http://schemas.microsoft.com/office/drawing/2014/main" id="{49B5A112-327D-4F4D-9C12-6135232C848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50" name="Text Box 1">
          <a:extLst>
            <a:ext uri="{FF2B5EF4-FFF2-40B4-BE49-F238E27FC236}">
              <a16:creationId xmlns:a16="http://schemas.microsoft.com/office/drawing/2014/main" id="{5A0007B3-BF3F-47A6-8E57-41C95F2772B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51" name="Text Box 1">
          <a:extLst>
            <a:ext uri="{FF2B5EF4-FFF2-40B4-BE49-F238E27FC236}">
              <a16:creationId xmlns:a16="http://schemas.microsoft.com/office/drawing/2014/main" id="{A1D77D74-E66D-4FAF-A4ED-A4BBC074030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52" name="Text Box 1">
          <a:extLst>
            <a:ext uri="{FF2B5EF4-FFF2-40B4-BE49-F238E27FC236}">
              <a16:creationId xmlns:a16="http://schemas.microsoft.com/office/drawing/2014/main" id="{3A8EA794-F82F-4FD3-8130-A05486289AC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53" name="Text Box 1">
          <a:extLst>
            <a:ext uri="{FF2B5EF4-FFF2-40B4-BE49-F238E27FC236}">
              <a16:creationId xmlns:a16="http://schemas.microsoft.com/office/drawing/2014/main" id="{2488CDEA-3C55-402F-8F51-711A7E4EE9C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54" name="Text Box 1">
          <a:extLst>
            <a:ext uri="{FF2B5EF4-FFF2-40B4-BE49-F238E27FC236}">
              <a16:creationId xmlns:a16="http://schemas.microsoft.com/office/drawing/2014/main" id="{4FF6935C-435C-4CF1-A128-ABD5FB34AC4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55" name="Text Box 1">
          <a:extLst>
            <a:ext uri="{FF2B5EF4-FFF2-40B4-BE49-F238E27FC236}">
              <a16:creationId xmlns:a16="http://schemas.microsoft.com/office/drawing/2014/main" id="{5F142448-51AF-4FAA-8A56-5FE7619081F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56" name="Text Box 1">
          <a:extLst>
            <a:ext uri="{FF2B5EF4-FFF2-40B4-BE49-F238E27FC236}">
              <a16:creationId xmlns:a16="http://schemas.microsoft.com/office/drawing/2014/main" id="{93A1AFD6-DD64-4174-86DA-5B282ADF4C5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57" name="Text Box 1">
          <a:extLst>
            <a:ext uri="{FF2B5EF4-FFF2-40B4-BE49-F238E27FC236}">
              <a16:creationId xmlns:a16="http://schemas.microsoft.com/office/drawing/2014/main" id="{0D06F82F-BF85-46C2-A5B0-38207FA0F7F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565150</xdr:colOff>
      <xdr:row>46</xdr:row>
      <xdr:rowOff>152400</xdr:rowOff>
    </xdr:from>
    <xdr:ext cx="247650" cy="85725"/>
    <xdr:sp macro="" textlink="">
      <xdr:nvSpPr>
        <xdr:cNvPr id="11958" name="Text Box 1">
          <a:extLst>
            <a:ext uri="{FF2B5EF4-FFF2-40B4-BE49-F238E27FC236}">
              <a16:creationId xmlns:a16="http://schemas.microsoft.com/office/drawing/2014/main" id="{E9C1EA57-9463-4587-B0EB-629390319C56}"/>
            </a:ext>
          </a:extLst>
        </xdr:cNvPr>
        <xdr:cNvSpPr txBox="1">
          <a:spLocks noChangeArrowheads="1"/>
        </xdr:cNvSpPr>
      </xdr:nvSpPr>
      <xdr:spPr bwMode="auto">
        <a:xfrm>
          <a:off x="15557500" y="12001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21</xdr:col>
      <xdr:colOff>565150</xdr:colOff>
      <xdr:row>46</xdr:row>
      <xdr:rowOff>152400</xdr:rowOff>
    </xdr:from>
    <xdr:ext cx="247650" cy="85725"/>
    <xdr:sp macro="" textlink="">
      <xdr:nvSpPr>
        <xdr:cNvPr id="11959" name="Text Box 1">
          <a:extLst>
            <a:ext uri="{FF2B5EF4-FFF2-40B4-BE49-F238E27FC236}">
              <a16:creationId xmlns:a16="http://schemas.microsoft.com/office/drawing/2014/main" id="{6737E911-E6D7-4F5E-9846-CDC28C91DB45}"/>
            </a:ext>
          </a:extLst>
        </xdr:cNvPr>
        <xdr:cNvSpPr txBox="1">
          <a:spLocks noChangeArrowheads="1"/>
        </xdr:cNvSpPr>
      </xdr:nvSpPr>
      <xdr:spPr bwMode="auto">
        <a:xfrm>
          <a:off x="15906750" y="12001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565150</xdr:colOff>
      <xdr:row>46</xdr:row>
      <xdr:rowOff>152400</xdr:rowOff>
    </xdr:from>
    <xdr:ext cx="247650" cy="85725"/>
    <xdr:sp macro="" textlink="">
      <xdr:nvSpPr>
        <xdr:cNvPr id="11960" name="Text Box 1">
          <a:extLst>
            <a:ext uri="{FF2B5EF4-FFF2-40B4-BE49-F238E27FC236}">
              <a16:creationId xmlns:a16="http://schemas.microsoft.com/office/drawing/2014/main" id="{4F4B0B03-42CF-41E8-9732-A0E813152DA9}"/>
            </a:ext>
          </a:extLst>
        </xdr:cNvPr>
        <xdr:cNvSpPr txBox="1">
          <a:spLocks noChangeArrowheads="1"/>
        </xdr:cNvSpPr>
      </xdr:nvSpPr>
      <xdr:spPr bwMode="auto">
        <a:xfrm>
          <a:off x="17049750" y="12001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24</xdr:col>
      <xdr:colOff>565150</xdr:colOff>
      <xdr:row>46</xdr:row>
      <xdr:rowOff>152400</xdr:rowOff>
    </xdr:from>
    <xdr:ext cx="247650" cy="85725"/>
    <xdr:sp macro="" textlink="">
      <xdr:nvSpPr>
        <xdr:cNvPr id="11961" name="Text Box 1">
          <a:extLst>
            <a:ext uri="{FF2B5EF4-FFF2-40B4-BE49-F238E27FC236}">
              <a16:creationId xmlns:a16="http://schemas.microsoft.com/office/drawing/2014/main" id="{0D158FD0-FCB9-458F-A4A3-EE890892CB96}"/>
            </a:ext>
          </a:extLst>
        </xdr:cNvPr>
        <xdr:cNvSpPr txBox="1">
          <a:spLocks noChangeArrowheads="1"/>
        </xdr:cNvSpPr>
      </xdr:nvSpPr>
      <xdr:spPr bwMode="auto">
        <a:xfrm>
          <a:off x="17614900" y="12001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25</xdr:col>
      <xdr:colOff>565150</xdr:colOff>
      <xdr:row>46</xdr:row>
      <xdr:rowOff>152400</xdr:rowOff>
    </xdr:from>
    <xdr:ext cx="247650" cy="85725"/>
    <xdr:sp macro="" textlink="">
      <xdr:nvSpPr>
        <xdr:cNvPr id="11962" name="Text Box 1">
          <a:extLst>
            <a:ext uri="{FF2B5EF4-FFF2-40B4-BE49-F238E27FC236}">
              <a16:creationId xmlns:a16="http://schemas.microsoft.com/office/drawing/2014/main" id="{C93EBB64-22EF-4A92-86D5-4CC2C892F823}"/>
            </a:ext>
          </a:extLst>
        </xdr:cNvPr>
        <xdr:cNvSpPr txBox="1">
          <a:spLocks noChangeArrowheads="1"/>
        </xdr:cNvSpPr>
      </xdr:nvSpPr>
      <xdr:spPr bwMode="auto">
        <a:xfrm>
          <a:off x="18243550" y="12001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26</xdr:col>
      <xdr:colOff>565150</xdr:colOff>
      <xdr:row>46</xdr:row>
      <xdr:rowOff>152400</xdr:rowOff>
    </xdr:from>
    <xdr:ext cx="247650" cy="85725"/>
    <xdr:sp macro="" textlink="">
      <xdr:nvSpPr>
        <xdr:cNvPr id="11963" name="Text Box 1">
          <a:extLst>
            <a:ext uri="{FF2B5EF4-FFF2-40B4-BE49-F238E27FC236}">
              <a16:creationId xmlns:a16="http://schemas.microsoft.com/office/drawing/2014/main" id="{BFAC9159-EB6A-4FCB-81B0-10569A7175E4}"/>
            </a:ext>
          </a:extLst>
        </xdr:cNvPr>
        <xdr:cNvSpPr txBox="1">
          <a:spLocks noChangeArrowheads="1"/>
        </xdr:cNvSpPr>
      </xdr:nvSpPr>
      <xdr:spPr bwMode="auto">
        <a:xfrm>
          <a:off x="18764250" y="12001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565150</xdr:colOff>
      <xdr:row>46</xdr:row>
      <xdr:rowOff>152400</xdr:rowOff>
    </xdr:from>
    <xdr:ext cx="247650" cy="85725"/>
    <xdr:sp macro="" textlink="">
      <xdr:nvSpPr>
        <xdr:cNvPr id="11964" name="Text Box 1">
          <a:extLst>
            <a:ext uri="{FF2B5EF4-FFF2-40B4-BE49-F238E27FC236}">
              <a16:creationId xmlns:a16="http://schemas.microsoft.com/office/drawing/2014/main" id="{CC5B75BC-0673-46D1-AF95-2E996BC8712E}"/>
            </a:ext>
          </a:extLst>
        </xdr:cNvPr>
        <xdr:cNvSpPr txBox="1">
          <a:spLocks noChangeArrowheads="1"/>
        </xdr:cNvSpPr>
      </xdr:nvSpPr>
      <xdr:spPr bwMode="auto">
        <a:xfrm>
          <a:off x="19304000" y="12001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565150</xdr:colOff>
      <xdr:row>46</xdr:row>
      <xdr:rowOff>152400</xdr:rowOff>
    </xdr:from>
    <xdr:ext cx="247650" cy="85725"/>
    <xdr:sp macro="" textlink="">
      <xdr:nvSpPr>
        <xdr:cNvPr id="11965" name="Text Box 1">
          <a:extLst>
            <a:ext uri="{FF2B5EF4-FFF2-40B4-BE49-F238E27FC236}">
              <a16:creationId xmlns:a16="http://schemas.microsoft.com/office/drawing/2014/main" id="{882DCD2E-9DB5-4407-8245-1BFFC2A49EB8}"/>
            </a:ext>
          </a:extLst>
        </xdr:cNvPr>
        <xdr:cNvSpPr txBox="1">
          <a:spLocks noChangeArrowheads="1"/>
        </xdr:cNvSpPr>
      </xdr:nvSpPr>
      <xdr:spPr bwMode="auto">
        <a:xfrm>
          <a:off x="20408900" y="12001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565150</xdr:colOff>
      <xdr:row>46</xdr:row>
      <xdr:rowOff>152400</xdr:rowOff>
    </xdr:from>
    <xdr:ext cx="247650" cy="85725"/>
    <xdr:sp macro="" textlink="">
      <xdr:nvSpPr>
        <xdr:cNvPr id="11966" name="Text Box 1">
          <a:extLst>
            <a:ext uri="{FF2B5EF4-FFF2-40B4-BE49-F238E27FC236}">
              <a16:creationId xmlns:a16="http://schemas.microsoft.com/office/drawing/2014/main" id="{0A96E720-C422-4259-A766-FF7D0A2365D7}"/>
            </a:ext>
          </a:extLst>
        </xdr:cNvPr>
        <xdr:cNvSpPr txBox="1">
          <a:spLocks noChangeArrowheads="1"/>
        </xdr:cNvSpPr>
      </xdr:nvSpPr>
      <xdr:spPr bwMode="auto">
        <a:xfrm>
          <a:off x="21062950" y="12001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31</xdr:col>
      <xdr:colOff>565150</xdr:colOff>
      <xdr:row>46</xdr:row>
      <xdr:rowOff>152400</xdr:rowOff>
    </xdr:from>
    <xdr:ext cx="247650" cy="85725"/>
    <xdr:sp macro="" textlink="">
      <xdr:nvSpPr>
        <xdr:cNvPr id="11967" name="Text Box 1">
          <a:extLst>
            <a:ext uri="{FF2B5EF4-FFF2-40B4-BE49-F238E27FC236}">
              <a16:creationId xmlns:a16="http://schemas.microsoft.com/office/drawing/2014/main" id="{5AF6B641-6A41-4E93-A02D-24C878F9729A}"/>
            </a:ext>
          </a:extLst>
        </xdr:cNvPr>
        <xdr:cNvSpPr txBox="1">
          <a:spLocks noChangeArrowheads="1"/>
        </xdr:cNvSpPr>
      </xdr:nvSpPr>
      <xdr:spPr bwMode="auto">
        <a:xfrm>
          <a:off x="21678900" y="12001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32</xdr:col>
      <xdr:colOff>565150</xdr:colOff>
      <xdr:row>46</xdr:row>
      <xdr:rowOff>152400</xdr:rowOff>
    </xdr:from>
    <xdr:ext cx="247650" cy="85725"/>
    <xdr:sp macro="" textlink="">
      <xdr:nvSpPr>
        <xdr:cNvPr id="11968" name="Text Box 1">
          <a:extLst>
            <a:ext uri="{FF2B5EF4-FFF2-40B4-BE49-F238E27FC236}">
              <a16:creationId xmlns:a16="http://schemas.microsoft.com/office/drawing/2014/main" id="{73808A70-9121-4B30-838B-58199234EEC8}"/>
            </a:ext>
          </a:extLst>
        </xdr:cNvPr>
        <xdr:cNvSpPr txBox="1">
          <a:spLocks noChangeArrowheads="1"/>
        </xdr:cNvSpPr>
      </xdr:nvSpPr>
      <xdr:spPr bwMode="auto">
        <a:xfrm>
          <a:off x="22332950" y="12001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33</xdr:col>
      <xdr:colOff>565150</xdr:colOff>
      <xdr:row>46</xdr:row>
      <xdr:rowOff>152400</xdr:rowOff>
    </xdr:from>
    <xdr:ext cx="247650" cy="85725"/>
    <xdr:sp macro="" textlink="">
      <xdr:nvSpPr>
        <xdr:cNvPr id="11969" name="Text Box 1">
          <a:extLst>
            <a:ext uri="{FF2B5EF4-FFF2-40B4-BE49-F238E27FC236}">
              <a16:creationId xmlns:a16="http://schemas.microsoft.com/office/drawing/2014/main" id="{4CEDD012-E266-449A-A721-A9A2A3EA552D}"/>
            </a:ext>
          </a:extLst>
        </xdr:cNvPr>
        <xdr:cNvSpPr txBox="1">
          <a:spLocks noChangeArrowheads="1"/>
        </xdr:cNvSpPr>
      </xdr:nvSpPr>
      <xdr:spPr bwMode="auto">
        <a:xfrm>
          <a:off x="22948900" y="12001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565150</xdr:colOff>
      <xdr:row>46</xdr:row>
      <xdr:rowOff>152400</xdr:rowOff>
    </xdr:from>
    <xdr:ext cx="247650" cy="85725"/>
    <xdr:sp macro="" textlink="">
      <xdr:nvSpPr>
        <xdr:cNvPr id="11970" name="Text Box 1">
          <a:extLst>
            <a:ext uri="{FF2B5EF4-FFF2-40B4-BE49-F238E27FC236}">
              <a16:creationId xmlns:a16="http://schemas.microsoft.com/office/drawing/2014/main" id="{2C499DEC-A1F8-433E-BD2E-023C781695C5}"/>
            </a:ext>
          </a:extLst>
        </xdr:cNvPr>
        <xdr:cNvSpPr txBox="1">
          <a:spLocks noChangeArrowheads="1"/>
        </xdr:cNvSpPr>
      </xdr:nvSpPr>
      <xdr:spPr bwMode="auto">
        <a:xfrm>
          <a:off x="23564850" y="12001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35</xdr:col>
      <xdr:colOff>565150</xdr:colOff>
      <xdr:row>46</xdr:row>
      <xdr:rowOff>152400</xdr:rowOff>
    </xdr:from>
    <xdr:ext cx="247650" cy="85725"/>
    <xdr:sp macro="" textlink="">
      <xdr:nvSpPr>
        <xdr:cNvPr id="11971" name="Text Box 1">
          <a:extLst>
            <a:ext uri="{FF2B5EF4-FFF2-40B4-BE49-F238E27FC236}">
              <a16:creationId xmlns:a16="http://schemas.microsoft.com/office/drawing/2014/main" id="{D96CA847-B8CF-461B-AB15-FB92FDABC0A6}"/>
            </a:ext>
          </a:extLst>
        </xdr:cNvPr>
        <xdr:cNvSpPr txBox="1">
          <a:spLocks noChangeArrowheads="1"/>
        </xdr:cNvSpPr>
      </xdr:nvSpPr>
      <xdr:spPr bwMode="auto">
        <a:xfrm>
          <a:off x="24593550" y="12001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36</xdr:col>
      <xdr:colOff>565150</xdr:colOff>
      <xdr:row>46</xdr:row>
      <xdr:rowOff>152400</xdr:rowOff>
    </xdr:from>
    <xdr:ext cx="247650" cy="85725"/>
    <xdr:sp macro="" textlink="">
      <xdr:nvSpPr>
        <xdr:cNvPr id="11972" name="Text Box 1">
          <a:extLst>
            <a:ext uri="{FF2B5EF4-FFF2-40B4-BE49-F238E27FC236}">
              <a16:creationId xmlns:a16="http://schemas.microsoft.com/office/drawing/2014/main" id="{E42DFDB2-9ACA-44DF-AC0D-69888FB12221}"/>
            </a:ext>
          </a:extLst>
        </xdr:cNvPr>
        <xdr:cNvSpPr txBox="1">
          <a:spLocks noChangeArrowheads="1"/>
        </xdr:cNvSpPr>
      </xdr:nvSpPr>
      <xdr:spPr bwMode="auto">
        <a:xfrm>
          <a:off x="25209500" y="12001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565150</xdr:colOff>
      <xdr:row>46</xdr:row>
      <xdr:rowOff>152400</xdr:rowOff>
    </xdr:from>
    <xdr:ext cx="247650" cy="85725"/>
    <xdr:sp macro="" textlink="">
      <xdr:nvSpPr>
        <xdr:cNvPr id="11973" name="Text Box 1">
          <a:extLst>
            <a:ext uri="{FF2B5EF4-FFF2-40B4-BE49-F238E27FC236}">
              <a16:creationId xmlns:a16="http://schemas.microsoft.com/office/drawing/2014/main" id="{DC2E660F-13CB-4EB9-B9F3-26C0697F5C6A}"/>
            </a:ext>
          </a:extLst>
        </xdr:cNvPr>
        <xdr:cNvSpPr txBox="1">
          <a:spLocks noChangeArrowheads="1"/>
        </xdr:cNvSpPr>
      </xdr:nvSpPr>
      <xdr:spPr bwMode="auto">
        <a:xfrm>
          <a:off x="26441400" y="12001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565150</xdr:colOff>
      <xdr:row>46</xdr:row>
      <xdr:rowOff>152400</xdr:rowOff>
    </xdr:from>
    <xdr:ext cx="247650" cy="85725"/>
    <xdr:sp macro="" textlink="">
      <xdr:nvSpPr>
        <xdr:cNvPr id="11974" name="Text Box 1">
          <a:extLst>
            <a:ext uri="{FF2B5EF4-FFF2-40B4-BE49-F238E27FC236}">
              <a16:creationId xmlns:a16="http://schemas.microsoft.com/office/drawing/2014/main" id="{AB012F87-2DA3-4A1B-A1C5-2B8855A16E4F}"/>
            </a:ext>
          </a:extLst>
        </xdr:cNvPr>
        <xdr:cNvSpPr txBox="1">
          <a:spLocks noChangeArrowheads="1"/>
        </xdr:cNvSpPr>
      </xdr:nvSpPr>
      <xdr:spPr bwMode="auto">
        <a:xfrm>
          <a:off x="27095450" y="12001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565150</xdr:colOff>
      <xdr:row>47</xdr:row>
      <xdr:rowOff>152400</xdr:rowOff>
    </xdr:from>
    <xdr:ext cx="247650" cy="85725"/>
    <xdr:sp macro="" textlink="">
      <xdr:nvSpPr>
        <xdr:cNvPr id="11975" name="Text Box 1">
          <a:extLst>
            <a:ext uri="{FF2B5EF4-FFF2-40B4-BE49-F238E27FC236}">
              <a16:creationId xmlns:a16="http://schemas.microsoft.com/office/drawing/2014/main" id="{C148027E-7DEC-4C99-BEC4-D2AECC4EE904}"/>
            </a:ext>
          </a:extLst>
        </xdr:cNvPr>
        <xdr:cNvSpPr txBox="1">
          <a:spLocks noChangeArrowheads="1"/>
        </xdr:cNvSpPr>
      </xdr:nvSpPr>
      <xdr:spPr bwMode="auto">
        <a:xfrm>
          <a:off x="19304000" y="13652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76" name="Text Box 1">
          <a:extLst>
            <a:ext uri="{FF2B5EF4-FFF2-40B4-BE49-F238E27FC236}">
              <a16:creationId xmlns:a16="http://schemas.microsoft.com/office/drawing/2014/main" id="{F473AC50-DA02-4CC1-A00E-769BE100CEA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77" name="Text Box 1">
          <a:extLst>
            <a:ext uri="{FF2B5EF4-FFF2-40B4-BE49-F238E27FC236}">
              <a16:creationId xmlns:a16="http://schemas.microsoft.com/office/drawing/2014/main" id="{EECA4391-CA83-4DE9-BFC2-64AB1D3919F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78" name="Text Box 1">
          <a:extLst>
            <a:ext uri="{FF2B5EF4-FFF2-40B4-BE49-F238E27FC236}">
              <a16:creationId xmlns:a16="http://schemas.microsoft.com/office/drawing/2014/main" id="{A31F5B80-3131-44C8-A785-7730723A8E9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79" name="Text Box 1">
          <a:extLst>
            <a:ext uri="{FF2B5EF4-FFF2-40B4-BE49-F238E27FC236}">
              <a16:creationId xmlns:a16="http://schemas.microsoft.com/office/drawing/2014/main" id="{892EFA72-7B8C-4C6D-9618-CEDC57192DA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80" name="Text Box 1">
          <a:extLst>
            <a:ext uri="{FF2B5EF4-FFF2-40B4-BE49-F238E27FC236}">
              <a16:creationId xmlns:a16="http://schemas.microsoft.com/office/drawing/2014/main" id="{EC900BBC-930F-4648-A22E-301CC07F111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81" name="Text Box 1">
          <a:extLst>
            <a:ext uri="{FF2B5EF4-FFF2-40B4-BE49-F238E27FC236}">
              <a16:creationId xmlns:a16="http://schemas.microsoft.com/office/drawing/2014/main" id="{BDD472D1-E95C-440D-A4CB-6D577D93F98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82" name="Text Box 1">
          <a:extLst>
            <a:ext uri="{FF2B5EF4-FFF2-40B4-BE49-F238E27FC236}">
              <a16:creationId xmlns:a16="http://schemas.microsoft.com/office/drawing/2014/main" id="{DB3EE1A1-7FE2-401B-B2FE-7FDC25C4EF8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83" name="Text Box 1">
          <a:extLst>
            <a:ext uri="{FF2B5EF4-FFF2-40B4-BE49-F238E27FC236}">
              <a16:creationId xmlns:a16="http://schemas.microsoft.com/office/drawing/2014/main" id="{3563E11E-228E-4FB3-9E1A-F2EC5768C62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84" name="Text Box 1">
          <a:extLst>
            <a:ext uri="{FF2B5EF4-FFF2-40B4-BE49-F238E27FC236}">
              <a16:creationId xmlns:a16="http://schemas.microsoft.com/office/drawing/2014/main" id="{C7EE546D-9028-4C70-8104-3B06DD35EA9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85" name="Text Box 1">
          <a:extLst>
            <a:ext uri="{FF2B5EF4-FFF2-40B4-BE49-F238E27FC236}">
              <a16:creationId xmlns:a16="http://schemas.microsoft.com/office/drawing/2014/main" id="{14DB0F17-0E0E-4F6A-899A-862D6D3BB30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86" name="Text Box 1">
          <a:extLst>
            <a:ext uri="{FF2B5EF4-FFF2-40B4-BE49-F238E27FC236}">
              <a16:creationId xmlns:a16="http://schemas.microsoft.com/office/drawing/2014/main" id="{4FC91AC9-897B-42C8-AAAD-B84FBF5BC2A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87" name="Text Box 1">
          <a:extLst>
            <a:ext uri="{FF2B5EF4-FFF2-40B4-BE49-F238E27FC236}">
              <a16:creationId xmlns:a16="http://schemas.microsoft.com/office/drawing/2014/main" id="{CE8641E3-0C3E-41CD-A7E9-195CD697C70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88" name="Text Box 1">
          <a:extLst>
            <a:ext uri="{FF2B5EF4-FFF2-40B4-BE49-F238E27FC236}">
              <a16:creationId xmlns:a16="http://schemas.microsoft.com/office/drawing/2014/main" id="{B629C881-9900-4DCC-A1C4-853B3929805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89" name="Text Box 1">
          <a:extLst>
            <a:ext uri="{FF2B5EF4-FFF2-40B4-BE49-F238E27FC236}">
              <a16:creationId xmlns:a16="http://schemas.microsoft.com/office/drawing/2014/main" id="{EA8FF1C4-B4FD-4ACF-BFB7-A1BD4CA864A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90" name="Text Box 1">
          <a:extLst>
            <a:ext uri="{FF2B5EF4-FFF2-40B4-BE49-F238E27FC236}">
              <a16:creationId xmlns:a16="http://schemas.microsoft.com/office/drawing/2014/main" id="{424DAB09-C586-4087-936E-DFF17A5E9AE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91" name="Text Box 1">
          <a:extLst>
            <a:ext uri="{FF2B5EF4-FFF2-40B4-BE49-F238E27FC236}">
              <a16:creationId xmlns:a16="http://schemas.microsoft.com/office/drawing/2014/main" id="{73E6A231-2FE9-4E65-A585-5A1B853ADC8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92" name="Text Box 1">
          <a:extLst>
            <a:ext uri="{FF2B5EF4-FFF2-40B4-BE49-F238E27FC236}">
              <a16:creationId xmlns:a16="http://schemas.microsoft.com/office/drawing/2014/main" id="{E2E9DF42-14A5-443E-8BE6-BB951FAA081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93" name="Text Box 1">
          <a:extLst>
            <a:ext uri="{FF2B5EF4-FFF2-40B4-BE49-F238E27FC236}">
              <a16:creationId xmlns:a16="http://schemas.microsoft.com/office/drawing/2014/main" id="{D90E936C-A01E-4720-98C1-D4047DF8C4F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94" name="Text Box 1">
          <a:extLst>
            <a:ext uri="{FF2B5EF4-FFF2-40B4-BE49-F238E27FC236}">
              <a16:creationId xmlns:a16="http://schemas.microsoft.com/office/drawing/2014/main" id="{F520D95E-D8D7-4956-A034-5F157ACB77E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95" name="Text Box 1">
          <a:extLst>
            <a:ext uri="{FF2B5EF4-FFF2-40B4-BE49-F238E27FC236}">
              <a16:creationId xmlns:a16="http://schemas.microsoft.com/office/drawing/2014/main" id="{41EBFC21-273B-42D8-900F-7071AF3BD99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96" name="Text Box 1">
          <a:extLst>
            <a:ext uri="{FF2B5EF4-FFF2-40B4-BE49-F238E27FC236}">
              <a16:creationId xmlns:a16="http://schemas.microsoft.com/office/drawing/2014/main" id="{AD65C0C6-039A-4A2B-9661-89078DDD912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97" name="Text Box 1">
          <a:extLst>
            <a:ext uri="{FF2B5EF4-FFF2-40B4-BE49-F238E27FC236}">
              <a16:creationId xmlns:a16="http://schemas.microsoft.com/office/drawing/2014/main" id="{A8CD295C-00CA-45D2-A9AA-F1F8DF3E89D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98" name="Text Box 1">
          <a:extLst>
            <a:ext uri="{FF2B5EF4-FFF2-40B4-BE49-F238E27FC236}">
              <a16:creationId xmlns:a16="http://schemas.microsoft.com/office/drawing/2014/main" id="{8CCC4BEA-EA0F-4C19-AE39-6EEC8B6EF0D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1999" name="Text Box 1">
          <a:extLst>
            <a:ext uri="{FF2B5EF4-FFF2-40B4-BE49-F238E27FC236}">
              <a16:creationId xmlns:a16="http://schemas.microsoft.com/office/drawing/2014/main" id="{3E2D179D-6E41-4BA3-A3FA-BA3CA80238E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00" name="Text Box 1">
          <a:extLst>
            <a:ext uri="{FF2B5EF4-FFF2-40B4-BE49-F238E27FC236}">
              <a16:creationId xmlns:a16="http://schemas.microsoft.com/office/drawing/2014/main" id="{76648A95-020B-4522-A5A1-8A5307517B8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01" name="Text Box 1">
          <a:extLst>
            <a:ext uri="{FF2B5EF4-FFF2-40B4-BE49-F238E27FC236}">
              <a16:creationId xmlns:a16="http://schemas.microsoft.com/office/drawing/2014/main" id="{0C9D52B6-31A5-46D1-AB84-13EA806A47B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02" name="Text Box 1">
          <a:extLst>
            <a:ext uri="{FF2B5EF4-FFF2-40B4-BE49-F238E27FC236}">
              <a16:creationId xmlns:a16="http://schemas.microsoft.com/office/drawing/2014/main" id="{32F3213E-50A9-4AE7-AE82-444C04C0FBA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03" name="Text Box 1">
          <a:extLst>
            <a:ext uri="{FF2B5EF4-FFF2-40B4-BE49-F238E27FC236}">
              <a16:creationId xmlns:a16="http://schemas.microsoft.com/office/drawing/2014/main" id="{BDC26D93-5DE6-4F2A-B018-4C9ECDF1657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04" name="Text Box 1">
          <a:extLst>
            <a:ext uri="{FF2B5EF4-FFF2-40B4-BE49-F238E27FC236}">
              <a16:creationId xmlns:a16="http://schemas.microsoft.com/office/drawing/2014/main" id="{16AE9372-B730-4884-8517-B0181C7C747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05" name="Text Box 1">
          <a:extLst>
            <a:ext uri="{FF2B5EF4-FFF2-40B4-BE49-F238E27FC236}">
              <a16:creationId xmlns:a16="http://schemas.microsoft.com/office/drawing/2014/main" id="{02E1C0E6-88A3-4DD1-BFFE-C1F77CA8FE7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06" name="Text Box 1">
          <a:extLst>
            <a:ext uri="{FF2B5EF4-FFF2-40B4-BE49-F238E27FC236}">
              <a16:creationId xmlns:a16="http://schemas.microsoft.com/office/drawing/2014/main" id="{BE4BB265-CEF5-42BC-A939-35967756100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07" name="Text Box 1">
          <a:extLst>
            <a:ext uri="{FF2B5EF4-FFF2-40B4-BE49-F238E27FC236}">
              <a16:creationId xmlns:a16="http://schemas.microsoft.com/office/drawing/2014/main" id="{D93CA34C-FB9D-4941-8360-B99E083E1E1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08" name="Text Box 1">
          <a:extLst>
            <a:ext uri="{FF2B5EF4-FFF2-40B4-BE49-F238E27FC236}">
              <a16:creationId xmlns:a16="http://schemas.microsoft.com/office/drawing/2014/main" id="{9EB67B17-ACDD-4B5A-8F40-AE648E8ABDA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09" name="Text Box 1">
          <a:extLst>
            <a:ext uri="{FF2B5EF4-FFF2-40B4-BE49-F238E27FC236}">
              <a16:creationId xmlns:a16="http://schemas.microsoft.com/office/drawing/2014/main" id="{D2DF2D25-7DDA-453B-A4F0-9569DCCC66E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10" name="Text Box 1">
          <a:extLst>
            <a:ext uri="{FF2B5EF4-FFF2-40B4-BE49-F238E27FC236}">
              <a16:creationId xmlns:a16="http://schemas.microsoft.com/office/drawing/2014/main" id="{8540C7C4-BFBD-41BA-BC13-446BAA312D5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11" name="Text Box 1">
          <a:extLst>
            <a:ext uri="{FF2B5EF4-FFF2-40B4-BE49-F238E27FC236}">
              <a16:creationId xmlns:a16="http://schemas.microsoft.com/office/drawing/2014/main" id="{2722AE00-0159-4E7A-9A94-D31DF86B319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12" name="Text Box 1">
          <a:extLst>
            <a:ext uri="{FF2B5EF4-FFF2-40B4-BE49-F238E27FC236}">
              <a16:creationId xmlns:a16="http://schemas.microsoft.com/office/drawing/2014/main" id="{60294B60-98DD-4DFF-8C3D-B22290A40A0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13" name="Text Box 1">
          <a:extLst>
            <a:ext uri="{FF2B5EF4-FFF2-40B4-BE49-F238E27FC236}">
              <a16:creationId xmlns:a16="http://schemas.microsoft.com/office/drawing/2014/main" id="{7B4C39BD-CBBE-4F28-8A71-3F1E5D99BF8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14" name="Text Box 1">
          <a:extLst>
            <a:ext uri="{FF2B5EF4-FFF2-40B4-BE49-F238E27FC236}">
              <a16:creationId xmlns:a16="http://schemas.microsoft.com/office/drawing/2014/main" id="{411D8708-3C09-45EC-BFB9-66332821788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15" name="Text Box 1">
          <a:extLst>
            <a:ext uri="{FF2B5EF4-FFF2-40B4-BE49-F238E27FC236}">
              <a16:creationId xmlns:a16="http://schemas.microsoft.com/office/drawing/2014/main" id="{CD12A927-58D6-42AC-BA9F-CD4A42F8457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16" name="Text Box 1">
          <a:extLst>
            <a:ext uri="{FF2B5EF4-FFF2-40B4-BE49-F238E27FC236}">
              <a16:creationId xmlns:a16="http://schemas.microsoft.com/office/drawing/2014/main" id="{58DF43C2-E2FB-48A5-8775-5B4D289D061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17" name="Text Box 1">
          <a:extLst>
            <a:ext uri="{FF2B5EF4-FFF2-40B4-BE49-F238E27FC236}">
              <a16:creationId xmlns:a16="http://schemas.microsoft.com/office/drawing/2014/main" id="{CB7ED94F-24EA-4427-AFA2-9F0CBC9C2E4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18" name="Text Box 1">
          <a:extLst>
            <a:ext uri="{FF2B5EF4-FFF2-40B4-BE49-F238E27FC236}">
              <a16:creationId xmlns:a16="http://schemas.microsoft.com/office/drawing/2014/main" id="{999BB829-7764-456B-8A98-11B7FEBC8CA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19" name="Text Box 1">
          <a:extLst>
            <a:ext uri="{FF2B5EF4-FFF2-40B4-BE49-F238E27FC236}">
              <a16:creationId xmlns:a16="http://schemas.microsoft.com/office/drawing/2014/main" id="{CA9A9E05-75EC-4BE9-BCDD-5B181F5D1B6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20" name="Text Box 1">
          <a:extLst>
            <a:ext uri="{FF2B5EF4-FFF2-40B4-BE49-F238E27FC236}">
              <a16:creationId xmlns:a16="http://schemas.microsoft.com/office/drawing/2014/main" id="{2DDF70FD-D1A4-4C29-891C-A801B65FAD4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21" name="Text Box 1">
          <a:extLst>
            <a:ext uri="{FF2B5EF4-FFF2-40B4-BE49-F238E27FC236}">
              <a16:creationId xmlns:a16="http://schemas.microsoft.com/office/drawing/2014/main" id="{84B8AFDE-F24B-48DA-AB2F-B6679F01516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22" name="Text Box 1">
          <a:extLst>
            <a:ext uri="{FF2B5EF4-FFF2-40B4-BE49-F238E27FC236}">
              <a16:creationId xmlns:a16="http://schemas.microsoft.com/office/drawing/2014/main" id="{B984F619-9DD4-4375-B89B-3B95D5311D6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23" name="Text Box 1">
          <a:extLst>
            <a:ext uri="{FF2B5EF4-FFF2-40B4-BE49-F238E27FC236}">
              <a16:creationId xmlns:a16="http://schemas.microsoft.com/office/drawing/2014/main" id="{08193A2D-9219-4591-8CAC-79F0CFA536A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24" name="Text Box 1">
          <a:extLst>
            <a:ext uri="{FF2B5EF4-FFF2-40B4-BE49-F238E27FC236}">
              <a16:creationId xmlns:a16="http://schemas.microsoft.com/office/drawing/2014/main" id="{697005C8-272B-4D58-B70D-8432B196DE3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25" name="Text Box 1">
          <a:extLst>
            <a:ext uri="{FF2B5EF4-FFF2-40B4-BE49-F238E27FC236}">
              <a16:creationId xmlns:a16="http://schemas.microsoft.com/office/drawing/2014/main" id="{6E786D44-7689-458E-B5F9-04B99F9BF5F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26" name="Text Box 1">
          <a:extLst>
            <a:ext uri="{FF2B5EF4-FFF2-40B4-BE49-F238E27FC236}">
              <a16:creationId xmlns:a16="http://schemas.microsoft.com/office/drawing/2014/main" id="{6DC24898-B85C-49FF-ADD2-9A16ECC55CA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27" name="Text Box 1">
          <a:extLst>
            <a:ext uri="{FF2B5EF4-FFF2-40B4-BE49-F238E27FC236}">
              <a16:creationId xmlns:a16="http://schemas.microsoft.com/office/drawing/2014/main" id="{53DBA360-C9D2-4B3A-8665-8186A2EB27C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28" name="Text Box 1">
          <a:extLst>
            <a:ext uri="{FF2B5EF4-FFF2-40B4-BE49-F238E27FC236}">
              <a16:creationId xmlns:a16="http://schemas.microsoft.com/office/drawing/2014/main" id="{1B89CC19-1371-4A71-B839-014BFC590F6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29" name="Text Box 1">
          <a:extLst>
            <a:ext uri="{FF2B5EF4-FFF2-40B4-BE49-F238E27FC236}">
              <a16:creationId xmlns:a16="http://schemas.microsoft.com/office/drawing/2014/main" id="{50E487C1-2A2D-4A49-87A7-D2FF54C6331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30" name="Text Box 1">
          <a:extLst>
            <a:ext uri="{FF2B5EF4-FFF2-40B4-BE49-F238E27FC236}">
              <a16:creationId xmlns:a16="http://schemas.microsoft.com/office/drawing/2014/main" id="{259D528E-FE58-4FFE-B48D-75B3622140B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31" name="Text Box 1">
          <a:extLst>
            <a:ext uri="{FF2B5EF4-FFF2-40B4-BE49-F238E27FC236}">
              <a16:creationId xmlns:a16="http://schemas.microsoft.com/office/drawing/2014/main" id="{75B59721-5E63-46A7-B5D1-D0AD2ED8AB8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32" name="Text Box 1">
          <a:extLst>
            <a:ext uri="{FF2B5EF4-FFF2-40B4-BE49-F238E27FC236}">
              <a16:creationId xmlns:a16="http://schemas.microsoft.com/office/drawing/2014/main" id="{6A19825F-1775-4E80-9528-D6F2C40FFAF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33" name="Text Box 1">
          <a:extLst>
            <a:ext uri="{FF2B5EF4-FFF2-40B4-BE49-F238E27FC236}">
              <a16:creationId xmlns:a16="http://schemas.microsoft.com/office/drawing/2014/main" id="{664B2603-B1D5-44F3-B872-360A73488AD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34" name="Text Box 1">
          <a:extLst>
            <a:ext uri="{FF2B5EF4-FFF2-40B4-BE49-F238E27FC236}">
              <a16:creationId xmlns:a16="http://schemas.microsoft.com/office/drawing/2014/main" id="{E7469E91-F633-43D6-B0D6-284D74E93FE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35" name="Text Box 1">
          <a:extLst>
            <a:ext uri="{FF2B5EF4-FFF2-40B4-BE49-F238E27FC236}">
              <a16:creationId xmlns:a16="http://schemas.microsoft.com/office/drawing/2014/main" id="{28D73932-BC55-4215-8368-3601EB7D757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36" name="Text Box 1">
          <a:extLst>
            <a:ext uri="{FF2B5EF4-FFF2-40B4-BE49-F238E27FC236}">
              <a16:creationId xmlns:a16="http://schemas.microsoft.com/office/drawing/2014/main" id="{84D3E7A3-7DC3-4F41-9728-420CF10F4E3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37" name="Text Box 1">
          <a:extLst>
            <a:ext uri="{FF2B5EF4-FFF2-40B4-BE49-F238E27FC236}">
              <a16:creationId xmlns:a16="http://schemas.microsoft.com/office/drawing/2014/main" id="{7D1D6909-3568-4EC3-85E1-26AA916729D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38" name="Text Box 1">
          <a:extLst>
            <a:ext uri="{FF2B5EF4-FFF2-40B4-BE49-F238E27FC236}">
              <a16:creationId xmlns:a16="http://schemas.microsoft.com/office/drawing/2014/main" id="{67879A02-BD9A-4C43-B555-99955B04BA2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39" name="Text Box 1">
          <a:extLst>
            <a:ext uri="{FF2B5EF4-FFF2-40B4-BE49-F238E27FC236}">
              <a16:creationId xmlns:a16="http://schemas.microsoft.com/office/drawing/2014/main" id="{4DB9240E-45F8-4195-8AA2-AD6C8256809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40" name="Text Box 1">
          <a:extLst>
            <a:ext uri="{FF2B5EF4-FFF2-40B4-BE49-F238E27FC236}">
              <a16:creationId xmlns:a16="http://schemas.microsoft.com/office/drawing/2014/main" id="{B374294E-B9F1-4CCF-941E-E9E8A324628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41" name="Text Box 1">
          <a:extLst>
            <a:ext uri="{FF2B5EF4-FFF2-40B4-BE49-F238E27FC236}">
              <a16:creationId xmlns:a16="http://schemas.microsoft.com/office/drawing/2014/main" id="{2FC7CB25-652C-450A-9D60-28753ABECD9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42" name="Text Box 1">
          <a:extLst>
            <a:ext uri="{FF2B5EF4-FFF2-40B4-BE49-F238E27FC236}">
              <a16:creationId xmlns:a16="http://schemas.microsoft.com/office/drawing/2014/main" id="{9FCB155D-E051-43A3-96B6-226B4AE6C4D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43" name="Text Box 1">
          <a:extLst>
            <a:ext uri="{FF2B5EF4-FFF2-40B4-BE49-F238E27FC236}">
              <a16:creationId xmlns:a16="http://schemas.microsoft.com/office/drawing/2014/main" id="{2FC77C8A-0498-4368-84E1-06C78E8C77B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44" name="Text Box 1">
          <a:extLst>
            <a:ext uri="{FF2B5EF4-FFF2-40B4-BE49-F238E27FC236}">
              <a16:creationId xmlns:a16="http://schemas.microsoft.com/office/drawing/2014/main" id="{99FEB21B-EB52-4BBC-8380-2A1B4128AB3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45" name="Text Box 1">
          <a:extLst>
            <a:ext uri="{FF2B5EF4-FFF2-40B4-BE49-F238E27FC236}">
              <a16:creationId xmlns:a16="http://schemas.microsoft.com/office/drawing/2014/main" id="{9B774488-D035-4092-8664-176D8D46152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46" name="Text Box 1">
          <a:extLst>
            <a:ext uri="{FF2B5EF4-FFF2-40B4-BE49-F238E27FC236}">
              <a16:creationId xmlns:a16="http://schemas.microsoft.com/office/drawing/2014/main" id="{A4279423-FFF5-4952-A88C-33D659E260D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47" name="Text Box 1">
          <a:extLst>
            <a:ext uri="{FF2B5EF4-FFF2-40B4-BE49-F238E27FC236}">
              <a16:creationId xmlns:a16="http://schemas.microsoft.com/office/drawing/2014/main" id="{72A47963-0508-4C7B-AE27-7092B60CC75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48" name="Text Box 1">
          <a:extLst>
            <a:ext uri="{FF2B5EF4-FFF2-40B4-BE49-F238E27FC236}">
              <a16:creationId xmlns:a16="http://schemas.microsoft.com/office/drawing/2014/main" id="{1085E062-6030-402A-88BA-3E02313BDA4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49" name="Text Box 1">
          <a:extLst>
            <a:ext uri="{FF2B5EF4-FFF2-40B4-BE49-F238E27FC236}">
              <a16:creationId xmlns:a16="http://schemas.microsoft.com/office/drawing/2014/main" id="{5012C53F-74E8-475E-B27C-E6641AE4C8B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50" name="Text Box 1">
          <a:extLst>
            <a:ext uri="{FF2B5EF4-FFF2-40B4-BE49-F238E27FC236}">
              <a16:creationId xmlns:a16="http://schemas.microsoft.com/office/drawing/2014/main" id="{4C9EB300-1F74-4FF9-9935-3C119F819BE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51" name="Text Box 1">
          <a:extLst>
            <a:ext uri="{FF2B5EF4-FFF2-40B4-BE49-F238E27FC236}">
              <a16:creationId xmlns:a16="http://schemas.microsoft.com/office/drawing/2014/main" id="{BA56D903-D1D4-4718-B4FB-2914A00E579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52" name="Text Box 1">
          <a:extLst>
            <a:ext uri="{FF2B5EF4-FFF2-40B4-BE49-F238E27FC236}">
              <a16:creationId xmlns:a16="http://schemas.microsoft.com/office/drawing/2014/main" id="{32F27DCE-508C-4C69-9C5E-79649A77297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53" name="Text Box 1">
          <a:extLst>
            <a:ext uri="{FF2B5EF4-FFF2-40B4-BE49-F238E27FC236}">
              <a16:creationId xmlns:a16="http://schemas.microsoft.com/office/drawing/2014/main" id="{9D837232-669A-4D6D-AF8F-00432A04767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54" name="Text Box 1">
          <a:extLst>
            <a:ext uri="{FF2B5EF4-FFF2-40B4-BE49-F238E27FC236}">
              <a16:creationId xmlns:a16="http://schemas.microsoft.com/office/drawing/2014/main" id="{F7B141EC-36C8-47CB-8908-F1BA8E8FFB8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55" name="Text Box 1">
          <a:extLst>
            <a:ext uri="{FF2B5EF4-FFF2-40B4-BE49-F238E27FC236}">
              <a16:creationId xmlns:a16="http://schemas.microsoft.com/office/drawing/2014/main" id="{87EC6D52-608B-4391-99FB-8F0F77A66DD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56" name="Text Box 1">
          <a:extLst>
            <a:ext uri="{FF2B5EF4-FFF2-40B4-BE49-F238E27FC236}">
              <a16:creationId xmlns:a16="http://schemas.microsoft.com/office/drawing/2014/main" id="{DDEFB9F2-9F2B-45DE-B625-D75E9F5256E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57" name="Text Box 1">
          <a:extLst>
            <a:ext uri="{FF2B5EF4-FFF2-40B4-BE49-F238E27FC236}">
              <a16:creationId xmlns:a16="http://schemas.microsoft.com/office/drawing/2014/main" id="{52B723DE-FD7D-492E-AF4B-50BB3CA5CEF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58" name="Text Box 1">
          <a:extLst>
            <a:ext uri="{FF2B5EF4-FFF2-40B4-BE49-F238E27FC236}">
              <a16:creationId xmlns:a16="http://schemas.microsoft.com/office/drawing/2014/main" id="{41CF8741-5C17-4313-AD9B-4CB65521CBF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59" name="Text Box 1">
          <a:extLst>
            <a:ext uri="{FF2B5EF4-FFF2-40B4-BE49-F238E27FC236}">
              <a16:creationId xmlns:a16="http://schemas.microsoft.com/office/drawing/2014/main" id="{80A9FB84-72F2-45B0-90E9-E24BB24E472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60" name="Text Box 1">
          <a:extLst>
            <a:ext uri="{FF2B5EF4-FFF2-40B4-BE49-F238E27FC236}">
              <a16:creationId xmlns:a16="http://schemas.microsoft.com/office/drawing/2014/main" id="{EEC7BC2D-7A5B-49C6-9BB6-FAE23A1FA7B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61" name="Text Box 1">
          <a:extLst>
            <a:ext uri="{FF2B5EF4-FFF2-40B4-BE49-F238E27FC236}">
              <a16:creationId xmlns:a16="http://schemas.microsoft.com/office/drawing/2014/main" id="{EBA1B035-FDB2-4714-B79B-8888EAA5098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62" name="Text Box 1">
          <a:extLst>
            <a:ext uri="{FF2B5EF4-FFF2-40B4-BE49-F238E27FC236}">
              <a16:creationId xmlns:a16="http://schemas.microsoft.com/office/drawing/2014/main" id="{996FE12F-2170-40A0-963E-3943C712AE8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63" name="Text Box 1">
          <a:extLst>
            <a:ext uri="{FF2B5EF4-FFF2-40B4-BE49-F238E27FC236}">
              <a16:creationId xmlns:a16="http://schemas.microsoft.com/office/drawing/2014/main" id="{F0C7B438-0D78-4AE2-92DF-F09F671624A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64" name="Text Box 1">
          <a:extLst>
            <a:ext uri="{FF2B5EF4-FFF2-40B4-BE49-F238E27FC236}">
              <a16:creationId xmlns:a16="http://schemas.microsoft.com/office/drawing/2014/main" id="{1F3FAAA3-ED17-4E8B-9AAD-CEF3B8F1795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65" name="Text Box 1">
          <a:extLst>
            <a:ext uri="{FF2B5EF4-FFF2-40B4-BE49-F238E27FC236}">
              <a16:creationId xmlns:a16="http://schemas.microsoft.com/office/drawing/2014/main" id="{67972F84-DCE0-4EFB-BD4A-E33C2B35415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66" name="Text Box 1">
          <a:extLst>
            <a:ext uri="{FF2B5EF4-FFF2-40B4-BE49-F238E27FC236}">
              <a16:creationId xmlns:a16="http://schemas.microsoft.com/office/drawing/2014/main" id="{6BC8F8C3-B0E1-40E3-96C7-D5692F6DBC8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67" name="Text Box 1">
          <a:extLst>
            <a:ext uri="{FF2B5EF4-FFF2-40B4-BE49-F238E27FC236}">
              <a16:creationId xmlns:a16="http://schemas.microsoft.com/office/drawing/2014/main" id="{4E25E056-D05A-499B-A1BD-57840CD4911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68" name="Text Box 1">
          <a:extLst>
            <a:ext uri="{FF2B5EF4-FFF2-40B4-BE49-F238E27FC236}">
              <a16:creationId xmlns:a16="http://schemas.microsoft.com/office/drawing/2014/main" id="{0160FCB6-B3F2-4B7C-97C1-0B6A9846DF9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69" name="Text Box 1">
          <a:extLst>
            <a:ext uri="{FF2B5EF4-FFF2-40B4-BE49-F238E27FC236}">
              <a16:creationId xmlns:a16="http://schemas.microsoft.com/office/drawing/2014/main" id="{2D5CC5EB-C77A-468E-B3C7-B03DCE06DDB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70" name="Text Box 1">
          <a:extLst>
            <a:ext uri="{FF2B5EF4-FFF2-40B4-BE49-F238E27FC236}">
              <a16:creationId xmlns:a16="http://schemas.microsoft.com/office/drawing/2014/main" id="{8C272352-3E1C-4C3C-A4B8-25739361892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71" name="Text Box 1">
          <a:extLst>
            <a:ext uri="{FF2B5EF4-FFF2-40B4-BE49-F238E27FC236}">
              <a16:creationId xmlns:a16="http://schemas.microsoft.com/office/drawing/2014/main" id="{7C56ADA2-B213-4986-9AFD-9C94C6B334D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72" name="Text Box 1">
          <a:extLst>
            <a:ext uri="{FF2B5EF4-FFF2-40B4-BE49-F238E27FC236}">
              <a16:creationId xmlns:a16="http://schemas.microsoft.com/office/drawing/2014/main" id="{4622EAB7-63A2-470A-9554-180820DF948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73" name="Text Box 1">
          <a:extLst>
            <a:ext uri="{FF2B5EF4-FFF2-40B4-BE49-F238E27FC236}">
              <a16:creationId xmlns:a16="http://schemas.microsoft.com/office/drawing/2014/main" id="{5E4B351A-BA55-46BA-90DC-BEEBFB0BC22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74" name="Text Box 1">
          <a:extLst>
            <a:ext uri="{FF2B5EF4-FFF2-40B4-BE49-F238E27FC236}">
              <a16:creationId xmlns:a16="http://schemas.microsoft.com/office/drawing/2014/main" id="{9FDFDA7E-B752-4EA8-9D15-108783B7F22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75" name="Text Box 1">
          <a:extLst>
            <a:ext uri="{FF2B5EF4-FFF2-40B4-BE49-F238E27FC236}">
              <a16:creationId xmlns:a16="http://schemas.microsoft.com/office/drawing/2014/main" id="{3B44A31D-BCC0-415C-9743-D73836FE2AE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76" name="Text Box 1">
          <a:extLst>
            <a:ext uri="{FF2B5EF4-FFF2-40B4-BE49-F238E27FC236}">
              <a16:creationId xmlns:a16="http://schemas.microsoft.com/office/drawing/2014/main" id="{99550F5B-7639-4715-8EC5-1E0FF12D7C9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77" name="Text Box 1">
          <a:extLst>
            <a:ext uri="{FF2B5EF4-FFF2-40B4-BE49-F238E27FC236}">
              <a16:creationId xmlns:a16="http://schemas.microsoft.com/office/drawing/2014/main" id="{F4151BF8-389A-4967-A629-B8AD9D9D454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78" name="Text Box 1">
          <a:extLst>
            <a:ext uri="{FF2B5EF4-FFF2-40B4-BE49-F238E27FC236}">
              <a16:creationId xmlns:a16="http://schemas.microsoft.com/office/drawing/2014/main" id="{155C436B-48AE-4E02-981F-812F03897CB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79" name="Text Box 1">
          <a:extLst>
            <a:ext uri="{FF2B5EF4-FFF2-40B4-BE49-F238E27FC236}">
              <a16:creationId xmlns:a16="http://schemas.microsoft.com/office/drawing/2014/main" id="{3B08EB9C-4D39-496B-85FA-2BAC1F89BCF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80" name="Text Box 1">
          <a:extLst>
            <a:ext uri="{FF2B5EF4-FFF2-40B4-BE49-F238E27FC236}">
              <a16:creationId xmlns:a16="http://schemas.microsoft.com/office/drawing/2014/main" id="{DA1E27E8-66EA-44BF-9771-8534A9F380D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81" name="Text Box 1">
          <a:extLst>
            <a:ext uri="{FF2B5EF4-FFF2-40B4-BE49-F238E27FC236}">
              <a16:creationId xmlns:a16="http://schemas.microsoft.com/office/drawing/2014/main" id="{D69099C2-A450-4096-80EF-C4D41588C8D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82" name="Text Box 1">
          <a:extLst>
            <a:ext uri="{FF2B5EF4-FFF2-40B4-BE49-F238E27FC236}">
              <a16:creationId xmlns:a16="http://schemas.microsoft.com/office/drawing/2014/main" id="{F895DBB0-25ED-4CBD-ACB8-F9F62C8734B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83" name="Text Box 1">
          <a:extLst>
            <a:ext uri="{FF2B5EF4-FFF2-40B4-BE49-F238E27FC236}">
              <a16:creationId xmlns:a16="http://schemas.microsoft.com/office/drawing/2014/main" id="{F1ADF18F-C8EE-4F2B-83D6-A6FD191B775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84" name="Text Box 1">
          <a:extLst>
            <a:ext uri="{FF2B5EF4-FFF2-40B4-BE49-F238E27FC236}">
              <a16:creationId xmlns:a16="http://schemas.microsoft.com/office/drawing/2014/main" id="{61BA709B-253B-4953-8D49-F297F868C97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85" name="Text Box 1">
          <a:extLst>
            <a:ext uri="{FF2B5EF4-FFF2-40B4-BE49-F238E27FC236}">
              <a16:creationId xmlns:a16="http://schemas.microsoft.com/office/drawing/2014/main" id="{2D2D194D-5BF1-42C0-A48A-1DCBA6FFFA7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86" name="Text Box 1">
          <a:extLst>
            <a:ext uri="{FF2B5EF4-FFF2-40B4-BE49-F238E27FC236}">
              <a16:creationId xmlns:a16="http://schemas.microsoft.com/office/drawing/2014/main" id="{123FC9DB-BEC3-47E7-B328-561B9AAD671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87" name="Text Box 1">
          <a:extLst>
            <a:ext uri="{FF2B5EF4-FFF2-40B4-BE49-F238E27FC236}">
              <a16:creationId xmlns:a16="http://schemas.microsoft.com/office/drawing/2014/main" id="{C2E8F54F-7F33-47F2-BA6F-CBD2726C3B9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88" name="Text Box 1">
          <a:extLst>
            <a:ext uri="{FF2B5EF4-FFF2-40B4-BE49-F238E27FC236}">
              <a16:creationId xmlns:a16="http://schemas.microsoft.com/office/drawing/2014/main" id="{1B43DD82-EA7C-4439-9B8A-8A5A8748FE9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89" name="Text Box 1">
          <a:extLst>
            <a:ext uri="{FF2B5EF4-FFF2-40B4-BE49-F238E27FC236}">
              <a16:creationId xmlns:a16="http://schemas.microsoft.com/office/drawing/2014/main" id="{E130689F-E3A4-427B-B72D-88B58148815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90" name="Text Box 1">
          <a:extLst>
            <a:ext uri="{FF2B5EF4-FFF2-40B4-BE49-F238E27FC236}">
              <a16:creationId xmlns:a16="http://schemas.microsoft.com/office/drawing/2014/main" id="{3917AFA7-B84F-4459-85F1-CB07782BF2B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91" name="Text Box 1">
          <a:extLst>
            <a:ext uri="{FF2B5EF4-FFF2-40B4-BE49-F238E27FC236}">
              <a16:creationId xmlns:a16="http://schemas.microsoft.com/office/drawing/2014/main" id="{567F382D-0A50-4687-88D0-39C05E65007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92" name="Text Box 1">
          <a:extLst>
            <a:ext uri="{FF2B5EF4-FFF2-40B4-BE49-F238E27FC236}">
              <a16:creationId xmlns:a16="http://schemas.microsoft.com/office/drawing/2014/main" id="{777EB1DD-AEEB-4574-89ED-D54D0FEEABB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93" name="Text Box 1">
          <a:extLst>
            <a:ext uri="{FF2B5EF4-FFF2-40B4-BE49-F238E27FC236}">
              <a16:creationId xmlns:a16="http://schemas.microsoft.com/office/drawing/2014/main" id="{B0A7D8FA-5C67-494B-9EAF-A037D614C5F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94" name="Text Box 1">
          <a:extLst>
            <a:ext uri="{FF2B5EF4-FFF2-40B4-BE49-F238E27FC236}">
              <a16:creationId xmlns:a16="http://schemas.microsoft.com/office/drawing/2014/main" id="{5FF47059-AAEF-42EC-A9C1-3DCF7AF6FD4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95" name="Text Box 1">
          <a:extLst>
            <a:ext uri="{FF2B5EF4-FFF2-40B4-BE49-F238E27FC236}">
              <a16:creationId xmlns:a16="http://schemas.microsoft.com/office/drawing/2014/main" id="{31572BBE-3E66-4FE6-9F58-E784F99910E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96" name="Text Box 1">
          <a:extLst>
            <a:ext uri="{FF2B5EF4-FFF2-40B4-BE49-F238E27FC236}">
              <a16:creationId xmlns:a16="http://schemas.microsoft.com/office/drawing/2014/main" id="{6BAF0B2C-26EC-4568-B6D7-986DE108F30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97" name="Text Box 1">
          <a:extLst>
            <a:ext uri="{FF2B5EF4-FFF2-40B4-BE49-F238E27FC236}">
              <a16:creationId xmlns:a16="http://schemas.microsoft.com/office/drawing/2014/main" id="{09487DC4-BB16-492F-B522-77E4B0EA5A9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98" name="Text Box 1">
          <a:extLst>
            <a:ext uri="{FF2B5EF4-FFF2-40B4-BE49-F238E27FC236}">
              <a16:creationId xmlns:a16="http://schemas.microsoft.com/office/drawing/2014/main" id="{A0CB2267-8631-4F89-B2A4-D989B969847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099" name="Text Box 1">
          <a:extLst>
            <a:ext uri="{FF2B5EF4-FFF2-40B4-BE49-F238E27FC236}">
              <a16:creationId xmlns:a16="http://schemas.microsoft.com/office/drawing/2014/main" id="{64FE66C9-B0CE-49F4-BE51-8C5D6B79B4F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00" name="Text Box 1">
          <a:extLst>
            <a:ext uri="{FF2B5EF4-FFF2-40B4-BE49-F238E27FC236}">
              <a16:creationId xmlns:a16="http://schemas.microsoft.com/office/drawing/2014/main" id="{DF33870E-B178-4A1E-A67D-6991AC0ACA2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01" name="Text Box 1">
          <a:extLst>
            <a:ext uri="{FF2B5EF4-FFF2-40B4-BE49-F238E27FC236}">
              <a16:creationId xmlns:a16="http://schemas.microsoft.com/office/drawing/2014/main" id="{845A792D-4BEB-4ABA-8E2E-8D0A00D5F40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02" name="Text Box 1">
          <a:extLst>
            <a:ext uri="{FF2B5EF4-FFF2-40B4-BE49-F238E27FC236}">
              <a16:creationId xmlns:a16="http://schemas.microsoft.com/office/drawing/2014/main" id="{544B965F-1EC8-4E4A-AAA9-4AD48275972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03" name="Text Box 1">
          <a:extLst>
            <a:ext uri="{FF2B5EF4-FFF2-40B4-BE49-F238E27FC236}">
              <a16:creationId xmlns:a16="http://schemas.microsoft.com/office/drawing/2014/main" id="{9BE2E3C0-CAAB-4C10-AD98-AD39FC68DCB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04" name="Text Box 1">
          <a:extLst>
            <a:ext uri="{FF2B5EF4-FFF2-40B4-BE49-F238E27FC236}">
              <a16:creationId xmlns:a16="http://schemas.microsoft.com/office/drawing/2014/main" id="{449E0F9B-888F-4D23-A403-D69A4825028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05" name="Text Box 1">
          <a:extLst>
            <a:ext uri="{FF2B5EF4-FFF2-40B4-BE49-F238E27FC236}">
              <a16:creationId xmlns:a16="http://schemas.microsoft.com/office/drawing/2014/main" id="{FC8C1CF9-527E-464C-BF8D-DCB9A1D5FFF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06" name="Text Box 1">
          <a:extLst>
            <a:ext uri="{FF2B5EF4-FFF2-40B4-BE49-F238E27FC236}">
              <a16:creationId xmlns:a16="http://schemas.microsoft.com/office/drawing/2014/main" id="{39C12404-F81D-43CD-AC85-F6B6C064CD3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07" name="Text Box 1">
          <a:extLst>
            <a:ext uri="{FF2B5EF4-FFF2-40B4-BE49-F238E27FC236}">
              <a16:creationId xmlns:a16="http://schemas.microsoft.com/office/drawing/2014/main" id="{1CC53E05-6B63-4A1F-9723-99C053A65D3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08" name="Text Box 1">
          <a:extLst>
            <a:ext uri="{FF2B5EF4-FFF2-40B4-BE49-F238E27FC236}">
              <a16:creationId xmlns:a16="http://schemas.microsoft.com/office/drawing/2014/main" id="{BA01F2BC-4315-4BE7-B121-5C09DD9346A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09" name="Text Box 1">
          <a:extLst>
            <a:ext uri="{FF2B5EF4-FFF2-40B4-BE49-F238E27FC236}">
              <a16:creationId xmlns:a16="http://schemas.microsoft.com/office/drawing/2014/main" id="{47334E04-0015-4C14-8F51-097C36B3EA0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10" name="Text Box 1">
          <a:extLst>
            <a:ext uri="{FF2B5EF4-FFF2-40B4-BE49-F238E27FC236}">
              <a16:creationId xmlns:a16="http://schemas.microsoft.com/office/drawing/2014/main" id="{7A3ADFC3-592E-423D-8824-B0A40C97DE9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11" name="Text Box 1">
          <a:extLst>
            <a:ext uri="{FF2B5EF4-FFF2-40B4-BE49-F238E27FC236}">
              <a16:creationId xmlns:a16="http://schemas.microsoft.com/office/drawing/2014/main" id="{2B1E7BBF-F7D2-41FE-BEDD-27D97134448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12" name="Text Box 1">
          <a:extLst>
            <a:ext uri="{FF2B5EF4-FFF2-40B4-BE49-F238E27FC236}">
              <a16:creationId xmlns:a16="http://schemas.microsoft.com/office/drawing/2014/main" id="{F8776866-D58C-4D5F-B7C0-D7805C65F5D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13" name="Text Box 1">
          <a:extLst>
            <a:ext uri="{FF2B5EF4-FFF2-40B4-BE49-F238E27FC236}">
              <a16:creationId xmlns:a16="http://schemas.microsoft.com/office/drawing/2014/main" id="{8DA777A9-253B-4657-96D3-B4F49F286DC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14" name="Text Box 1">
          <a:extLst>
            <a:ext uri="{FF2B5EF4-FFF2-40B4-BE49-F238E27FC236}">
              <a16:creationId xmlns:a16="http://schemas.microsoft.com/office/drawing/2014/main" id="{B455A306-577A-47A8-8922-F147C302DF8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15" name="Text Box 1">
          <a:extLst>
            <a:ext uri="{FF2B5EF4-FFF2-40B4-BE49-F238E27FC236}">
              <a16:creationId xmlns:a16="http://schemas.microsoft.com/office/drawing/2014/main" id="{AD3B873F-A641-4F45-813D-CAD5B2CED8C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16" name="Text Box 1">
          <a:extLst>
            <a:ext uri="{FF2B5EF4-FFF2-40B4-BE49-F238E27FC236}">
              <a16:creationId xmlns:a16="http://schemas.microsoft.com/office/drawing/2014/main" id="{ACAB1102-29F9-458B-859D-9C80329B742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17" name="Text Box 1">
          <a:extLst>
            <a:ext uri="{FF2B5EF4-FFF2-40B4-BE49-F238E27FC236}">
              <a16:creationId xmlns:a16="http://schemas.microsoft.com/office/drawing/2014/main" id="{736CE0D4-2963-4199-B337-C260007886F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18" name="Text Box 1">
          <a:extLst>
            <a:ext uri="{FF2B5EF4-FFF2-40B4-BE49-F238E27FC236}">
              <a16:creationId xmlns:a16="http://schemas.microsoft.com/office/drawing/2014/main" id="{E0ACBB4C-47AD-403E-B79A-812688A8C17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19" name="Text Box 1">
          <a:extLst>
            <a:ext uri="{FF2B5EF4-FFF2-40B4-BE49-F238E27FC236}">
              <a16:creationId xmlns:a16="http://schemas.microsoft.com/office/drawing/2014/main" id="{285DD52B-136A-4238-B344-559A1E00F9A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20" name="Text Box 1">
          <a:extLst>
            <a:ext uri="{FF2B5EF4-FFF2-40B4-BE49-F238E27FC236}">
              <a16:creationId xmlns:a16="http://schemas.microsoft.com/office/drawing/2014/main" id="{74267854-7A42-4801-857E-AF43BD34893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21" name="Text Box 1">
          <a:extLst>
            <a:ext uri="{FF2B5EF4-FFF2-40B4-BE49-F238E27FC236}">
              <a16:creationId xmlns:a16="http://schemas.microsoft.com/office/drawing/2014/main" id="{F09CDD49-EBEF-4EFF-9B0B-022661F3501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22" name="Text Box 1">
          <a:extLst>
            <a:ext uri="{FF2B5EF4-FFF2-40B4-BE49-F238E27FC236}">
              <a16:creationId xmlns:a16="http://schemas.microsoft.com/office/drawing/2014/main" id="{D48CCDC2-C95C-4A78-A190-BA7D5225DC9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23" name="Text Box 1">
          <a:extLst>
            <a:ext uri="{FF2B5EF4-FFF2-40B4-BE49-F238E27FC236}">
              <a16:creationId xmlns:a16="http://schemas.microsoft.com/office/drawing/2014/main" id="{9C2410C0-0824-45D9-BEE3-00C71B424CC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24" name="Text Box 1">
          <a:extLst>
            <a:ext uri="{FF2B5EF4-FFF2-40B4-BE49-F238E27FC236}">
              <a16:creationId xmlns:a16="http://schemas.microsoft.com/office/drawing/2014/main" id="{1CCF3A4D-D42E-411A-B6C4-8D854F499AA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25" name="Text Box 1">
          <a:extLst>
            <a:ext uri="{FF2B5EF4-FFF2-40B4-BE49-F238E27FC236}">
              <a16:creationId xmlns:a16="http://schemas.microsoft.com/office/drawing/2014/main" id="{FFE59703-7D5A-415E-8A6D-ACC1656BBA5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26" name="Text Box 1">
          <a:extLst>
            <a:ext uri="{FF2B5EF4-FFF2-40B4-BE49-F238E27FC236}">
              <a16:creationId xmlns:a16="http://schemas.microsoft.com/office/drawing/2014/main" id="{0934C87E-5A6F-4F09-A6D3-822C0F26EFA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27" name="Text Box 1">
          <a:extLst>
            <a:ext uri="{FF2B5EF4-FFF2-40B4-BE49-F238E27FC236}">
              <a16:creationId xmlns:a16="http://schemas.microsoft.com/office/drawing/2014/main" id="{E51FCA7F-C5A3-43E5-A062-EB2A563FA45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28" name="Text Box 1">
          <a:extLst>
            <a:ext uri="{FF2B5EF4-FFF2-40B4-BE49-F238E27FC236}">
              <a16:creationId xmlns:a16="http://schemas.microsoft.com/office/drawing/2014/main" id="{7EAEBAF1-A644-436D-ABEE-6A9ABE8437D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29" name="Text Box 1">
          <a:extLst>
            <a:ext uri="{FF2B5EF4-FFF2-40B4-BE49-F238E27FC236}">
              <a16:creationId xmlns:a16="http://schemas.microsoft.com/office/drawing/2014/main" id="{9C93AAA1-7B6E-4F64-ACA6-3C9B2BB1FAF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30" name="Text Box 1">
          <a:extLst>
            <a:ext uri="{FF2B5EF4-FFF2-40B4-BE49-F238E27FC236}">
              <a16:creationId xmlns:a16="http://schemas.microsoft.com/office/drawing/2014/main" id="{A7CF1392-F891-46E9-9C29-94230BBD753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31" name="Text Box 1">
          <a:extLst>
            <a:ext uri="{FF2B5EF4-FFF2-40B4-BE49-F238E27FC236}">
              <a16:creationId xmlns:a16="http://schemas.microsoft.com/office/drawing/2014/main" id="{972B0FF9-871F-4BDE-BFCA-B41B9303F47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32" name="Text Box 1">
          <a:extLst>
            <a:ext uri="{FF2B5EF4-FFF2-40B4-BE49-F238E27FC236}">
              <a16:creationId xmlns:a16="http://schemas.microsoft.com/office/drawing/2014/main" id="{0AF4C18D-E902-49E9-BEA2-70AEDBF8C4E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33" name="Text Box 1">
          <a:extLst>
            <a:ext uri="{FF2B5EF4-FFF2-40B4-BE49-F238E27FC236}">
              <a16:creationId xmlns:a16="http://schemas.microsoft.com/office/drawing/2014/main" id="{BCA81D71-0342-4326-A6CA-F50538D2867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34" name="Text Box 1">
          <a:extLst>
            <a:ext uri="{FF2B5EF4-FFF2-40B4-BE49-F238E27FC236}">
              <a16:creationId xmlns:a16="http://schemas.microsoft.com/office/drawing/2014/main" id="{4BBAE04D-83CF-40E5-B540-56845C6D25C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35" name="Text Box 1">
          <a:extLst>
            <a:ext uri="{FF2B5EF4-FFF2-40B4-BE49-F238E27FC236}">
              <a16:creationId xmlns:a16="http://schemas.microsoft.com/office/drawing/2014/main" id="{E477EB4A-859F-4BA6-9358-6FF6F3F82BF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36" name="Text Box 1">
          <a:extLst>
            <a:ext uri="{FF2B5EF4-FFF2-40B4-BE49-F238E27FC236}">
              <a16:creationId xmlns:a16="http://schemas.microsoft.com/office/drawing/2014/main" id="{DEF2DB30-6E26-42C2-B443-B08555B98DB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37" name="Text Box 1">
          <a:extLst>
            <a:ext uri="{FF2B5EF4-FFF2-40B4-BE49-F238E27FC236}">
              <a16:creationId xmlns:a16="http://schemas.microsoft.com/office/drawing/2014/main" id="{AB9A667C-BB24-408E-92FB-A7EDBAD0D0C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38" name="Text Box 1">
          <a:extLst>
            <a:ext uri="{FF2B5EF4-FFF2-40B4-BE49-F238E27FC236}">
              <a16:creationId xmlns:a16="http://schemas.microsoft.com/office/drawing/2014/main" id="{4819BAFC-29B6-4DDA-AC19-853DB860C7B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39" name="Text Box 1">
          <a:extLst>
            <a:ext uri="{FF2B5EF4-FFF2-40B4-BE49-F238E27FC236}">
              <a16:creationId xmlns:a16="http://schemas.microsoft.com/office/drawing/2014/main" id="{687BB3EF-0EEE-49C4-920A-DF134E26E9D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40" name="Text Box 1">
          <a:extLst>
            <a:ext uri="{FF2B5EF4-FFF2-40B4-BE49-F238E27FC236}">
              <a16:creationId xmlns:a16="http://schemas.microsoft.com/office/drawing/2014/main" id="{3FDDC487-9269-4ADD-9410-C8FF6F265A1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41" name="Text Box 1">
          <a:extLst>
            <a:ext uri="{FF2B5EF4-FFF2-40B4-BE49-F238E27FC236}">
              <a16:creationId xmlns:a16="http://schemas.microsoft.com/office/drawing/2014/main" id="{F4E67719-7B0A-46BA-AFDE-4094B413BE2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42" name="Text Box 1">
          <a:extLst>
            <a:ext uri="{FF2B5EF4-FFF2-40B4-BE49-F238E27FC236}">
              <a16:creationId xmlns:a16="http://schemas.microsoft.com/office/drawing/2014/main" id="{60001FFE-E059-4C31-A315-2B14AF8A0D1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43" name="Text Box 1">
          <a:extLst>
            <a:ext uri="{FF2B5EF4-FFF2-40B4-BE49-F238E27FC236}">
              <a16:creationId xmlns:a16="http://schemas.microsoft.com/office/drawing/2014/main" id="{93C38DCC-63FE-42C6-8E1B-628419183DF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44" name="Text Box 1">
          <a:extLst>
            <a:ext uri="{FF2B5EF4-FFF2-40B4-BE49-F238E27FC236}">
              <a16:creationId xmlns:a16="http://schemas.microsoft.com/office/drawing/2014/main" id="{D9342398-2C14-46FD-9CD8-B71A8B4E1B1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45" name="Text Box 1">
          <a:extLst>
            <a:ext uri="{FF2B5EF4-FFF2-40B4-BE49-F238E27FC236}">
              <a16:creationId xmlns:a16="http://schemas.microsoft.com/office/drawing/2014/main" id="{61DBE3E6-FCA1-4312-8310-008BC9318C6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46" name="Text Box 1">
          <a:extLst>
            <a:ext uri="{FF2B5EF4-FFF2-40B4-BE49-F238E27FC236}">
              <a16:creationId xmlns:a16="http://schemas.microsoft.com/office/drawing/2014/main" id="{38FDD947-702D-4B16-B293-B0A2B9A07D9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47" name="Text Box 1">
          <a:extLst>
            <a:ext uri="{FF2B5EF4-FFF2-40B4-BE49-F238E27FC236}">
              <a16:creationId xmlns:a16="http://schemas.microsoft.com/office/drawing/2014/main" id="{BE22B16F-D12A-4031-8FCB-F2EDEE9E9B3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48" name="Text Box 1">
          <a:extLst>
            <a:ext uri="{FF2B5EF4-FFF2-40B4-BE49-F238E27FC236}">
              <a16:creationId xmlns:a16="http://schemas.microsoft.com/office/drawing/2014/main" id="{6660C18D-3C4E-4BD5-894A-89A9B122C37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49" name="Text Box 1">
          <a:extLst>
            <a:ext uri="{FF2B5EF4-FFF2-40B4-BE49-F238E27FC236}">
              <a16:creationId xmlns:a16="http://schemas.microsoft.com/office/drawing/2014/main" id="{C8ABD1A5-3E0B-429B-9DA7-128DD0E4381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50" name="Text Box 1">
          <a:extLst>
            <a:ext uri="{FF2B5EF4-FFF2-40B4-BE49-F238E27FC236}">
              <a16:creationId xmlns:a16="http://schemas.microsoft.com/office/drawing/2014/main" id="{02FC6F3A-C1AC-4DB8-B232-D152E85EC3D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51" name="Text Box 1">
          <a:extLst>
            <a:ext uri="{FF2B5EF4-FFF2-40B4-BE49-F238E27FC236}">
              <a16:creationId xmlns:a16="http://schemas.microsoft.com/office/drawing/2014/main" id="{F136491E-6A3F-43EF-8625-3A353756130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52" name="Text Box 1">
          <a:extLst>
            <a:ext uri="{FF2B5EF4-FFF2-40B4-BE49-F238E27FC236}">
              <a16:creationId xmlns:a16="http://schemas.microsoft.com/office/drawing/2014/main" id="{02B78C32-BC37-41EC-9AF2-504F8FE6786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53" name="Text Box 1">
          <a:extLst>
            <a:ext uri="{FF2B5EF4-FFF2-40B4-BE49-F238E27FC236}">
              <a16:creationId xmlns:a16="http://schemas.microsoft.com/office/drawing/2014/main" id="{E99A6710-B1DE-422A-8923-177CF0EBFB3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54" name="Text Box 1">
          <a:extLst>
            <a:ext uri="{FF2B5EF4-FFF2-40B4-BE49-F238E27FC236}">
              <a16:creationId xmlns:a16="http://schemas.microsoft.com/office/drawing/2014/main" id="{EF2B1FD8-A353-4B34-8808-AF5DC28DA5D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55" name="Text Box 1">
          <a:extLst>
            <a:ext uri="{FF2B5EF4-FFF2-40B4-BE49-F238E27FC236}">
              <a16:creationId xmlns:a16="http://schemas.microsoft.com/office/drawing/2014/main" id="{3DE38282-4D25-4753-A11A-4194861964C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56" name="Text Box 1">
          <a:extLst>
            <a:ext uri="{FF2B5EF4-FFF2-40B4-BE49-F238E27FC236}">
              <a16:creationId xmlns:a16="http://schemas.microsoft.com/office/drawing/2014/main" id="{1E290E06-E672-40A7-B8BA-58CB4F4A0EB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57" name="Text Box 1">
          <a:extLst>
            <a:ext uri="{FF2B5EF4-FFF2-40B4-BE49-F238E27FC236}">
              <a16:creationId xmlns:a16="http://schemas.microsoft.com/office/drawing/2014/main" id="{9659B365-D114-4377-8AE5-DFDDFF8943A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58" name="Text Box 1">
          <a:extLst>
            <a:ext uri="{FF2B5EF4-FFF2-40B4-BE49-F238E27FC236}">
              <a16:creationId xmlns:a16="http://schemas.microsoft.com/office/drawing/2014/main" id="{5B00BAFC-BE2A-4F88-918E-251ACE0272B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59" name="Text Box 1">
          <a:extLst>
            <a:ext uri="{FF2B5EF4-FFF2-40B4-BE49-F238E27FC236}">
              <a16:creationId xmlns:a16="http://schemas.microsoft.com/office/drawing/2014/main" id="{BD5EBE78-C06D-47BA-8B5A-DD8506E4A55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60" name="Text Box 1">
          <a:extLst>
            <a:ext uri="{FF2B5EF4-FFF2-40B4-BE49-F238E27FC236}">
              <a16:creationId xmlns:a16="http://schemas.microsoft.com/office/drawing/2014/main" id="{36D800A2-9CE2-4F13-8399-3352FC9A9CA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61" name="Text Box 1">
          <a:extLst>
            <a:ext uri="{FF2B5EF4-FFF2-40B4-BE49-F238E27FC236}">
              <a16:creationId xmlns:a16="http://schemas.microsoft.com/office/drawing/2014/main" id="{57E2D80C-D700-47B4-A3E8-525CADAF7FF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62" name="Text Box 1">
          <a:extLst>
            <a:ext uri="{FF2B5EF4-FFF2-40B4-BE49-F238E27FC236}">
              <a16:creationId xmlns:a16="http://schemas.microsoft.com/office/drawing/2014/main" id="{93FB89EB-8618-4282-843F-70F63D7C9EB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63" name="Text Box 1">
          <a:extLst>
            <a:ext uri="{FF2B5EF4-FFF2-40B4-BE49-F238E27FC236}">
              <a16:creationId xmlns:a16="http://schemas.microsoft.com/office/drawing/2014/main" id="{622B487A-1E13-47D2-9A5A-3BB00ECF9D9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64" name="Text Box 1">
          <a:extLst>
            <a:ext uri="{FF2B5EF4-FFF2-40B4-BE49-F238E27FC236}">
              <a16:creationId xmlns:a16="http://schemas.microsoft.com/office/drawing/2014/main" id="{0EF973AE-450F-420D-81C6-823A944655B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65" name="Text Box 1">
          <a:extLst>
            <a:ext uri="{FF2B5EF4-FFF2-40B4-BE49-F238E27FC236}">
              <a16:creationId xmlns:a16="http://schemas.microsoft.com/office/drawing/2014/main" id="{34A53FF8-2EEB-424B-8905-56C6ADCD54D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66" name="Text Box 1">
          <a:extLst>
            <a:ext uri="{FF2B5EF4-FFF2-40B4-BE49-F238E27FC236}">
              <a16:creationId xmlns:a16="http://schemas.microsoft.com/office/drawing/2014/main" id="{C81C1DD1-366E-42D1-847B-C3FF03EF753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67" name="Text Box 1">
          <a:extLst>
            <a:ext uri="{FF2B5EF4-FFF2-40B4-BE49-F238E27FC236}">
              <a16:creationId xmlns:a16="http://schemas.microsoft.com/office/drawing/2014/main" id="{7390275A-0A3C-4C02-A802-4336820720F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68" name="Text Box 1">
          <a:extLst>
            <a:ext uri="{FF2B5EF4-FFF2-40B4-BE49-F238E27FC236}">
              <a16:creationId xmlns:a16="http://schemas.microsoft.com/office/drawing/2014/main" id="{CCB31016-BD05-4DCF-8B21-C50052DECE9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69" name="Text Box 1">
          <a:extLst>
            <a:ext uri="{FF2B5EF4-FFF2-40B4-BE49-F238E27FC236}">
              <a16:creationId xmlns:a16="http://schemas.microsoft.com/office/drawing/2014/main" id="{53466669-19D6-423D-AAAA-3DE65A4B04E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70" name="Text Box 1">
          <a:extLst>
            <a:ext uri="{FF2B5EF4-FFF2-40B4-BE49-F238E27FC236}">
              <a16:creationId xmlns:a16="http://schemas.microsoft.com/office/drawing/2014/main" id="{9EEAABD9-E49E-42FA-86B5-160D5B305C0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71" name="Text Box 1">
          <a:extLst>
            <a:ext uri="{FF2B5EF4-FFF2-40B4-BE49-F238E27FC236}">
              <a16:creationId xmlns:a16="http://schemas.microsoft.com/office/drawing/2014/main" id="{06DB8048-AFF2-432B-8FF0-AA3F0661B83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72" name="Text Box 1">
          <a:extLst>
            <a:ext uri="{FF2B5EF4-FFF2-40B4-BE49-F238E27FC236}">
              <a16:creationId xmlns:a16="http://schemas.microsoft.com/office/drawing/2014/main" id="{1E744A95-FCB5-471A-80AC-E1FF014B62E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73" name="Text Box 1">
          <a:extLst>
            <a:ext uri="{FF2B5EF4-FFF2-40B4-BE49-F238E27FC236}">
              <a16:creationId xmlns:a16="http://schemas.microsoft.com/office/drawing/2014/main" id="{25551EA9-BBEC-43A9-94F7-5E3B01CCBBA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74" name="Text Box 1">
          <a:extLst>
            <a:ext uri="{FF2B5EF4-FFF2-40B4-BE49-F238E27FC236}">
              <a16:creationId xmlns:a16="http://schemas.microsoft.com/office/drawing/2014/main" id="{224580F2-7369-4EFB-A37D-9F350AA9EF9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75" name="Text Box 1">
          <a:extLst>
            <a:ext uri="{FF2B5EF4-FFF2-40B4-BE49-F238E27FC236}">
              <a16:creationId xmlns:a16="http://schemas.microsoft.com/office/drawing/2014/main" id="{A82A30D4-9331-4F08-A1B8-63676F5BEAB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76" name="Text Box 1">
          <a:extLst>
            <a:ext uri="{FF2B5EF4-FFF2-40B4-BE49-F238E27FC236}">
              <a16:creationId xmlns:a16="http://schemas.microsoft.com/office/drawing/2014/main" id="{8D241632-C99A-4DCE-A533-3B914DD3A1C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77" name="Text Box 1">
          <a:extLst>
            <a:ext uri="{FF2B5EF4-FFF2-40B4-BE49-F238E27FC236}">
              <a16:creationId xmlns:a16="http://schemas.microsoft.com/office/drawing/2014/main" id="{1FDEC515-D613-465E-B760-FED199BED50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78" name="Text Box 1">
          <a:extLst>
            <a:ext uri="{FF2B5EF4-FFF2-40B4-BE49-F238E27FC236}">
              <a16:creationId xmlns:a16="http://schemas.microsoft.com/office/drawing/2014/main" id="{D8831514-650B-4690-881B-0B36F0B8CBF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79" name="Text Box 1">
          <a:extLst>
            <a:ext uri="{FF2B5EF4-FFF2-40B4-BE49-F238E27FC236}">
              <a16:creationId xmlns:a16="http://schemas.microsoft.com/office/drawing/2014/main" id="{3C94E839-C278-4B39-A75D-264C3F864E3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80" name="Text Box 1">
          <a:extLst>
            <a:ext uri="{FF2B5EF4-FFF2-40B4-BE49-F238E27FC236}">
              <a16:creationId xmlns:a16="http://schemas.microsoft.com/office/drawing/2014/main" id="{0996B0E0-7686-4140-85F8-70267E68C1B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81" name="Text Box 1">
          <a:extLst>
            <a:ext uri="{FF2B5EF4-FFF2-40B4-BE49-F238E27FC236}">
              <a16:creationId xmlns:a16="http://schemas.microsoft.com/office/drawing/2014/main" id="{F3C82EE6-8B78-4B23-86E2-84F44F854B4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82" name="Text Box 1">
          <a:extLst>
            <a:ext uri="{FF2B5EF4-FFF2-40B4-BE49-F238E27FC236}">
              <a16:creationId xmlns:a16="http://schemas.microsoft.com/office/drawing/2014/main" id="{7A2F03E7-36C8-408D-95A0-92E16AE972A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83" name="Text Box 1">
          <a:extLst>
            <a:ext uri="{FF2B5EF4-FFF2-40B4-BE49-F238E27FC236}">
              <a16:creationId xmlns:a16="http://schemas.microsoft.com/office/drawing/2014/main" id="{6C5B393B-BA81-4481-BECA-9A14C0AA3F9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84" name="Text Box 1">
          <a:extLst>
            <a:ext uri="{FF2B5EF4-FFF2-40B4-BE49-F238E27FC236}">
              <a16:creationId xmlns:a16="http://schemas.microsoft.com/office/drawing/2014/main" id="{2E3F1F82-644E-4971-925B-88931DD0A35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85" name="Text Box 1">
          <a:extLst>
            <a:ext uri="{FF2B5EF4-FFF2-40B4-BE49-F238E27FC236}">
              <a16:creationId xmlns:a16="http://schemas.microsoft.com/office/drawing/2014/main" id="{F05AFFFD-C699-4013-9506-3F4A4E3A309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86" name="Text Box 1">
          <a:extLst>
            <a:ext uri="{FF2B5EF4-FFF2-40B4-BE49-F238E27FC236}">
              <a16:creationId xmlns:a16="http://schemas.microsoft.com/office/drawing/2014/main" id="{602C0E08-E17E-4DA5-869B-6D28AFF6E03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87" name="Text Box 1">
          <a:extLst>
            <a:ext uri="{FF2B5EF4-FFF2-40B4-BE49-F238E27FC236}">
              <a16:creationId xmlns:a16="http://schemas.microsoft.com/office/drawing/2014/main" id="{5F4B9316-BD47-40AA-81AF-D4C5A5AB608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88" name="Text Box 1">
          <a:extLst>
            <a:ext uri="{FF2B5EF4-FFF2-40B4-BE49-F238E27FC236}">
              <a16:creationId xmlns:a16="http://schemas.microsoft.com/office/drawing/2014/main" id="{B764092C-391F-4F4C-9AF9-D64BE6276BF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89" name="Text Box 1">
          <a:extLst>
            <a:ext uri="{FF2B5EF4-FFF2-40B4-BE49-F238E27FC236}">
              <a16:creationId xmlns:a16="http://schemas.microsoft.com/office/drawing/2014/main" id="{2C4DBA9A-39AB-4326-A593-67199E9EE69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90" name="Text Box 1">
          <a:extLst>
            <a:ext uri="{FF2B5EF4-FFF2-40B4-BE49-F238E27FC236}">
              <a16:creationId xmlns:a16="http://schemas.microsoft.com/office/drawing/2014/main" id="{9CBFFB47-F71B-4773-BF44-7CC6A9E3F65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91" name="Text Box 1">
          <a:extLst>
            <a:ext uri="{FF2B5EF4-FFF2-40B4-BE49-F238E27FC236}">
              <a16:creationId xmlns:a16="http://schemas.microsoft.com/office/drawing/2014/main" id="{062EDAA9-6C62-47FB-BBC7-ADF6EC35406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92" name="Text Box 1">
          <a:extLst>
            <a:ext uri="{FF2B5EF4-FFF2-40B4-BE49-F238E27FC236}">
              <a16:creationId xmlns:a16="http://schemas.microsoft.com/office/drawing/2014/main" id="{E358E4E1-00DC-4533-96C6-47FD66A470B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93" name="Text Box 1">
          <a:extLst>
            <a:ext uri="{FF2B5EF4-FFF2-40B4-BE49-F238E27FC236}">
              <a16:creationId xmlns:a16="http://schemas.microsoft.com/office/drawing/2014/main" id="{9227E04D-8A68-4E8D-8D26-29C1C352708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94" name="Text Box 1">
          <a:extLst>
            <a:ext uri="{FF2B5EF4-FFF2-40B4-BE49-F238E27FC236}">
              <a16:creationId xmlns:a16="http://schemas.microsoft.com/office/drawing/2014/main" id="{A7F46D18-3291-4DC4-95DB-04867A332AE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95" name="Text Box 1">
          <a:extLst>
            <a:ext uri="{FF2B5EF4-FFF2-40B4-BE49-F238E27FC236}">
              <a16:creationId xmlns:a16="http://schemas.microsoft.com/office/drawing/2014/main" id="{33D731DC-4102-4424-8E4C-4E996113D71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96" name="Text Box 1">
          <a:extLst>
            <a:ext uri="{FF2B5EF4-FFF2-40B4-BE49-F238E27FC236}">
              <a16:creationId xmlns:a16="http://schemas.microsoft.com/office/drawing/2014/main" id="{D464B795-2439-476B-A882-CBFC39062E2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97" name="Text Box 1">
          <a:extLst>
            <a:ext uri="{FF2B5EF4-FFF2-40B4-BE49-F238E27FC236}">
              <a16:creationId xmlns:a16="http://schemas.microsoft.com/office/drawing/2014/main" id="{43C8AF9F-B96B-4C40-82FA-5FF9E54BC8D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98" name="Text Box 1">
          <a:extLst>
            <a:ext uri="{FF2B5EF4-FFF2-40B4-BE49-F238E27FC236}">
              <a16:creationId xmlns:a16="http://schemas.microsoft.com/office/drawing/2014/main" id="{9D0125E2-2448-412D-8810-244CE7CDBD3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199" name="Text Box 1">
          <a:extLst>
            <a:ext uri="{FF2B5EF4-FFF2-40B4-BE49-F238E27FC236}">
              <a16:creationId xmlns:a16="http://schemas.microsoft.com/office/drawing/2014/main" id="{F2663F62-757F-44F5-B969-D51F01E8CF7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00" name="Text Box 1">
          <a:extLst>
            <a:ext uri="{FF2B5EF4-FFF2-40B4-BE49-F238E27FC236}">
              <a16:creationId xmlns:a16="http://schemas.microsoft.com/office/drawing/2014/main" id="{6F9FAFC2-A98C-49CE-8993-B96DC43FC71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01" name="Text Box 1">
          <a:extLst>
            <a:ext uri="{FF2B5EF4-FFF2-40B4-BE49-F238E27FC236}">
              <a16:creationId xmlns:a16="http://schemas.microsoft.com/office/drawing/2014/main" id="{AE7A7F77-C0FF-497B-B3D6-FAA85E38841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02" name="Text Box 1">
          <a:extLst>
            <a:ext uri="{FF2B5EF4-FFF2-40B4-BE49-F238E27FC236}">
              <a16:creationId xmlns:a16="http://schemas.microsoft.com/office/drawing/2014/main" id="{EA6CBD59-E84F-458F-AC85-22D5D301024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03" name="Text Box 1">
          <a:extLst>
            <a:ext uri="{FF2B5EF4-FFF2-40B4-BE49-F238E27FC236}">
              <a16:creationId xmlns:a16="http://schemas.microsoft.com/office/drawing/2014/main" id="{AF216EC0-B9B2-4F83-8735-4393CD7ACCE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04" name="Text Box 1">
          <a:extLst>
            <a:ext uri="{FF2B5EF4-FFF2-40B4-BE49-F238E27FC236}">
              <a16:creationId xmlns:a16="http://schemas.microsoft.com/office/drawing/2014/main" id="{3E4F04AB-58E9-4205-89BD-93BAE1FD366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05" name="Text Box 1">
          <a:extLst>
            <a:ext uri="{FF2B5EF4-FFF2-40B4-BE49-F238E27FC236}">
              <a16:creationId xmlns:a16="http://schemas.microsoft.com/office/drawing/2014/main" id="{03C89083-3FA7-4018-B407-FFAAB457C1A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06" name="Text Box 1">
          <a:extLst>
            <a:ext uri="{FF2B5EF4-FFF2-40B4-BE49-F238E27FC236}">
              <a16:creationId xmlns:a16="http://schemas.microsoft.com/office/drawing/2014/main" id="{F26F1DFC-51F3-483E-9BFB-E49ABFFBAED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07" name="Text Box 1">
          <a:extLst>
            <a:ext uri="{FF2B5EF4-FFF2-40B4-BE49-F238E27FC236}">
              <a16:creationId xmlns:a16="http://schemas.microsoft.com/office/drawing/2014/main" id="{1712FA7F-C38F-4105-B866-4C6A7E077C4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08" name="Text Box 1">
          <a:extLst>
            <a:ext uri="{FF2B5EF4-FFF2-40B4-BE49-F238E27FC236}">
              <a16:creationId xmlns:a16="http://schemas.microsoft.com/office/drawing/2014/main" id="{5F393909-E1AE-478C-8D5E-1E70EC419E5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09" name="Text Box 1">
          <a:extLst>
            <a:ext uri="{FF2B5EF4-FFF2-40B4-BE49-F238E27FC236}">
              <a16:creationId xmlns:a16="http://schemas.microsoft.com/office/drawing/2014/main" id="{A39BD188-CEEF-451C-89A1-3B41E392597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10" name="Text Box 1">
          <a:extLst>
            <a:ext uri="{FF2B5EF4-FFF2-40B4-BE49-F238E27FC236}">
              <a16:creationId xmlns:a16="http://schemas.microsoft.com/office/drawing/2014/main" id="{B104F626-8E15-4DD7-8080-EE7E9B010BF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11" name="Text Box 1">
          <a:extLst>
            <a:ext uri="{FF2B5EF4-FFF2-40B4-BE49-F238E27FC236}">
              <a16:creationId xmlns:a16="http://schemas.microsoft.com/office/drawing/2014/main" id="{23327ED9-2EFC-4F79-AB9B-DC6963AF382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12" name="Text Box 1">
          <a:extLst>
            <a:ext uri="{FF2B5EF4-FFF2-40B4-BE49-F238E27FC236}">
              <a16:creationId xmlns:a16="http://schemas.microsoft.com/office/drawing/2014/main" id="{0E9396CD-8C4E-4C03-8EBB-41A0994DAF7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13" name="Text Box 1">
          <a:extLst>
            <a:ext uri="{FF2B5EF4-FFF2-40B4-BE49-F238E27FC236}">
              <a16:creationId xmlns:a16="http://schemas.microsoft.com/office/drawing/2014/main" id="{D3B445A8-F89E-4322-8548-0202217C46C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14" name="Text Box 1">
          <a:extLst>
            <a:ext uri="{FF2B5EF4-FFF2-40B4-BE49-F238E27FC236}">
              <a16:creationId xmlns:a16="http://schemas.microsoft.com/office/drawing/2014/main" id="{2713D7EB-7571-4FE4-8B77-0523A466697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15" name="Text Box 1">
          <a:extLst>
            <a:ext uri="{FF2B5EF4-FFF2-40B4-BE49-F238E27FC236}">
              <a16:creationId xmlns:a16="http://schemas.microsoft.com/office/drawing/2014/main" id="{B67A5F13-C444-4923-9925-C8D4ADC8EDC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16" name="Text Box 1">
          <a:extLst>
            <a:ext uri="{FF2B5EF4-FFF2-40B4-BE49-F238E27FC236}">
              <a16:creationId xmlns:a16="http://schemas.microsoft.com/office/drawing/2014/main" id="{3B6E2CF6-1FC9-4911-892C-7065C81A891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17" name="Text Box 1">
          <a:extLst>
            <a:ext uri="{FF2B5EF4-FFF2-40B4-BE49-F238E27FC236}">
              <a16:creationId xmlns:a16="http://schemas.microsoft.com/office/drawing/2014/main" id="{10FCB83E-2993-48D1-B415-F800FC44AD5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18" name="Text Box 1">
          <a:extLst>
            <a:ext uri="{FF2B5EF4-FFF2-40B4-BE49-F238E27FC236}">
              <a16:creationId xmlns:a16="http://schemas.microsoft.com/office/drawing/2014/main" id="{C68EDEA5-ABBF-4AFB-BB9B-2E7F5CA3764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19" name="Text Box 1">
          <a:extLst>
            <a:ext uri="{FF2B5EF4-FFF2-40B4-BE49-F238E27FC236}">
              <a16:creationId xmlns:a16="http://schemas.microsoft.com/office/drawing/2014/main" id="{A6BB8FE8-D622-423E-8EB0-FCACC52BC60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20" name="Text Box 1">
          <a:extLst>
            <a:ext uri="{FF2B5EF4-FFF2-40B4-BE49-F238E27FC236}">
              <a16:creationId xmlns:a16="http://schemas.microsoft.com/office/drawing/2014/main" id="{4F3653E7-2586-4C1E-B759-BA9BA1617A3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21" name="Text Box 1">
          <a:extLst>
            <a:ext uri="{FF2B5EF4-FFF2-40B4-BE49-F238E27FC236}">
              <a16:creationId xmlns:a16="http://schemas.microsoft.com/office/drawing/2014/main" id="{A1CCD8F0-D0FD-4CD9-AADF-E295F87288B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22" name="Text Box 1">
          <a:extLst>
            <a:ext uri="{FF2B5EF4-FFF2-40B4-BE49-F238E27FC236}">
              <a16:creationId xmlns:a16="http://schemas.microsoft.com/office/drawing/2014/main" id="{0425E3A8-7117-4A61-AA05-0BC7C180013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23" name="Text Box 1">
          <a:extLst>
            <a:ext uri="{FF2B5EF4-FFF2-40B4-BE49-F238E27FC236}">
              <a16:creationId xmlns:a16="http://schemas.microsoft.com/office/drawing/2014/main" id="{02DF5413-9958-4770-9335-B598ECCD253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24" name="Text Box 1">
          <a:extLst>
            <a:ext uri="{FF2B5EF4-FFF2-40B4-BE49-F238E27FC236}">
              <a16:creationId xmlns:a16="http://schemas.microsoft.com/office/drawing/2014/main" id="{78BCEBB8-021A-4381-A4FE-89A9E011409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25" name="Text Box 1">
          <a:extLst>
            <a:ext uri="{FF2B5EF4-FFF2-40B4-BE49-F238E27FC236}">
              <a16:creationId xmlns:a16="http://schemas.microsoft.com/office/drawing/2014/main" id="{8475720F-77B9-4491-8784-4D57294A381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26" name="Text Box 1">
          <a:extLst>
            <a:ext uri="{FF2B5EF4-FFF2-40B4-BE49-F238E27FC236}">
              <a16:creationId xmlns:a16="http://schemas.microsoft.com/office/drawing/2014/main" id="{91A92750-98EE-4DB9-B172-7219C4BC7B6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27" name="Text Box 1">
          <a:extLst>
            <a:ext uri="{FF2B5EF4-FFF2-40B4-BE49-F238E27FC236}">
              <a16:creationId xmlns:a16="http://schemas.microsoft.com/office/drawing/2014/main" id="{EB7190B3-92A9-459B-B101-FF5100CEDEF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28" name="Text Box 1">
          <a:extLst>
            <a:ext uri="{FF2B5EF4-FFF2-40B4-BE49-F238E27FC236}">
              <a16:creationId xmlns:a16="http://schemas.microsoft.com/office/drawing/2014/main" id="{0D2AB91F-94E0-4DA1-AEED-974FF37E560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29" name="Text Box 1">
          <a:extLst>
            <a:ext uri="{FF2B5EF4-FFF2-40B4-BE49-F238E27FC236}">
              <a16:creationId xmlns:a16="http://schemas.microsoft.com/office/drawing/2014/main" id="{B086C7B0-B4E3-4A16-BFBE-B8E137D3A2E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30" name="Text Box 1">
          <a:extLst>
            <a:ext uri="{FF2B5EF4-FFF2-40B4-BE49-F238E27FC236}">
              <a16:creationId xmlns:a16="http://schemas.microsoft.com/office/drawing/2014/main" id="{502DC841-2FC8-4D37-B99C-483428699C8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31" name="Text Box 1">
          <a:extLst>
            <a:ext uri="{FF2B5EF4-FFF2-40B4-BE49-F238E27FC236}">
              <a16:creationId xmlns:a16="http://schemas.microsoft.com/office/drawing/2014/main" id="{01A2FE33-A5E7-449A-9CEF-52A0F9963A7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32" name="Text Box 1">
          <a:extLst>
            <a:ext uri="{FF2B5EF4-FFF2-40B4-BE49-F238E27FC236}">
              <a16:creationId xmlns:a16="http://schemas.microsoft.com/office/drawing/2014/main" id="{B622FE4B-D316-4CBC-8F5C-768C100B829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33" name="Text Box 1">
          <a:extLst>
            <a:ext uri="{FF2B5EF4-FFF2-40B4-BE49-F238E27FC236}">
              <a16:creationId xmlns:a16="http://schemas.microsoft.com/office/drawing/2014/main" id="{59CDA44D-EB41-4912-AC67-ED10030EEF0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34" name="Text Box 1">
          <a:extLst>
            <a:ext uri="{FF2B5EF4-FFF2-40B4-BE49-F238E27FC236}">
              <a16:creationId xmlns:a16="http://schemas.microsoft.com/office/drawing/2014/main" id="{DFC12C0A-9A5D-451C-96EB-F5A30A8FC6E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35" name="Text Box 1">
          <a:extLst>
            <a:ext uri="{FF2B5EF4-FFF2-40B4-BE49-F238E27FC236}">
              <a16:creationId xmlns:a16="http://schemas.microsoft.com/office/drawing/2014/main" id="{541FF4B3-4F82-44BE-94F9-F1CBE689C75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36" name="Text Box 1">
          <a:extLst>
            <a:ext uri="{FF2B5EF4-FFF2-40B4-BE49-F238E27FC236}">
              <a16:creationId xmlns:a16="http://schemas.microsoft.com/office/drawing/2014/main" id="{28595609-1799-407D-9725-CAE50101636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37" name="Text Box 1">
          <a:extLst>
            <a:ext uri="{FF2B5EF4-FFF2-40B4-BE49-F238E27FC236}">
              <a16:creationId xmlns:a16="http://schemas.microsoft.com/office/drawing/2014/main" id="{D5A91634-36A3-4C6D-AAEE-E464A9D969C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38" name="Text Box 1">
          <a:extLst>
            <a:ext uri="{FF2B5EF4-FFF2-40B4-BE49-F238E27FC236}">
              <a16:creationId xmlns:a16="http://schemas.microsoft.com/office/drawing/2014/main" id="{68F78A80-6221-4641-9FE0-B4CA72AB87E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39" name="Text Box 1">
          <a:extLst>
            <a:ext uri="{FF2B5EF4-FFF2-40B4-BE49-F238E27FC236}">
              <a16:creationId xmlns:a16="http://schemas.microsoft.com/office/drawing/2014/main" id="{E2AA19B9-83C0-4F10-A616-FCA0008001F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40" name="Text Box 1">
          <a:extLst>
            <a:ext uri="{FF2B5EF4-FFF2-40B4-BE49-F238E27FC236}">
              <a16:creationId xmlns:a16="http://schemas.microsoft.com/office/drawing/2014/main" id="{2C8C8B47-E0FF-41A8-AFBC-B5B17737697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41" name="Text Box 1">
          <a:extLst>
            <a:ext uri="{FF2B5EF4-FFF2-40B4-BE49-F238E27FC236}">
              <a16:creationId xmlns:a16="http://schemas.microsoft.com/office/drawing/2014/main" id="{766CF281-DCF8-4F4A-A5A6-57537B72581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42" name="Text Box 1">
          <a:extLst>
            <a:ext uri="{FF2B5EF4-FFF2-40B4-BE49-F238E27FC236}">
              <a16:creationId xmlns:a16="http://schemas.microsoft.com/office/drawing/2014/main" id="{2611B819-88A1-435B-B24F-5A1C2A481B6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43" name="Text Box 1">
          <a:extLst>
            <a:ext uri="{FF2B5EF4-FFF2-40B4-BE49-F238E27FC236}">
              <a16:creationId xmlns:a16="http://schemas.microsoft.com/office/drawing/2014/main" id="{B73F9066-B03F-446C-AA1A-84E2446EF92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44" name="Text Box 1">
          <a:extLst>
            <a:ext uri="{FF2B5EF4-FFF2-40B4-BE49-F238E27FC236}">
              <a16:creationId xmlns:a16="http://schemas.microsoft.com/office/drawing/2014/main" id="{7DD5A105-4058-422F-A376-A65119F950B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45" name="Text Box 1">
          <a:extLst>
            <a:ext uri="{FF2B5EF4-FFF2-40B4-BE49-F238E27FC236}">
              <a16:creationId xmlns:a16="http://schemas.microsoft.com/office/drawing/2014/main" id="{CCBB8488-8278-4861-A642-26033E364B5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46" name="Text Box 1">
          <a:extLst>
            <a:ext uri="{FF2B5EF4-FFF2-40B4-BE49-F238E27FC236}">
              <a16:creationId xmlns:a16="http://schemas.microsoft.com/office/drawing/2014/main" id="{9A52AEEB-D799-4A76-A913-CEE369C312D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47" name="Text Box 1">
          <a:extLst>
            <a:ext uri="{FF2B5EF4-FFF2-40B4-BE49-F238E27FC236}">
              <a16:creationId xmlns:a16="http://schemas.microsoft.com/office/drawing/2014/main" id="{79CCE562-4063-425B-A80E-C33B48DA7DD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48" name="Text Box 1">
          <a:extLst>
            <a:ext uri="{FF2B5EF4-FFF2-40B4-BE49-F238E27FC236}">
              <a16:creationId xmlns:a16="http://schemas.microsoft.com/office/drawing/2014/main" id="{170D1E7C-34CD-4886-B0EA-C602B00C93A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49" name="Text Box 1">
          <a:extLst>
            <a:ext uri="{FF2B5EF4-FFF2-40B4-BE49-F238E27FC236}">
              <a16:creationId xmlns:a16="http://schemas.microsoft.com/office/drawing/2014/main" id="{2569F5F6-EAAC-4CFD-B77B-21A85337FB6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50" name="Text Box 1">
          <a:extLst>
            <a:ext uri="{FF2B5EF4-FFF2-40B4-BE49-F238E27FC236}">
              <a16:creationId xmlns:a16="http://schemas.microsoft.com/office/drawing/2014/main" id="{6D8683DA-4B18-4F37-A1B6-C9FFF1FFACE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51" name="Text Box 1">
          <a:extLst>
            <a:ext uri="{FF2B5EF4-FFF2-40B4-BE49-F238E27FC236}">
              <a16:creationId xmlns:a16="http://schemas.microsoft.com/office/drawing/2014/main" id="{DA987B71-AB8A-4523-94A5-0928B174A70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52" name="Text Box 1">
          <a:extLst>
            <a:ext uri="{FF2B5EF4-FFF2-40B4-BE49-F238E27FC236}">
              <a16:creationId xmlns:a16="http://schemas.microsoft.com/office/drawing/2014/main" id="{3F3F1E74-F75B-46BC-81E0-BE0E2499891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53" name="Text Box 1">
          <a:extLst>
            <a:ext uri="{FF2B5EF4-FFF2-40B4-BE49-F238E27FC236}">
              <a16:creationId xmlns:a16="http://schemas.microsoft.com/office/drawing/2014/main" id="{6836427E-454C-4DAC-97AA-54CFB88AFAE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54" name="Text Box 1">
          <a:extLst>
            <a:ext uri="{FF2B5EF4-FFF2-40B4-BE49-F238E27FC236}">
              <a16:creationId xmlns:a16="http://schemas.microsoft.com/office/drawing/2014/main" id="{3B5C8401-32BF-42D9-B6AE-053238FEB24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55" name="Text Box 1">
          <a:extLst>
            <a:ext uri="{FF2B5EF4-FFF2-40B4-BE49-F238E27FC236}">
              <a16:creationId xmlns:a16="http://schemas.microsoft.com/office/drawing/2014/main" id="{1EA445DE-B74F-4CB6-B949-E8EA29DF1CB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56" name="Text Box 1">
          <a:extLst>
            <a:ext uri="{FF2B5EF4-FFF2-40B4-BE49-F238E27FC236}">
              <a16:creationId xmlns:a16="http://schemas.microsoft.com/office/drawing/2014/main" id="{64770069-BE7A-4B9E-8D03-1CF100E6354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57" name="Text Box 1">
          <a:extLst>
            <a:ext uri="{FF2B5EF4-FFF2-40B4-BE49-F238E27FC236}">
              <a16:creationId xmlns:a16="http://schemas.microsoft.com/office/drawing/2014/main" id="{4C6EDC43-3473-47DF-BA70-5599874BDB0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58" name="Text Box 1">
          <a:extLst>
            <a:ext uri="{FF2B5EF4-FFF2-40B4-BE49-F238E27FC236}">
              <a16:creationId xmlns:a16="http://schemas.microsoft.com/office/drawing/2014/main" id="{76C7207B-177B-4D3E-9253-39B67CE582C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59" name="Text Box 1">
          <a:extLst>
            <a:ext uri="{FF2B5EF4-FFF2-40B4-BE49-F238E27FC236}">
              <a16:creationId xmlns:a16="http://schemas.microsoft.com/office/drawing/2014/main" id="{E5A3C57E-9B29-4A15-B187-D7B5F23A4B1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60" name="Text Box 1">
          <a:extLst>
            <a:ext uri="{FF2B5EF4-FFF2-40B4-BE49-F238E27FC236}">
              <a16:creationId xmlns:a16="http://schemas.microsoft.com/office/drawing/2014/main" id="{EFE917BB-8C6E-442B-B6CF-EE08267B080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61" name="Text Box 1">
          <a:extLst>
            <a:ext uri="{FF2B5EF4-FFF2-40B4-BE49-F238E27FC236}">
              <a16:creationId xmlns:a16="http://schemas.microsoft.com/office/drawing/2014/main" id="{9CDE069F-D686-4D07-BB9F-6B376E2B1D9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62" name="Text Box 1">
          <a:extLst>
            <a:ext uri="{FF2B5EF4-FFF2-40B4-BE49-F238E27FC236}">
              <a16:creationId xmlns:a16="http://schemas.microsoft.com/office/drawing/2014/main" id="{8E075900-F141-4C18-A581-EB806EA04D2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63" name="Text Box 1">
          <a:extLst>
            <a:ext uri="{FF2B5EF4-FFF2-40B4-BE49-F238E27FC236}">
              <a16:creationId xmlns:a16="http://schemas.microsoft.com/office/drawing/2014/main" id="{FFBD069C-65EF-426E-B502-7CBAD01039E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64" name="Text Box 1">
          <a:extLst>
            <a:ext uri="{FF2B5EF4-FFF2-40B4-BE49-F238E27FC236}">
              <a16:creationId xmlns:a16="http://schemas.microsoft.com/office/drawing/2014/main" id="{67681B30-A1B1-455C-8E00-ADE6AB4877D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65" name="Text Box 1">
          <a:extLst>
            <a:ext uri="{FF2B5EF4-FFF2-40B4-BE49-F238E27FC236}">
              <a16:creationId xmlns:a16="http://schemas.microsoft.com/office/drawing/2014/main" id="{2D467E45-16D3-47FB-AE2F-D4B17555F81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66" name="Text Box 1">
          <a:extLst>
            <a:ext uri="{FF2B5EF4-FFF2-40B4-BE49-F238E27FC236}">
              <a16:creationId xmlns:a16="http://schemas.microsoft.com/office/drawing/2014/main" id="{C2F4E9D8-686F-4881-BC48-EF906D9C7CA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67" name="Text Box 1">
          <a:extLst>
            <a:ext uri="{FF2B5EF4-FFF2-40B4-BE49-F238E27FC236}">
              <a16:creationId xmlns:a16="http://schemas.microsoft.com/office/drawing/2014/main" id="{3F18C59A-AF5A-47C5-BF6A-61F14269448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68" name="Text Box 1">
          <a:extLst>
            <a:ext uri="{FF2B5EF4-FFF2-40B4-BE49-F238E27FC236}">
              <a16:creationId xmlns:a16="http://schemas.microsoft.com/office/drawing/2014/main" id="{5C1B4EC6-D594-4397-B067-E12952D5133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69" name="Text Box 1">
          <a:extLst>
            <a:ext uri="{FF2B5EF4-FFF2-40B4-BE49-F238E27FC236}">
              <a16:creationId xmlns:a16="http://schemas.microsoft.com/office/drawing/2014/main" id="{358D89B9-8094-4702-AAB0-40E594C06F3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70" name="Text Box 1">
          <a:extLst>
            <a:ext uri="{FF2B5EF4-FFF2-40B4-BE49-F238E27FC236}">
              <a16:creationId xmlns:a16="http://schemas.microsoft.com/office/drawing/2014/main" id="{A3A1FD49-FE91-41CB-A184-455E4C9911B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71" name="Text Box 1">
          <a:extLst>
            <a:ext uri="{FF2B5EF4-FFF2-40B4-BE49-F238E27FC236}">
              <a16:creationId xmlns:a16="http://schemas.microsoft.com/office/drawing/2014/main" id="{FE777833-7891-47F4-8D70-32ED463484B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72" name="Text Box 1">
          <a:extLst>
            <a:ext uri="{FF2B5EF4-FFF2-40B4-BE49-F238E27FC236}">
              <a16:creationId xmlns:a16="http://schemas.microsoft.com/office/drawing/2014/main" id="{2E405286-FFB1-42D4-8450-32CB5A19D25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73" name="Text Box 1">
          <a:extLst>
            <a:ext uri="{FF2B5EF4-FFF2-40B4-BE49-F238E27FC236}">
              <a16:creationId xmlns:a16="http://schemas.microsoft.com/office/drawing/2014/main" id="{2A2E5EBA-751C-4468-99BC-9DC4E94349B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74" name="Text Box 1">
          <a:extLst>
            <a:ext uri="{FF2B5EF4-FFF2-40B4-BE49-F238E27FC236}">
              <a16:creationId xmlns:a16="http://schemas.microsoft.com/office/drawing/2014/main" id="{522E96B5-733C-4813-9719-1C601C31A75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75" name="Text Box 1">
          <a:extLst>
            <a:ext uri="{FF2B5EF4-FFF2-40B4-BE49-F238E27FC236}">
              <a16:creationId xmlns:a16="http://schemas.microsoft.com/office/drawing/2014/main" id="{40FBAD99-0093-46A0-8930-FBDA615AA8B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76" name="Text Box 1">
          <a:extLst>
            <a:ext uri="{FF2B5EF4-FFF2-40B4-BE49-F238E27FC236}">
              <a16:creationId xmlns:a16="http://schemas.microsoft.com/office/drawing/2014/main" id="{B6187098-F9ED-47FE-9671-3923BDCF091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77" name="Text Box 1">
          <a:extLst>
            <a:ext uri="{FF2B5EF4-FFF2-40B4-BE49-F238E27FC236}">
              <a16:creationId xmlns:a16="http://schemas.microsoft.com/office/drawing/2014/main" id="{95CFF922-786C-4CDE-BB8D-40E869ED86C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78" name="Text Box 1">
          <a:extLst>
            <a:ext uri="{FF2B5EF4-FFF2-40B4-BE49-F238E27FC236}">
              <a16:creationId xmlns:a16="http://schemas.microsoft.com/office/drawing/2014/main" id="{D454E1D1-2CB5-4882-8699-61352051D02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79" name="Text Box 1">
          <a:extLst>
            <a:ext uri="{FF2B5EF4-FFF2-40B4-BE49-F238E27FC236}">
              <a16:creationId xmlns:a16="http://schemas.microsoft.com/office/drawing/2014/main" id="{A520AE0A-2611-41BE-BCEB-D6C3B5F5E5C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80" name="Text Box 1">
          <a:extLst>
            <a:ext uri="{FF2B5EF4-FFF2-40B4-BE49-F238E27FC236}">
              <a16:creationId xmlns:a16="http://schemas.microsoft.com/office/drawing/2014/main" id="{DD1E8B40-98AB-49D1-A437-77414D370DB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81" name="Text Box 1">
          <a:extLst>
            <a:ext uri="{FF2B5EF4-FFF2-40B4-BE49-F238E27FC236}">
              <a16:creationId xmlns:a16="http://schemas.microsoft.com/office/drawing/2014/main" id="{697DCD46-2D9C-4B0C-A1CF-037821CA11D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82" name="Text Box 1">
          <a:extLst>
            <a:ext uri="{FF2B5EF4-FFF2-40B4-BE49-F238E27FC236}">
              <a16:creationId xmlns:a16="http://schemas.microsoft.com/office/drawing/2014/main" id="{45BFD816-9819-488C-A3F3-5355B007C20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83" name="Text Box 1">
          <a:extLst>
            <a:ext uri="{FF2B5EF4-FFF2-40B4-BE49-F238E27FC236}">
              <a16:creationId xmlns:a16="http://schemas.microsoft.com/office/drawing/2014/main" id="{F5BDF607-6C74-4525-8D44-0DFB18C2F9B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84" name="Text Box 1">
          <a:extLst>
            <a:ext uri="{FF2B5EF4-FFF2-40B4-BE49-F238E27FC236}">
              <a16:creationId xmlns:a16="http://schemas.microsoft.com/office/drawing/2014/main" id="{B7199C48-BCA7-413B-896D-DD1DABCA151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85" name="Text Box 1">
          <a:extLst>
            <a:ext uri="{FF2B5EF4-FFF2-40B4-BE49-F238E27FC236}">
              <a16:creationId xmlns:a16="http://schemas.microsoft.com/office/drawing/2014/main" id="{989F6E08-46F9-423C-8BAA-1FF94AF3561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86" name="Text Box 1">
          <a:extLst>
            <a:ext uri="{FF2B5EF4-FFF2-40B4-BE49-F238E27FC236}">
              <a16:creationId xmlns:a16="http://schemas.microsoft.com/office/drawing/2014/main" id="{8A755AD3-69DD-4159-B0A6-B44A4A17AB3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87" name="Text Box 1">
          <a:extLst>
            <a:ext uri="{FF2B5EF4-FFF2-40B4-BE49-F238E27FC236}">
              <a16:creationId xmlns:a16="http://schemas.microsoft.com/office/drawing/2014/main" id="{527AF46B-68FC-4BF3-986E-787CB218A68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88" name="Text Box 1">
          <a:extLst>
            <a:ext uri="{FF2B5EF4-FFF2-40B4-BE49-F238E27FC236}">
              <a16:creationId xmlns:a16="http://schemas.microsoft.com/office/drawing/2014/main" id="{4F27ACAC-750D-4DFE-9A7A-0284BED64C5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89" name="Text Box 1">
          <a:extLst>
            <a:ext uri="{FF2B5EF4-FFF2-40B4-BE49-F238E27FC236}">
              <a16:creationId xmlns:a16="http://schemas.microsoft.com/office/drawing/2014/main" id="{1CEAF366-8652-4B2C-B8B3-415C8210770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90" name="Text Box 1">
          <a:extLst>
            <a:ext uri="{FF2B5EF4-FFF2-40B4-BE49-F238E27FC236}">
              <a16:creationId xmlns:a16="http://schemas.microsoft.com/office/drawing/2014/main" id="{7C961330-AE4B-43DE-8FCA-EF69A69D363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91" name="Text Box 1">
          <a:extLst>
            <a:ext uri="{FF2B5EF4-FFF2-40B4-BE49-F238E27FC236}">
              <a16:creationId xmlns:a16="http://schemas.microsoft.com/office/drawing/2014/main" id="{AEAEE32A-3BF2-42BE-8F43-73ADA1D2FDE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92" name="Text Box 1">
          <a:extLst>
            <a:ext uri="{FF2B5EF4-FFF2-40B4-BE49-F238E27FC236}">
              <a16:creationId xmlns:a16="http://schemas.microsoft.com/office/drawing/2014/main" id="{F9C7B87B-49D4-407B-AA66-D922621EDF7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93" name="Text Box 1">
          <a:extLst>
            <a:ext uri="{FF2B5EF4-FFF2-40B4-BE49-F238E27FC236}">
              <a16:creationId xmlns:a16="http://schemas.microsoft.com/office/drawing/2014/main" id="{DA738E37-FA3E-4087-BFEE-A841CD369BE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94" name="Text Box 1">
          <a:extLst>
            <a:ext uri="{FF2B5EF4-FFF2-40B4-BE49-F238E27FC236}">
              <a16:creationId xmlns:a16="http://schemas.microsoft.com/office/drawing/2014/main" id="{ECAD77FD-7091-4561-B5F2-7ADF547BDA8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95" name="Text Box 1">
          <a:extLst>
            <a:ext uri="{FF2B5EF4-FFF2-40B4-BE49-F238E27FC236}">
              <a16:creationId xmlns:a16="http://schemas.microsoft.com/office/drawing/2014/main" id="{422E57F9-7BC8-42D5-BA73-1D0EB464EDD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96" name="Text Box 1">
          <a:extLst>
            <a:ext uri="{FF2B5EF4-FFF2-40B4-BE49-F238E27FC236}">
              <a16:creationId xmlns:a16="http://schemas.microsoft.com/office/drawing/2014/main" id="{624C9A7F-1675-4B04-B4A7-1ADC62AD53B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97" name="Text Box 1">
          <a:extLst>
            <a:ext uri="{FF2B5EF4-FFF2-40B4-BE49-F238E27FC236}">
              <a16:creationId xmlns:a16="http://schemas.microsoft.com/office/drawing/2014/main" id="{1171CDD7-D411-4041-9034-6031EB68152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98" name="Text Box 1">
          <a:extLst>
            <a:ext uri="{FF2B5EF4-FFF2-40B4-BE49-F238E27FC236}">
              <a16:creationId xmlns:a16="http://schemas.microsoft.com/office/drawing/2014/main" id="{1B993B07-493C-402A-AE4E-6F897F4EBB0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299" name="Text Box 1">
          <a:extLst>
            <a:ext uri="{FF2B5EF4-FFF2-40B4-BE49-F238E27FC236}">
              <a16:creationId xmlns:a16="http://schemas.microsoft.com/office/drawing/2014/main" id="{95283804-B956-4E17-8B09-FF539A575D0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00" name="Text Box 1">
          <a:extLst>
            <a:ext uri="{FF2B5EF4-FFF2-40B4-BE49-F238E27FC236}">
              <a16:creationId xmlns:a16="http://schemas.microsoft.com/office/drawing/2014/main" id="{3A651613-69F8-4F17-9FD3-C93EF9B0263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01" name="Text Box 1">
          <a:extLst>
            <a:ext uri="{FF2B5EF4-FFF2-40B4-BE49-F238E27FC236}">
              <a16:creationId xmlns:a16="http://schemas.microsoft.com/office/drawing/2014/main" id="{202C6B76-9530-4479-904A-C408E41DBB0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02" name="Text Box 1">
          <a:extLst>
            <a:ext uri="{FF2B5EF4-FFF2-40B4-BE49-F238E27FC236}">
              <a16:creationId xmlns:a16="http://schemas.microsoft.com/office/drawing/2014/main" id="{08AFAD14-83F7-4910-92D4-22C5421A259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03" name="Text Box 1">
          <a:extLst>
            <a:ext uri="{FF2B5EF4-FFF2-40B4-BE49-F238E27FC236}">
              <a16:creationId xmlns:a16="http://schemas.microsoft.com/office/drawing/2014/main" id="{E90A5CD4-D0CB-48B7-8FDA-C85B33B84A2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04" name="Text Box 1">
          <a:extLst>
            <a:ext uri="{FF2B5EF4-FFF2-40B4-BE49-F238E27FC236}">
              <a16:creationId xmlns:a16="http://schemas.microsoft.com/office/drawing/2014/main" id="{AB5ABF1B-ABC4-4414-B161-B5AF780C6D2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05" name="Text Box 1">
          <a:extLst>
            <a:ext uri="{FF2B5EF4-FFF2-40B4-BE49-F238E27FC236}">
              <a16:creationId xmlns:a16="http://schemas.microsoft.com/office/drawing/2014/main" id="{9CF2309F-92A2-4B45-B238-4DAD2504B57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06" name="Text Box 1">
          <a:extLst>
            <a:ext uri="{FF2B5EF4-FFF2-40B4-BE49-F238E27FC236}">
              <a16:creationId xmlns:a16="http://schemas.microsoft.com/office/drawing/2014/main" id="{D1B1DEF0-F09C-4EA2-AFCF-14A9DE034E5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07" name="Text Box 1">
          <a:extLst>
            <a:ext uri="{FF2B5EF4-FFF2-40B4-BE49-F238E27FC236}">
              <a16:creationId xmlns:a16="http://schemas.microsoft.com/office/drawing/2014/main" id="{F0DC42D6-F679-4F56-81A4-0AFD07A8876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08" name="Text Box 1">
          <a:extLst>
            <a:ext uri="{FF2B5EF4-FFF2-40B4-BE49-F238E27FC236}">
              <a16:creationId xmlns:a16="http://schemas.microsoft.com/office/drawing/2014/main" id="{5115F4C4-A681-476A-9D9E-CB6A7BAAE47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09" name="Text Box 1">
          <a:extLst>
            <a:ext uri="{FF2B5EF4-FFF2-40B4-BE49-F238E27FC236}">
              <a16:creationId xmlns:a16="http://schemas.microsoft.com/office/drawing/2014/main" id="{CAFEE814-DA16-4431-95E5-CD036930FBA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10" name="Text Box 1">
          <a:extLst>
            <a:ext uri="{FF2B5EF4-FFF2-40B4-BE49-F238E27FC236}">
              <a16:creationId xmlns:a16="http://schemas.microsoft.com/office/drawing/2014/main" id="{7E10081B-8200-49AC-BCC7-A682E639488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11" name="Text Box 1">
          <a:extLst>
            <a:ext uri="{FF2B5EF4-FFF2-40B4-BE49-F238E27FC236}">
              <a16:creationId xmlns:a16="http://schemas.microsoft.com/office/drawing/2014/main" id="{7D845B56-264D-4A12-9511-1B1D022C6D2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12" name="Text Box 1">
          <a:extLst>
            <a:ext uri="{FF2B5EF4-FFF2-40B4-BE49-F238E27FC236}">
              <a16:creationId xmlns:a16="http://schemas.microsoft.com/office/drawing/2014/main" id="{C74871D0-2A8E-475A-A371-6027F9FA77F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13" name="Text Box 1">
          <a:extLst>
            <a:ext uri="{FF2B5EF4-FFF2-40B4-BE49-F238E27FC236}">
              <a16:creationId xmlns:a16="http://schemas.microsoft.com/office/drawing/2014/main" id="{B0CAE14B-5327-46D2-8DA7-59E42A93B7C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14" name="Text Box 1">
          <a:extLst>
            <a:ext uri="{FF2B5EF4-FFF2-40B4-BE49-F238E27FC236}">
              <a16:creationId xmlns:a16="http://schemas.microsoft.com/office/drawing/2014/main" id="{C59B9BC0-C6D9-42FC-B47B-982C6DFBD43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15" name="Text Box 1">
          <a:extLst>
            <a:ext uri="{FF2B5EF4-FFF2-40B4-BE49-F238E27FC236}">
              <a16:creationId xmlns:a16="http://schemas.microsoft.com/office/drawing/2014/main" id="{42636072-33AD-4CB7-AE47-0FE03D5AFC4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16" name="Text Box 1">
          <a:extLst>
            <a:ext uri="{FF2B5EF4-FFF2-40B4-BE49-F238E27FC236}">
              <a16:creationId xmlns:a16="http://schemas.microsoft.com/office/drawing/2014/main" id="{105BE19A-51EE-491E-AA89-EDBE80196C0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17" name="Text Box 1">
          <a:extLst>
            <a:ext uri="{FF2B5EF4-FFF2-40B4-BE49-F238E27FC236}">
              <a16:creationId xmlns:a16="http://schemas.microsoft.com/office/drawing/2014/main" id="{8B3A90E4-7153-4761-9570-608235A2B87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18" name="Text Box 1">
          <a:extLst>
            <a:ext uri="{FF2B5EF4-FFF2-40B4-BE49-F238E27FC236}">
              <a16:creationId xmlns:a16="http://schemas.microsoft.com/office/drawing/2014/main" id="{DFA22424-C329-4AC3-9039-0AD2C9653FC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19" name="Text Box 1">
          <a:extLst>
            <a:ext uri="{FF2B5EF4-FFF2-40B4-BE49-F238E27FC236}">
              <a16:creationId xmlns:a16="http://schemas.microsoft.com/office/drawing/2014/main" id="{E1DA0039-104E-440E-BEF2-E1A0920DD10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20" name="Text Box 1">
          <a:extLst>
            <a:ext uri="{FF2B5EF4-FFF2-40B4-BE49-F238E27FC236}">
              <a16:creationId xmlns:a16="http://schemas.microsoft.com/office/drawing/2014/main" id="{25DBEDA7-0E08-48F9-932B-1C8E59666CB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21" name="Text Box 1">
          <a:extLst>
            <a:ext uri="{FF2B5EF4-FFF2-40B4-BE49-F238E27FC236}">
              <a16:creationId xmlns:a16="http://schemas.microsoft.com/office/drawing/2014/main" id="{B7441173-8C9F-42A0-B8B2-53CF44D4A7C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22" name="Text Box 1">
          <a:extLst>
            <a:ext uri="{FF2B5EF4-FFF2-40B4-BE49-F238E27FC236}">
              <a16:creationId xmlns:a16="http://schemas.microsoft.com/office/drawing/2014/main" id="{B2A811B4-09E3-4C6D-ADDD-C9AA6339FD7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23" name="Text Box 1">
          <a:extLst>
            <a:ext uri="{FF2B5EF4-FFF2-40B4-BE49-F238E27FC236}">
              <a16:creationId xmlns:a16="http://schemas.microsoft.com/office/drawing/2014/main" id="{FBB09559-C37B-49E4-B7A4-3C7439EF97A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24" name="Text Box 1">
          <a:extLst>
            <a:ext uri="{FF2B5EF4-FFF2-40B4-BE49-F238E27FC236}">
              <a16:creationId xmlns:a16="http://schemas.microsoft.com/office/drawing/2014/main" id="{E0AB429A-DF48-4E67-B4D5-F99D7C01319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25" name="Text Box 1">
          <a:extLst>
            <a:ext uri="{FF2B5EF4-FFF2-40B4-BE49-F238E27FC236}">
              <a16:creationId xmlns:a16="http://schemas.microsoft.com/office/drawing/2014/main" id="{6A7C8CEB-DB63-4B23-B274-9FF9E67A371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26" name="Text Box 1">
          <a:extLst>
            <a:ext uri="{FF2B5EF4-FFF2-40B4-BE49-F238E27FC236}">
              <a16:creationId xmlns:a16="http://schemas.microsoft.com/office/drawing/2014/main" id="{8801621D-44BF-4E6D-96F4-5643451926E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27" name="Text Box 1">
          <a:extLst>
            <a:ext uri="{FF2B5EF4-FFF2-40B4-BE49-F238E27FC236}">
              <a16:creationId xmlns:a16="http://schemas.microsoft.com/office/drawing/2014/main" id="{DD95F03E-FF82-466D-80ED-8CB955011BC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28" name="Text Box 1">
          <a:extLst>
            <a:ext uri="{FF2B5EF4-FFF2-40B4-BE49-F238E27FC236}">
              <a16:creationId xmlns:a16="http://schemas.microsoft.com/office/drawing/2014/main" id="{1EAF5D24-A5FD-4E99-9B9E-A3E697C9582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29" name="Text Box 1">
          <a:extLst>
            <a:ext uri="{FF2B5EF4-FFF2-40B4-BE49-F238E27FC236}">
              <a16:creationId xmlns:a16="http://schemas.microsoft.com/office/drawing/2014/main" id="{DB6B7FCE-B5EF-4363-87D9-646EBD00022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30" name="Text Box 1">
          <a:extLst>
            <a:ext uri="{FF2B5EF4-FFF2-40B4-BE49-F238E27FC236}">
              <a16:creationId xmlns:a16="http://schemas.microsoft.com/office/drawing/2014/main" id="{311EAA2A-987A-4AFA-A5A1-DD3A853B5BB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31" name="Text Box 1">
          <a:extLst>
            <a:ext uri="{FF2B5EF4-FFF2-40B4-BE49-F238E27FC236}">
              <a16:creationId xmlns:a16="http://schemas.microsoft.com/office/drawing/2014/main" id="{B24486F6-60BF-43EA-9E6D-ABA4864F88F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32" name="Text Box 1">
          <a:extLst>
            <a:ext uri="{FF2B5EF4-FFF2-40B4-BE49-F238E27FC236}">
              <a16:creationId xmlns:a16="http://schemas.microsoft.com/office/drawing/2014/main" id="{9EE19DAF-62DB-41D1-BDA7-B5657CFAB9C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33" name="Text Box 1">
          <a:extLst>
            <a:ext uri="{FF2B5EF4-FFF2-40B4-BE49-F238E27FC236}">
              <a16:creationId xmlns:a16="http://schemas.microsoft.com/office/drawing/2014/main" id="{B810D4D7-5D8E-46CD-AFE4-03B66C8F8DC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34" name="Text Box 1">
          <a:extLst>
            <a:ext uri="{FF2B5EF4-FFF2-40B4-BE49-F238E27FC236}">
              <a16:creationId xmlns:a16="http://schemas.microsoft.com/office/drawing/2014/main" id="{9A1B34E5-DD3D-41DD-BFCC-3A2286D8A7C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35" name="Text Box 1">
          <a:extLst>
            <a:ext uri="{FF2B5EF4-FFF2-40B4-BE49-F238E27FC236}">
              <a16:creationId xmlns:a16="http://schemas.microsoft.com/office/drawing/2014/main" id="{3E418872-EB4A-4583-AB29-4F329BF4C7D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36" name="Text Box 1">
          <a:extLst>
            <a:ext uri="{FF2B5EF4-FFF2-40B4-BE49-F238E27FC236}">
              <a16:creationId xmlns:a16="http://schemas.microsoft.com/office/drawing/2014/main" id="{E6596F77-F201-415C-BA83-D6497C04D23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37" name="Text Box 1">
          <a:extLst>
            <a:ext uri="{FF2B5EF4-FFF2-40B4-BE49-F238E27FC236}">
              <a16:creationId xmlns:a16="http://schemas.microsoft.com/office/drawing/2014/main" id="{75973FF8-FB16-4B82-8D5B-4D5AB3B8309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38" name="Text Box 1">
          <a:extLst>
            <a:ext uri="{FF2B5EF4-FFF2-40B4-BE49-F238E27FC236}">
              <a16:creationId xmlns:a16="http://schemas.microsoft.com/office/drawing/2014/main" id="{6C25F06C-4433-4A1D-9A12-B7A4B50A0AD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39" name="Text Box 1">
          <a:extLst>
            <a:ext uri="{FF2B5EF4-FFF2-40B4-BE49-F238E27FC236}">
              <a16:creationId xmlns:a16="http://schemas.microsoft.com/office/drawing/2014/main" id="{C065CB0E-A9E7-4DD8-BC64-69F2098DAFA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40" name="Text Box 1">
          <a:extLst>
            <a:ext uri="{FF2B5EF4-FFF2-40B4-BE49-F238E27FC236}">
              <a16:creationId xmlns:a16="http://schemas.microsoft.com/office/drawing/2014/main" id="{8818301E-E105-4BE2-BF2B-E6E62096237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41" name="Text Box 1">
          <a:extLst>
            <a:ext uri="{FF2B5EF4-FFF2-40B4-BE49-F238E27FC236}">
              <a16:creationId xmlns:a16="http://schemas.microsoft.com/office/drawing/2014/main" id="{361ED89B-FF3D-4EEB-A1DA-C5C4A0E763C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42" name="Text Box 1">
          <a:extLst>
            <a:ext uri="{FF2B5EF4-FFF2-40B4-BE49-F238E27FC236}">
              <a16:creationId xmlns:a16="http://schemas.microsoft.com/office/drawing/2014/main" id="{1D296CA2-CAEE-45FB-A1E4-CEFCE345DAD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43" name="Text Box 1">
          <a:extLst>
            <a:ext uri="{FF2B5EF4-FFF2-40B4-BE49-F238E27FC236}">
              <a16:creationId xmlns:a16="http://schemas.microsoft.com/office/drawing/2014/main" id="{DA92FF72-13AF-4F94-ABB9-8A762283541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44" name="Text Box 1">
          <a:extLst>
            <a:ext uri="{FF2B5EF4-FFF2-40B4-BE49-F238E27FC236}">
              <a16:creationId xmlns:a16="http://schemas.microsoft.com/office/drawing/2014/main" id="{360496FF-7A2E-48A6-AAC6-6ED1A042DB2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45" name="Text Box 1">
          <a:extLst>
            <a:ext uri="{FF2B5EF4-FFF2-40B4-BE49-F238E27FC236}">
              <a16:creationId xmlns:a16="http://schemas.microsoft.com/office/drawing/2014/main" id="{F10BD503-313B-4965-B3BD-DC57704150F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46" name="Text Box 1">
          <a:extLst>
            <a:ext uri="{FF2B5EF4-FFF2-40B4-BE49-F238E27FC236}">
              <a16:creationId xmlns:a16="http://schemas.microsoft.com/office/drawing/2014/main" id="{0A467D16-29D7-4681-8525-4452D3C8854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47" name="Text Box 1">
          <a:extLst>
            <a:ext uri="{FF2B5EF4-FFF2-40B4-BE49-F238E27FC236}">
              <a16:creationId xmlns:a16="http://schemas.microsoft.com/office/drawing/2014/main" id="{813D5EAD-762A-4274-AEDC-DB91B469670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48" name="Text Box 1">
          <a:extLst>
            <a:ext uri="{FF2B5EF4-FFF2-40B4-BE49-F238E27FC236}">
              <a16:creationId xmlns:a16="http://schemas.microsoft.com/office/drawing/2014/main" id="{F69D0A51-D54F-41C4-B087-ED115A79D1F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49" name="Text Box 1">
          <a:extLst>
            <a:ext uri="{FF2B5EF4-FFF2-40B4-BE49-F238E27FC236}">
              <a16:creationId xmlns:a16="http://schemas.microsoft.com/office/drawing/2014/main" id="{07B6DF34-5BA0-4D3E-AE8D-88C7033A46A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50" name="Text Box 1">
          <a:extLst>
            <a:ext uri="{FF2B5EF4-FFF2-40B4-BE49-F238E27FC236}">
              <a16:creationId xmlns:a16="http://schemas.microsoft.com/office/drawing/2014/main" id="{10C53F3B-43ED-4442-9B03-AFE177A4CFD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51" name="Text Box 1">
          <a:extLst>
            <a:ext uri="{FF2B5EF4-FFF2-40B4-BE49-F238E27FC236}">
              <a16:creationId xmlns:a16="http://schemas.microsoft.com/office/drawing/2014/main" id="{45E95F52-FF2D-415A-BDD5-F09A6E320CF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52" name="Text Box 1">
          <a:extLst>
            <a:ext uri="{FF2B5EF4-FFF2-40B4-BE49-F238E27FC236}">
              <a16:creationId xmlns:a16="http://schemas.microsoft.com/office/drawing/2014/main" id="{B8727492-64C7-4AFD-97F6-3707BA0BA61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53" name="Text Box 1">
          <a:extLst>
            <a:ext uri="{FF2B5EF4-FFF2-40B4-BE49-F238E27FC236}">
              <a16:creationId xmlns:a16="http://schemas.microsoft.com/office/drawing/2014/main" id="{5866284D-6121-46A5-8A43-A3D99183200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54" name="Text Box 1">
          <a:extLst>
            <a:ext uri="{FF2B5EF4-FFF2-40B4-BE49-F238E27FC236}">
              <a16:creationId xmlns:a16="http://schemas.microsoft.com/office/drawing/2014/main" id="{AC4DA874-5290-40D2-9FA9-7FDAE7EE9E1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55" name="Text Box 1">
          <a:extLst>
            <a:ext uri="{FF2B5EF4-FFF2-40B4-BE49-F238E27FC236}">
              <a16:creationId xmlns:a16="http://schemas.microsoft.com/office/drawing/2014/main" id="{8246C530-96C7-42E9-AC71-4F65BDFC535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56" name="Text Box 1">
          <a:extLst>
            <a:ext uri="{FF2B5EF4-FFF2-40B4-BE49-F238E27FC236}">
              <a16:creationId xmlns:a16="http://schemas.microsoft.com/office/drawing/2014/main" id="{BD1308CE-EE73-4ED7-9EB2-A5D7391A694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57" name="Text Box 1">
          <a:extLst>
            <a:ext uri="{FF2B5EF4-FFF2-40B4-BE49-F238E27FC236}">
              <a16:creationId xmlns:a16="http://schemas.microsoft.com/office/drawing/2014/main" id="{B762AC60-32FC-4503-A532-BCEF38754DF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58" name="Text Box 1">
          <a:extLst>
            <a:ext uri="{FF2B5EF4-FFF2-40B4-BE49-F238E27FC236}">
              <a16:creationId xmlns:a16="http://schemas.microsoft.com/office/drawing/2014/main" id="{410FAFFC-9384-47AF-B791-D59DD093E09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59" name="Text Box 1">
          <a:extLst>
            <a:ext uri="{FF2B5EF4-FFF2-40B4-BE49-F238E27FC236}">
              <a16:creationId xmlns:a16="http://schemas.microsoft.com/office/drawing/2014/main" id="{682F10AA-6011-45C7-9AA8-A31B44BCC7F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60" name="Text Box 1">
          <a:extLst>
            <a:ext uri="{FF2B5EF4-FFF2-40B4-BE49-F238E27FC236}">
              <a16:creationId xmlns:a16="http://schemas.microsoft.com/office/drawing/2014/main" id="{75C35AE4-5FC8-43CC-B5B6-8F04D35B224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61" name="Text Box 1">
          <a:extLst>
            <a:ext uri="{FF2B5EF4-FFF2-40B4-BE49-F238E27FC236}">
              <a16:creationId xmlns:a16="http://schemas.microsoft.com/office/drawing/2014/main" id="{A9E73A5B-D658-4399-862B-405D8C0C2C2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62" name="Text Box 1">
          <a:extLst>
            <a:ext uri="{FF2B5EF4-FFF2-40B4-BE49-F238E27FC236}">
              <a16:creationId xmlns:a16="http://schemas.microsoft.com/office/drawing/2014/main" id="{823D111B-B0E3-44A6-AA74-55CE9B6BB41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63" name="Text Box 1">
          <a:extLst>
            <a:ext uri="{FF2B5EF4-FFF2-40B4-BE49-F238E27FC236}">
              <a16:creationId xmlns:a16="http://schemas.microsoft.com/office/drawing/2014/main" id="{3A275281-7156-480E-B061-8683E3A7193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64" name="Text Box 1">
          <a:extLst>
            <a:ext uri="{FF2B5EF4-FFF2-40B4-BE49-F238E27FC236}">
              <a16:creationId xmlns:a16="http://schemas.microsoft.com/office/drawing/2014/main" id="{B446DD49-2349-4045-AC1C-92B0EC76474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65" name="Text Box 1">
          <a:extLst>
            <a:ext uri="{FF2B5EF4-FFF2-40B4-BE49-F238E27FC236}">
              <a16:creationId xmlns:a16="http://schemas.microsoft.com/office/drawing/2014/main" id="{FF890CA0-6CCC-4650-8B0C-2688E5FC877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66" name="Text Box 1">
          <a:extLst>
            <a:ext uri="{FF2B5EF4-FFF2-40B4-BE49-F238E27FC236}">
              <a16:creationId xmlns:a16="http://schemas.microsoft.com/office/drawing/2014/main" id="{4F2818F6-5959-482B-898D-6132D4651C6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67" name="Text Box 1">
          <a:extLst>
            <a:ext uri="{FF2B5EF4-FFF2-40B4-BE49-F238E27FC236}">
              <a16:creationId xmlns:a16="http://schemas.microsoft.com/office/drawing/2014/main" id="{DD2DDD94-9354-4658-952D-D6C1A31AADF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68" name="Text Box 1">
          <a:extLst>
            <a:ext uri="{FF2B5EF4-FFF2-40B4-BE49-F238E27FC236}">
              <a16:creationId xmlns:a16="http://schemas.microsoft.com/office/drawing/2014/main" id="{522626A3-1354-4112-A659-8588C30B456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69" name="Text Box 1">
          <a:extLst>
            <a:ext uri="{FF2B5EF4-FFF2-40B4-BE49-F238E27FC236}">
              <a16:creationId xmlns:a16="http://schemas.microsoft.com/office/drawing/2014/main" id="{34BC3D51-0D1E-4E74-BCA4-A5453E65D2F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70" name="Text Box 1">
          <a:extLst>
            <a:ext uri="{FF2B5EF4-FFF2-40B4-BE49-F238E27FC236}">
              <a16:creationId xmlns:a16="http://schemas.microsoft.com/office/drawing/2014/main" id="{68F546D6-9A02-4536-AC0D-42A548058B4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71" name="Text Box 1">
          <a:extLst>
            <a:ext uri="{FF2B5EF4-FFF2-40B4-BE49-F238E27FC236}">
              <a16:creationId xmlns:a16="http://schemas.microsoft.com/office/drawing/2014/main" id="{6AE1DD34-A20B-40EB-8C8A-82FBB05705C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72" name="Text Box 1">
          <a:extLst>
            <a:ext uri="{FF2B5EF4-FFF2-40B4-BE49-F238E27FC236}">
              <a16:creationId xmlns:a16="http://schemas.microsoft.com/office/drawing/2014/main" id="{74EECE3A-11BB-4D17-A56C-B87B056F538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73" name="Text Box 1">
          <a:extLst>
            <a:ext uri="{FF2B5EF4-FFF2-40B4-BE49-F238E27FC236}">
              <a16:creationId xmlns:a16="http://schemas.microsoft.com/office/drawing/2014/main" id="{8F3FC89C-7DC8-4E99-91FC-2E4C7BDB1B2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74" name="Text Box 1">
          <a:extLst>
            <a:ext uri="{FF2B5EF4-FFF2-40B4-BE49-F238E27FC236}">
              <a16:creationId xmlns:a16="http://schemas.microsoft.com/office/drawing/2014/main" id="{A0087C68-2410-4B82-8D19-D5D8C62675F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75" name="Text Box 1">
          <a:extLst>
            <a:ext uri="{FF2B5EF4-FFF2-40B4-BE49-F238E27FC236}">
              <a16:creationId xmlns:a16="http://schemas.microsoft.com/office/drawing/2014/main" id="{89C948EE-6BF7-45C0-956B-FFC27A1873E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76" name="Text Box 1">
          <a:extLst>
            <a:ext uri="{FF2B5EF4-FFF2-40B4-BE49-F238E27FC236}">
              <a16:creationId xmlns:a16="http://schemas.microsoft.com/office/drawing/2014/main" id="{AF12FE5B-4668-4E56-A750-605B5A76FBE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77" name="Text Box 1">
          <a:extLst>
            <a:ext uri="{FF2B5EF4-FFF2-40B4-BE49-F238E27FC236}">
              <a16:creationId xmlns:a16="http://schemas.microsoft.com/office/drawing/2014/main" id="{D1B09209-0E8D-419D-B7F1-71577639E40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78" name="Text Box 1">
          <a:extLst>
            <a:ext uri="{FF2B5EF4-FFF2-40B4-BE49-F238E27FC236}">
              <a16:creationId xmlns:a16="http://schemas.microsoft.com/office/drawing/2014/main" id="{C5CDD5A0-FFDE-45AC-9E9C-C1C303F167D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79" name="Text Box 1">
          <a:extLst>
            <a:ext uri="{FF2B5EF4-FFF2-40B4-BE49-F238E27FC236}">
              <a16:creationId xmlns:a16="http://schemas.microsoft.com/office/drawing/2014/main" id="{10C9A5A0-223C-4767-B340-FDA197B345E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80" name="Text Box 1">
          <a:extLst>
            <a:ext uri="{FF2B5EF4-FFF2-40B4-BE49-F238E27FC236}">
              <a16:creationId xmlns:a16="http://schemas.microsoft.com/office/drawing/2014/main" id="{334FD3F0-0730-4124-9403-D4121C2A758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81" name="Text Box 1">
          <a:extLst>
            <a:ext uri="{FF2B5EF4-FFF2-40B4-BE49-F238E27FC236}">
              <a16:creationId xmlns:a16="http://schemas.microsoft.com/office/drawing/2014/main" id="{0A13F61F-3579-4FDC-9FFB-5156CEF0D25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82" name="Text Box 1">
          <a:extLst>
            <a:ext uri="{FF2B5EF4-FFF2-40B4-BE49-F238E27FC236}">
              <a16:creationId xmlns:a16="http://schemas.microsoft.com/office/drawing/2014/main" id="{385F0AD6-43DC-4CCD-95A6-9A1F328E589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83" name="Text Box 1">
          <a:extLst>
            <a:ext uri="{FF2B5EF4-FFF2-40B4-BE49-F238E27FC236}">
              <a16:creationId xmlns:a16="http://schemas.microsoft.com/office/drawing/2014/main" id="{8A4A765F-A20C-4E6D-9446-1D587766C80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84" name="Text Box 1">
          <a:extLst>
            <a:ext uri="{FF2B5EF4-FFF2-40B4-BE49-F238E27FC236}">
              <a16:creationId xmlns:a16="http://schemas.microsoft.com/office/drawing/2014/main" id="{210ECC9F-9B5C-4A94-A06E-F2CEEEBE571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85" name="Text Box 1">
          <a:extLst>
            <a:ext uri="{FF2B5EF4-FFF2-40B4-BE49-F238E27FC236}">
              <a16:creationId xmlns:a16="http://schemas.microsoft.com/office/drawing/2014/main" id="{31396787-4B48-4E90-BDE5-CA80EE956AB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86" name="Text Box 1">
          <a:extLst>
            <a:ext uri="{FF2B5EF4-FFF2-40B4-BE49-F238E27FC236}">
              <a16:creationId xmlns:a16="http://schemas.microsoft.com/office/drawing/2014/main" id="{90096BAA-F224-4758-A246-09224425498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87" name="Text Box 1">
          <a:extLst>
            <a:ext uri="{FF2B5EF4-FFF2-40B4-BE49-F238E27FC236}">
              <a16:creationId xmlns:a16="http://schemas.microsoft.com/office/drawing/2014/main" id="{1F0D96D4-AE14-48D4-BCDB-73A6CC40E18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88" name="Text Box 1">
          <a:extLst>
            <a:ext uri="{FF2B5EF4-FFF2-40B4-BE49-F238E27FC236}">
              <a16:creationId xmlns:a16="http://schemas.microsoft.com/office/drawing/2014/main" id="{965416C6-2242-41C2-85D5-3B21BC32D45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89" name="Text Box 1">
          <a:extLst>
            <a:ext uri="{FF2B5EF4-FFF2-40B4-BE49-F238E27FC236}">
              <a16:creationId xmlns:a16="http://schemas.microsoft.com/office/drawing/2014/main" id="{C1F614BE-6146-47EC-85D7-065E89F7087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90" name="Text Box 1">
          <a:extLst>
            <a:ext uri="{FF2B5EF4-FFF2-40B4-BE49-F238E27FC236}">
              <a16:creationId xmlns:a16="http://schemas.microsoft.com/office/drawing/2014/main" id="{D12B4520-7B68-45AF-AD32-D8C10CD7146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91" name="Text Box 1">
          <a:extLst>
            <a:ext uri="{FF2B5EF4-FFF2-40B4-BE49-F238E27FC236}">
              <a16:creationId xmlns:a16="http://schemas.microsoft.com/office/drawing/2014/main" id="{8A7825C2-B942-4E83-B185-C8D4508512D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92" name="Text Box 1">
          <a:extLst>
            <a:ext uri="{FF2B5EF4-FFF2-40B4-BE49-F238E27FC236}">
              <a16:creationId xmlns:a16="http://schemas.microsoft.com/office/drawing/2014/main" id="{23BD8E35-F0AE-44B3-8FB0-B48C09C7450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93" name="Text Box 1">
          <a:extLst>
            <a:ext uri="{FF2B5EF4-FFF2-40B4-BE49-F238E27FC236}">
              <a16:creationId xmlns:a16="http://schemas.microsoft.com/office/drawing/2014/main" id="{8A55409D-7ED5-4D94-8D3E-5059C175B96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94" name="Text Box 1">
          <a:extLst>
            <a:ext uri="{FF2B5EF4-FFF2-40B4-BE49-F238E27FC236}">
              <a16:creationId xmlns:a16="http://schemas.microsoft.com/office/drawing/2014/main" id="{A6B8A02A-DE62-427D-A091-1C0F42D005A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95" name="Text Box 1">
          <a:extLst>
            <a:ext uri="{FF2B5EF4-FFF2-40B4-BE49-F238E27FC236}">
              <a16:creationId xmlns:a16="http://schemas.microsoft.com/office/drawing/2014/main" id="{68F6F7FA-5F38-4AFC-B03B-9752C0A5CB3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96" name="Text Box 1">
          <a:extLst>
            <a:ext uri="{FF2B5EF4-FFF2-40B4-BE49-F238E27FC236}">
              <a16:creationId xmlns:a16="http://schemas.microsoft.com/office/drawing/2014/main" id="{3E116E03-914C-4DA0-957C-8C980CFC112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97" name="Text Box 1">
          <a:extLst>
            <a:ext uri="{FF2B5EF4-FFF2-40B4-BE49-F238E27FC236}">
              <a16:creationId xmlns:a16="http://schemas.microsoft.com/office/drawing/2014/main" id="{0FEAC89C-4015-4CBD-A45D-60B2BC8ABA7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98" name="Text Box 1">
          <a:extLst>
            <a:ext uri="{FF2B5EF4-FFF2-40B4-BE49-F238E27FC236}">
              <a16:creationId xmlns:a16="http://schemas.microsoft.com/office/drawing/2014/main" id="{111761A1-8953-4E1A-B4F5-6B23B89264E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399" name="Text Box 1">
          <a:extLst>
            <a:ext uri="{FF2B5EF4-FFF2-40B4-BE49-F238E27FC236}">
              <a16:creationId xmlns:a16="http://schemas.microsoft.com/office/drawing/2014/main" id="{4ACB4A7F-A8C2-48DB-9C8D-5FB4B511031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00" name="Text Box 1">
          <a:extLst>
            <a:ext uri="{FF2B5EF4-FFF2-40B4-BE49-F238E27FC236}">
              <a16:creationId xmlns:a16="http://schemas.microsoft.com/office/drawing/2014/main" id="{D940E8D0-890B-422F-AE32-A5DF3CD2C60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01" name="Text Box 1">
          <a:extLst>
            <a:ext uri="{FF2B5EF4-FFF2-40B4-BE49-F238E27FC236}">
              <a16:creationId xmlns:a16="http://schemas.microsoft.com/office/drawing/2014/main" id="{3375F771-3CD1-43FE-AA11-F18274EBB7C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02" name="Text Box 1">
          <a:extLst>
            <a:ext uri="{FF2B5EF4-FFF2-40B4-BE49-F238E27FC236}">
              <a16:creationId xmlns:a16="http://schemas.microsoft.com/office/drawing/2014/main" id="{4D83C92A-2F0D-4BC8-A426-A796A4B90D8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03" name="Text Box 1">
          <a:extLst>
            <a:ext uri="{FF2B5EF4-FFF2-40B4-BE49-F238E27FC236}">
              <a16:creationId xmlns:a16="http://schemas.microsoft.com/office/drawing/2014/main" id="{5A77AC78-073D-45FB-AB0C-E187201F50D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04" name="Text Box 1">
          <a:extLst>
            <a:ext uri="{FF2B5EF4-FFF2-40B4-BE49-F238E27FC236}">
              <a16:creationId xmlns:a16="http://schemas.microsoft.com/office/drawing/2014/main" id="{7C1932F3-7D44-411B-A00D-5CA76C47EC6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05" name="Text Box 1">
          <a:extLst>
            <a:ext uri="{FF2B5EF4-FFF2-40B4-BE49-F238E27FC236}">
              <a16:creationId xmlns:a16="http://schemas.microsoft.com/office/drawing/2014/main" id="{D77D40B5-1CF7-44DD-92C4-49EC22B4E94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06" name="Text Box 1">
          <a:extLst>
            <a:ext uri="{FF2B5EF4-FFF2-40B4-BE49-F238E27FC236}">
              <a16:creationId xmlns:a16="http://schemas.microsoft.com/office/drawing/2014/main" id="{4B5C70FF-CD3D-464E-85AC-E55C89A70D3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07" name="Text Box 1">
          <a:extLst>
            <a:ext uri="{FF2B5EF4-FFF2-40B4-BE49-F238E27FC236}">
              <a16:creationId xmlns:a16="http://schemas.microsoft.com/office/drawing/2014/main" id="{B3911BEC-4AF6-486D-B31F-B805BC9AC14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08" name="Text Box 1">
          <a:extLst>
            <a:ext uri="{FF2B5EF4-FFF2-40B4-BE49-F238E27FC236}">
              <a16:creationId xmlns:a16="http://schemas.microsoft.com/office/drawing/2014/main" id="{83AB110B-4AD6-4C9B-BB40-4184467776C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09" name="Text Box 1">
          <a:extLst>
            <a:ext uri="{FF2B5EF4-FFF2-40B4-BE49-F238E27FC236}">
              <a16:creationId xmlns:a16="http://schemas.microsoft.com/office/drawing/2014/main" id="{2521A385-FE82-461D-AC69-0F228A4832C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10" name="Text Box 1">
          <a:extLst>
            <a:ext uri="{FF2B5EF4-FFF2-40B4-BE49-F238E27FC236}">
              <a16:creationId xmlns:a16="http://schemas.microsoft.com/office/drawing/2014/main" id="{4E2411C9-A1E0-4335-8FC8-66C0F896118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11" name="Text Box 1">
          <a:extLst>
            <a:ext uri="{FF2B5EF4-FFF2-40B4-BE49-F238E27FC236}">
              <a16:creationId xmlns:a16="http://schemas.microsoft.com/office/drawing/2014/main" id="{3369820B-0486-4775-A21D-C6F80995307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12" name="Text Box 1">
          <a:extLst>
            <a:ext uri="{FF2B5EF4-FFF2-40B4-BE49-F238E27FC236}">
              <a16:creationId xmlns:a16="http://schemas.microsoft.com/office/drawing/2014/main" id="{7CEDA80D-F722-429D-BB78-C9F074D4C94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13" name="Text Box 1">
          <a:extLst>
            <a:ext uri="{FF2B5EF4-FFF2-40B4-BE49-F238E27FC236}">
              <a16:creationId xmlns:a16="http://schemas.microsoft.com/office/drawing/2014/main" id="{3C7EE332-60E2-4E3E-B324-0A287F83A9F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14" name="Text Box 1">
          <a:extLst>
            <a:ext uri="{FF2B5EF4-FFF2-40B4-BE49-F238E27FC236}">
              <a16:creationId xmlns:a16="http://schemas.microsoft.com/office/drawing/2014/main" id="{5629CAE7-870E-4668-9224-89BE630F027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15" name="Text Box 1">
          <a:extLst>
            <a:ext uri="{FF2B5EF4-FFF2-40B4-BE49-F238E27FC236}">
              <a16:creationId xmlns:a16="http://schemas.microsoft.com/office/drawing/2014/main" id="{C96BA4C4-61F5-4E0B-9D54-9269772A79F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16" name="Text Box 1">
          <a:extLst>
            <a:ext uri="{FF2B5EF4-FFF2-40B4-BE49-F238E27FC236}">
              <a16:creationId xmlns:a16="http://schemas.microsoft.com/office/drawing/2014/main" id="{6AE6798E-26B2-42C8-B68F-34BC0A21A8E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17" name="Text Box 1">
          <a:extLst>
            <a:ext uri="{FF2B5EF4-FFF2-40B4-BE49-F238E27FC236}">
              <a16:creationId xmlns:a16="http://schemas.microsoft.com/office/drawing/2014/main" id="{921E8618-E401-450C-A313-DD225DB212C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18" name="Text Box 1">
          <a:extLst>
            <a:ext uri="{FF2B5EF4-FFF2-40B4-BE49-F238E27FC236}">
              <a16:creationId xmlns:a16="http://schemas.microsoft.com/office/drawing/2014/main" id="{A5E667AC-B6C6-4D26-B136-5E5C48CBD63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19" name="Text Box 1">
          <a:extLst>
            <a:ext uri="{FF2B5EF4-FFF2-40B4-BE49-F238E27FC236}">
              <a16:creationId xmlns:a16="http://schemas.microsoft.com/office/drawing/2014/main" id="{7CEC9172-5741-418F-9FD6-FACDDB13838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20" name="Text Box 1">
          <a:extLst>
            <a:ext uri="{FF2B5EF4-FFF2-40B4-BE49-F238E27FC236}">
              <a16:creationId xmlns:a16="http://schemas.microsoft.com/office/drawing/2014/main" id="{C460AEEC-99B6-4ED1-B019-094DC578B06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21" name="Text Box 1">
          <a:extLst>
            <a:ext uri="{FF2B5EF4-FFF2-40B4-BE49-F238E27FC236}">
              <a16:creationId xmlns:a16="http://schemas.microsoft.com/office/drawing/2014/main" id="{B7410FE7-BA87-476A-8D23-96AA3FB935D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22" name="Text Box 1">
          <a:extLst>
            <a:ext uri="{FF2B5EF4-FFF2-40B4-BE49-F238E27FC236}">
              <a16:creationId xmlns:a16="http://schemas.microsoft.com/office/drawing/2014/main" id="{24773CA6-38B0-4D65-8EB7-675ABBBCE93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23" name="Text Box 1">
          <a:extLst>
            <a:ext uri="{FF2B5EF4-FFF2-40B4-BE49-F238E27FC236}">
              <a16:creationId xmlns:a16="http://schemas.microsoft.com/office/drawing/2014/main" id="{1559F01C-35EB-4CE1-8D3E-8218B4325D1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24" name="Text Box 1">
          <a:extLst>
            <a:ext uri="{FF2B5EF4-FFF2-40B4-BE49-F238E27FC236}">
              <a16:creationId xmlns:a16="http://schemas.microsoft.com/office/drawing/2014/main" id="{FF2A1F76-7905-4132-8FA3-35E6506DAEE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25" name="Text Box 1">
          <a:extLst>
            <a:ext uri="{FF2B5EF4-FFF2-40B4-BE49-F238E27FC236}">
              <a16:creationId xmlns:a16="http://schemas.microsoft.com/office/drawing/2014/main" id="{DFBD6D69-7F6C-4A57-BF3F-33BA190858C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26" name="Text Box 1">
          <a:extLst>
            <a:ext uri="{FF2B5EF4-FFF2-40B4-BE49-F238E27FC236}">
              <a16:creationId xmlns:a16="http://schemas.microsoft.com/office/drawing/2014/main" id="{BD8AAC8C-FAE1-480C-B5FA-59A6C824F59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27" name="Text Box 1">
          <a:extLst>
            <a:ext uri="{FF2B5EF4-FFF2-40B4-BE49-F238E27FC236}">
              <a16:creationId xmlns:a16="http://schemas.microsoft.com/office/drawing/2014/main" id="{1B2A6D83-7CF6-4733-A6EF-5A4D327B855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28" name="Text Box 1">
          <a:extLst>
            <a:ext uri="{FF2B5EF4-FFF2-40B4-BE49-F238E27FC236}">
              <a16:creationId xmlns:a16="http://schemas.microsoft.com/office/drawing/2014/main" id="{60653606-24DD-48AC-B307-FAF59641BB6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29" name="Text Box 1">
          <a:extLst>
            <a:ext uri="{FF2B5EF4-FFF2-40B4-BE49-F238E27FC236}">
              <a16:creationId xmlns:a16="http://schemas.microsoft.com/office/drawing/2014/main" id="{89CBE9B8-91B7-4486-9CCC-80A3BF9EE15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30" name="Text Box 1">
          <a:extLst>
            <a:ext uri="{FF2B5EF4-FFF2-40B4-BE49-F238E27FC236}">
              <a16:creationId xmlns:a16="http://schemas.microsoft.com/office/drawing/2014/main" id="{8675EFE3-C6E0-4637-A008-4336BF12908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31" name="Text Box 1">
          <a:extLst>
            <a:ext uri="{FF2B5EF4-FFF2-40B4-BE49-F238E27FC236}">
              <a16:creationId xmlns:a16="http://schemas.microsoft.com/office/drawing/2014/main" id="{ED1A2071-33B3-44E1-BFF4-17646E061B8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32" name="Text Box 1">
          <a:extLst>
            <a:ext uri="{FF2B5EF4-FFF2-40B4-BE49-F238E27FC236}">
              <a16:creationId xmlns:a16="http://schemas.microsoft.com/office/drawing/2014/main" id="{33AFB438-D7EC-4D33-A9B2-C9EF2444030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33" name="Text Box 1">
          <a:extLst>
            <a:ext uri="{FF2B5EF4-FFF2-40B4-BE49-F238E27FC236}">
              <a16:creationId xmlns:a16="http://schemas.microsoft.com/office/drawing/2014/main" id="{5642D249-D91A-445F-918D-42ADF579728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34" name="Text Box 1">
          <a:extLst>
            <a:ext uri="{FF2B5EF4-FFF2-40B4-BE49-F238E27FC236}">
              <a16:creationId xmlns:a16="http://schemas.microsoft.com/office/drawing/2014/main" id="{07BE79AB-C422-46F8-9731-28B5374EF98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35" name="Text Box 1">
          <a:extLst>
            <a:ext uri="{FF2B5EF4-FFF2-40B4-BE49-F238E27FC236}">
              <a16:creationId xmlns:a16="http://schemas.microsoft.com/office/drawing/2014/main" id="{22FECE96-D86C-49F9-911B-32FA7AB9D26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36" name="Text Box 1">
          <a:extLst>
            <a:ext uri="{FF2B5EF4-FFF2-40B4-BE49-F238E27FC236}">
              <a16:creationId xmlns:a16="http://schemas.microsoft.com/office/drawing/2014/main" id="{480A1805-49BE-456B-90B6-7A46F54ECA9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37" name="Text Box 1">
          <a:extLst>
            <a:ext uri="{FF2B5EF4-FFF2-40B4-BE49-F238E27FC236}">
              <a16:creationId xmlns:a16="http://schemas.microsoft.com/office/drawing/2014/main" id="{3BBAD782-5D20-4C6D-B778-F71560BF292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38" name="Text Box 1">
          <a:extLst>
            <a:ext uri="{FF2B5EF4-FFF2-40B4-BE49-F238E27FC236}">
              <a16:creationId xmlns:a16="http://schemas.microsoft.com/office/drawing/2014/main" id="{87A3C6D6-F554-4B8C-B66F-9F7A03BCC78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39" name="Text Box 1">
          <a:extLst>
            <a:ext uri="{FF2B5EF4-FFF2-40B4-BE49-F238E27FC236}">
              <a16:creationId xmlns:a16="http://schemas.microsoft.com/office/drawing/2014/main" id="{E09D25BA-C276-4087-9652-69BF758B8E4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40" name="Text Box 1">
          <a:extLst>
            <a:ext uri="{FF2B5EF4-FFF2-40B4-BE49-F238E27FC236}">
              <a16:creationId xmlns:a16="http://schemas.microsoft.com/office/drawing/2014/main" id="{B4C19E9F-C13E-4BA4-BBEF-D92BFB1F94C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41" name="Text Box 1">
          <a:extLst>
            <a:ext uri="{FF2B5EF4-FFF2-40B4-BE49-F238E27FC236}">
              <a16:creationId xmlns:a16="http://schemas.microsoft.com/office/drawing/2014/main" id="{566A7AE6-823E-498E-9401-687A9D72E3D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42" name="Text Box 1">
          <a:extLst>
            <a:ext uri="{FF2B5EF4-FFF2-40B4-BE49-F238E27FC236}">
              <a16:creationId xmlns:a16="http://schemas.microsoft.com/office/drawing/2014/main" id="{5EC1AAB8-7A6A-4FF6-AACE-97241DAE208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43" name="Text Box 1">
          <a:extLst>
            <a:ext uri="{FF2B5EF4-FFF2-40B4-BE49-F238E27FC236}">
              <a16:creationId xmlns:a16="http://schemas.microsoft.com/office/drawing/2014/main" id="{AA22139A-0F06-4221-BE63-85F0AD5CF99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44" name="Text Box 1">
          <a:extLst>
            <a:ext uri="{FF2B5EF4-FFF2-40B4-BE49-F238E27FC236}">
              <a16:creationId xmlns:a16="http://schemas.microsoft.com/office/drawing/2014/main" id="{D4838C09-285C-41AE-A59C-946053A0D65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45" name="Text Box 1">
          <a:extLst>
            <a:ext uri="{FF2B5EF4-FFF2-40B4-BE49-F238E27FC236}">
              <a16:creationId xmlns:a16="http://schemas.microsoft.com/office/drawing/2014/main" id="{912A3861-6E37-4585-89BC-D691E859B0C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46" name="Text Box 1">
          <a:extLst>
            <a:ext uri="{FF2B5EF4-FFF2-40B4-BE49-F238E27FC236}">
              <a16:creationId xmlns:a16="http://schemas.microsoft.com/office/drawing/2014/main" id="{9B907D70-14F5-4B0C-9CF1-BEBB961331E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47" name="Text Box 1">
          <a:extLst>
            <a:ext uri="{FF2B5EF4-FFF2-40B4-BE49-F238E27FC236}">
              <a16:creationId xmlns:a16="http://schemas.microsoft.com/office/drawing/2014/main" id="{57EB3F2B-F48F-4B49-AEE7-DB7EFA800BF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48" name="Text Box 1">
          <a:extLst>
            <a:ext uri="{FF2B5EF4-FFF2-40B4-BE49-F238E27FC236}">
              <a16:creationId xmlns:a16="http://schemas.microsoft.com/office/drawing/2014/main" id="{BFF46891-6A2B-4A90-9FFC-C9D720BAA1C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49" name="Text Box 1">
          <a:extLst>
            <a:ext uri="{FF2B5EF4-FFF2-40B4-BE49-F238E27FC236}">
              <a16:creationId xmlns:a16="http://schemas.microsoft.com/office/drawing/2014/main" id="{023E4722-D4E6-4405-9F70-398C2C1FAA0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50" name="Text Box 1">
          <a:extLst>
            <a:ext uri="{FF2B5EF4-FFF2-40B4-BE49-F238E27FC236}">
              <a16:creationId xmlns:a16="http://schemas.microsoft.com/office/drawing/2014/main" id="{B26C318E-9A47-4494-A51F-0A7E3A8E329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51" name="Text Box 1">
          <a:extLst>
            <a:ext uri="{FF2B5EF4-FFF2-40B4-BE49-F238E27FC236}">
              <a16:creationId xmlns:a16="http://schemas.microsoft.com/office/drawing/2014/main" id="{58DEB938-E249-451F-949C-DF2A1CF2E0D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52" name="Text Box 1">
          <a:extLst>
            <a:ext uri="{FF2B5EF4-FFF2-40B4-BE49-F238E27FC236}">
              <a16:creationId xmlns:a16="http://schemas.microsoft.com/office/drawing/2014/main" id="{980AA6F8-1A51-47D7-94D7-9B6C8147798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53" name="Text Box 1">
          <a:extLst>
            <a:ext uri="{FF2B5EF4-FFF2-40B4-BE49-F238E27FC236}">
              <a16:creationId xmlns:a16="http://schemas.microsoft.com/office/drawing/2014/main" id="{D64D5021-AF80-4A3F-AED3-E2754F85154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54" name="Text Box 1">
          <a:extLst>
            <a:ext uri="{FF2B5EF4-FFF2-40B4-BE49-F238E27FC236}">
              <a16:creationId xmlns:a16="http://schemas.microsoft.com/office/drawing/2014/main" id="{8065A192-028F-48AF-BA49-8D3D0D394A8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55" name="Text Box 1">
          <a:extLst>
            <a:ext uri="{FF2B5EF4-FFF2-40B4-BE49-F238E27FC236}">
              <a16:creationId xmlns:a16="http://schemas.microsoft.com/office/drawing/2014/main" id="{A534EC11-2726-417B-8976-57A1E1772C1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56" name="Text Box 1">
          <a:extLst>
            <a:ext uri="{FF2B5EF4-FFF2-40B4-BE49-F238E27FC236}">
              <a16:creationId xmlns:a16="http://schemas.microsoft.com/office/drawing/2014/main" id="{DBA9B8B6-5E7D-437C-BA21-DA778CC7D1E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57" name="Text Box 1">
          <a:extLst>
            <a:ext uri="{FF2B5EF4-FFF2-40B4-BE49-F238E27FC236}">
              <a16:creationId xmlns:a16="http://schemas.microsoft.com/office/drawing/2014/main" id="{635B8ED5-5EEE-4E1B-AE09-D9B34AB9116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58" name="Text Box 1">
          <a:extLst>
            <a:ext uri="{FF2B5EF4-FFF2-40B4-BE49-F238E27FC236}">
              <a16:creationId xmlns:a16="http://schemas.microsoft.com/office/drawing/2014/main" id="{9060D27F-B02C-4EC3-850E-3120DCA7729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59" name="Text Box 1">
          <a:extLst>
            <a:ext uri="{FF2B5EF4-FFF2-40B4-BE49-F238E27FC236}">
              <a16:creationId xmlns:a16="http://schemas.microsoft.com/office/drawing/2014/main" id="{D6C1EDDB-E3CD-4157-9476-810865D36D9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60" name="Text Box 1">
          <a:extLst>
            <a:ext uri="{FF2B5EF4-FFF2-40B4-BE49-F238E27FC236}">
              <a16:creationId xmlns:a16="http://schemas.microsoft.com/office/drawing/2014/main" id="{2EE5AA15-4010-4863-BC4F-4C468A5C61E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61" name="Text Box 1">
          <a:extLst>
            <a:ext uri="{FF2B5EF4-FFF2-40B4-BE49-F238E27FC236}">
              <a16:creationId xmlns:a16="http://schemas.microsoft.com/office/drawing/2014/main" id="{FE148BA3-F3D0-430D-9FCF-F1E928E406E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62" name="Text Box 1">
          <a:extLst>
            <a:ext uri="{FF2B5EF4-FFF2-40B4-BE49-F238E27FC236}">
              <a16:creationId xmlns:a16="http://schemas.microsoft.com/office/drawing/2014/main" id="{8D58F02B-AED1-4234-96F8-1B705433F3F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63" name="Text Box 1">
          <a:extLst>
            <a:ext uri="{FF2B5EF4-FFF2-40B4-BE49-F238E27FC236}">
              <a16:creationId xmlns:a16="http://schemas.microsoft.com/office/drawing/2014/main" id="{2FAE3F81-7094-4CF9-A8F6-890C56353CA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64" name="Text Box 1">
          <a:extLst>
            <a:ext uri="{FF2B5EF4-FFF2-40B4-BE49-F238E27FC236}">
              <a16:creationId xmlns:a16="http://schemas.microsoft.com/office/drawing/2014/main" id="{AD3B0DE7-6457-44E7-9BD6-3E865DA310C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65" name="Text Box 1">
          <a:extLst>
            <a:ext uri="{FF2B5EF4-FFF2-40B4-BE49-F238E27FC236}">
              <a16:creationId xmlns:a16="http://schemas.microsoft.com/office/drawing/2014/main" id="{F83C9DF4-5600-4FE2-BC36-0168C6512D3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66" name="Text Box 1">
          <a:extLst>
            <a:ext uri="{FF2B5EF4-FFF2-40B4-BE49-F238E27FC236}">
              <a16:creationId xmlns:a16="http://schemas.microsoft.com/office/drawing/2014/main" id="{F2D52672-A4AA-4807-B361-040727AF625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67" name="Text Box 1">
          <a:extLst>
            <a:ext uri="{FF2B5EF4-FFF2-40B4-BE49-F238E27FC236}">
              <a16:creationId xmlns:a16="http://schemas.microsoft.com/office/drawing/2014/main" id="{D014DE2F-1795-47D2-BFF6-5B9F7FB0B2D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68" name="Text Box 1">
          <a:extLst>
            <a:ext uri="{FF2B5EF4-FFF2-40B4-BE49-F238E27FC236}">
              <a16:creationId xmlns:a16="http://schemas.microsoft.com/office/drawing/2014/main" id="{C204D7FC-7D65-4A7E-A11A-86B4BCC99A5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69" name="Text Box 1">
          <a:extLst>
            <a:ext uri="{FF2B5EF4-FFF2-40B4-BE49-F238E27FC236}">
              <a16:creationId xmlns:a16="http://schemas.microsoft.com/office/drawing/2014/main" id="{2BF72F54-7EC6-4E40-BBC7-AEAB0296480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70" name="Text Box 1">
          <a:extLst>
            <a:ext uri="{FF2B5EF4-FFF2-40B4-BE49-F238E27FC236}">
              <a16:creationId xmlns:a16="http://schemas.microsoft.com/office/drawing/2014/main" id="{83FE7A42-4D93-4E26-8BC3-4F702B377BD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71" name="Text Box 1">
          <a:extLst>
            <a:ext uri="{FF2B5EF4-FFF2-40B4-BE49-F238E27FC236}">
              <a16:creationId xmlns:a16="http://schemas.microsoft.com/office/drawing/2014/main" id="{B7891139-3DD5-4BA7-AC20-3B1DAE9C7C9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72" name="Text Box 1">
          <a:extLst>
            <a:ext uri="{FF2B5EF4-FFF2-40B4-BE49-F238E27FC236}">
              <a16:creationId xmlns:a16="http://schemas.microsoft.com/office/drawing/2014/main" id="{375EE05E-4F27-4549-992A-F5D354ED59B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73" name="Text Box 1">
          <a:extLst>
            <a:ext uri="{FF2B5EF4-FFF2-40B4-BE49-F238E27FC236}">
              <a16:creationId xmlns:a16="http://schemas.microsoft.com/office/drawing/2014/main" id="{E28F95E2-A2DF-4DB1-A75A-3489ECBDD3B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74" name="Text Box 1">
          <a:extLst>
            <a:ext uri="{FF2B5EF4-FFF2-40B4-BE49-F238E27FC236}">
              <a16:creationId xmlns:a16="http://schemas.microsoft.com/office/drawing/2014/main" id="{92A5B1BD-1D4F-49E1-976E-31DBBDE92AA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75" name="Text Box 1">
          <a:extLst>
            <a:ext uri="{FF2B5EF4-FFF2-40B4-BE49-F238E27FC236}">
              <a16:creationId xmlns:a16="http://schemas.microsoft.com/office/drawing/2014/main" id="{857E531B-556A-4B36-BD4A-5392914522E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76" name="Text Box 1">
          <a:extLst>
            <a:ext uri="{FF2B5EF4-FFF2-40B4-BE49-F238E27FC236}">
              <a16:creationId xmlns:a16="http://schemas.microsoft.com/office/drawing/2014/main" id="{4FC6E3C7-BB2F-431A-9826-959C3A1CDED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77" name="Text Box 1">
          <a:extLst>
            <a:ext uri="{FF2B5EF4-FFF2-40B4-BE49-F238E27FC236}">
              <a16:creationId xmlns:a16="http://schemas.microsoft.com/office/drawing/2014/main" id="{4ECE5603-A027-417D-A51C-1ED04EC4AF3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78" name="Text Box 1">
          <a:extLst>
            <a:ext uri="{FF2B5EF4-FFF2-40B4-BE49-F238E27FC236}">
              <a16:creationId xmlns:a16="http://schemas.microsoft.com/office/drawing/2014/main" id="{21398303-A066-4352-8AD8-900EDF78403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79" name="Text Box 1">
          <a:extLst>
            <a:ext uri="{FF2B5EF4-FFF2-40B4-BE49-F238E27FC236}">
              <a16:creationId xmlns:a16="http://schemas.microsoft.com/office/drawing/2014/main" id="{8742F63F-727E-4B43-A249-A78FE3C5D35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80" name="Text Box 1">
          <a:extLst>
            <a:ext uri="{FF2B5EF4-FFF2-40B4-BE49-F238E27FC236}">
              <a16:creationId xmlns:a16="http://schemas.microsoft.com/office/drawing/2014/main" id="{AA9CCFEA-13DB-44DE-8DBD-3AAD3FD4CC9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81" name="Text Box 1">
          <a:extLst>
            <a:ext uri="{FF2B5EF4-FFF2-40B4-BE49-F238E27FC236}">
              <a16:creationId xmlns:a16="http://schemas.microsoft.com/office/drawing/2014/main" id="{0A77FC99-1F79-483E-9762-1587E285BB4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82" name="Text Box 1">
          <a:extLst>
            <a:ext uri="{FF2B5EF4-FFF2-40B4-BE49-F238E27FC236}">
              <a16:creationId xmlns:a16="http://schemas.microsoft.com/office/drawing/2014/main" id="{B2641895-21BE-4BCA-B6C9-D946C472715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83" name="Text Box 1">
          <a:extLst>
            <a:ext uri="{FF2B5EF4-FFF2-40B4-BE49-F238E27FC236}">
              <a16:creationId xmlns:a16="http://schemas.microsoft.com/office/drawing/2014/main" id="{F3BAACE3-B1A3-4FA0-AF64-5A34768F070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84" name="Text Box 1">
          <a:extLst>
            <a:ext uri="{FF2B5EF4-FFF2-40B4-BE49-F238E27FC236}">
              <a16:creationId xmlns:a16="http://schemas.microsoft.com/office/drawing/2014/main" id="{0EED11E6-3F84-4957-A254-7FB63702260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85" name="Text Box 1">
          <a:extLst>
            <a:ext uri="{FF2B5EF4-FFF2-40B4-BE49-F238E27FC236}">
              <a16:creationId xmlns:a16="http://schemas.microsoft.com/office/drawing/2014/main" id="{D345535D-A2C1-4FA0-A417-E66C8BF0D46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86" name="Text Box 1">
          <a:extLst>
            <a:ext uri="{FF2B5EF4-FFF2-40B4-BE49-F238E27FC236}">
              <a16:creationId xmlns:a16="http://schemas.microsoft.com/office/drawing/2014/main" id="{6980E4E5-D9C7-4D22-8BB5-2B78B3F3A2C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87" name="Text Box 1">
          <a:extLst>
            <a:ext uri="{FF2B5EF4-FFF2-40B4-BE49-F238E27FC236}">
              <a16:creationId xmlns:a16="http://schemas.microsoft.com/office/drawing/2014/main" id="{D79B6A0E-1BE7-4BF9-A7E0-CBEB43A7FFA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88" name="Text Box 1">
          <a:extLst>
            <a:ext uri="{FF2B5EF4-FFF2-40B4-BE49-F238E27FC236}">
              <a16:creationId xmlns:a16="http://schemas.microsoft.com/office/drawing/2014/main" id="{3E02E302-4A3B-4A71-B237-ED2B5B108DF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89" name="Text Box 1">
          <a:extLst>
            <a:ext uri="{FF2B5EF4-FFF2-40B4-BE49-F238E27FC236}">
              <a16:creationId xmlns:a16="http://schemas.microsoft.com/office/drawing/2014/main" id="{A0CFDE0E-9C5A-4D5E-82A6-FD5AA098369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90" name="Text Box 1">
          <a:extLst>
            <a:ext uri="{FF2B5EF4-FFF2-40B4-BE49-F238E27FC236}">
              <a16:creationId xmlns:a16="http://schemas.microsoft.com/office/drawing/2014/main" id="{CDE5980C-D726-46AD-855D-947ED567005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91" name="Text Box 1">
          <a:extLst>
            <a:ext uri="{FF2B5EF4-FFF2-40B4-BE49-F238E27FC236}">
              <a16:creationId xmlns:a16="http://schemas.microsoft.com/office/drawing/2014/main" id="{DC7B3D20-960F-4B73-9453-65B76CCE3E0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92" name="Text Box 1">
          <a:extLst>
            <a:ext uri="{FF2B5EF4-FFF2-40B4-BE49-F238E27FC236}">
              <a16:creationId xmlns:a16="http://schemas.microsoft.com/office/drawing/2014/main" id="{0578705E-7C23-49D6-AEA1-5CE9CC160C4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93" name="Text Box 1">
          <a:extLst>
            <a:ext uri="{FF2B5EF4-FFF2-40B4-BE49-F238E27FC236}">
              <a16:creationId xmlns:a16="http://schemas.microsoft.com/office/drawing/2014/main" id="{9C11556E-DEB8-4815-A56B-15F91545182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94" name="Text Box 1">
          <a:extLst>
            <a:ext uri="{FF2B5EF4-FFF2-40B4-BE49-F238E27FC236}">
              <a16:creationId xmlns:a16="http://schemas.microsoft.com/office/drawing/2014/main" id="{954CC520-C581-4555-9CE8-F8F9DAD3499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95" name="Text Box 1">
          <a:extLst>
            <a:ext uri="{FF2B5EF4-FFF2-40B4-BE49-F238E27FC236}">
              <a16:creationId xmlns:a16="http://schemas.microsoft.com/office/drawing/2014/main" id="{37723999-490E-4FD4-A6CB-25083015521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96" name="Text Box 1">
          <a:extLst>
            <a:ext uri="{FF2B5EF4-FFF2-40B4-BE49-F238E27FC236}">
              <a16:creationId xmlns:a16="http://schemas.microsoft.com/office/drawing/2014/main" id="{1A670838-ABAC-4B59-8E6E-CCE40786282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97" name="Text Box 1">
          <a:extLst>
            <a:ext uri="{FF2B5EF4-FFF2-40B4-BE49-F238E27FC236}">
              <a16:creationId xmlns:a16="http://schemas.microsoft.com/office/drawing/2014/main" id="{BFC3493E-381A-40C4-9058-33D9E8DBF4A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98" name="Text Box 1">
          <a:extLst>
            <a:ext uri="{FF2B5EF4-FFF2-40B4-BE49-F238E27FC236}">
              <a16:creationId xmlns:a16="http://schemas.microsoft.com/office/drawing/2014/main" id="{D0501286-50A3-4B4E-9194-C6BCBDA4978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499" name="Text Box 1">
          <a:extLst>
            <a:ext uri="{FF2B5EF4-FFF2-40B4-BE49-F238E27FC236}">
              <a16:creationId xmlns:a16="http://schemas.microsoft.com/office/drawing/2014/main" id="{6B097AB7-9D8B-4A60-850F-60776DCDABF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00" name="Text Box 1">
          <a:extLst>
            <a:ext uri="{FF2B5EF4-FFF2-40B4-BE49-F238E27FC236}">
              <a16:creationId xmlns:a16="http://schemas.microsoft.com/office/drawing/2014/main" id="{E2E97FF6-7EC6-4720-864F-601D463DCC4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01" name="Text Box 1">
          <a:extLst>
            <a:ext uri="{FF2B5EF4-FFF2-40B4-BE49-F238E27FC236}">
              <a16:creationId xmlns:a16="http://schemas.microsoft.com/office/drawing/2014/main" id="{D04F80A5-4029-4392-A535-BC89A53AA91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02" name="Text Box 1">
          <a:extLst>
            <a:ext uri="{FF2B5EF4-FFF2-40B4-BE49-F238E27FC236}">
              <a16:creationId xmlns:a16="http://schemas.microsoft.com/office/drawing/2014/main" id="{6C2B12ED-69A3-4DC2-AA4F-B40C29BC014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03" name="Text Box 1">
          <a:extLst>
            <a:ext uri="{FF2B5EF4-FFF2-40B4-BE49-F238E27FC236}">
              <a16:creationId xmlns:a16="http://schemas.microsoft.com/office/drawing/2014/main" id="{FB8405DB-F060-44A0-874A-E1E7050C1E7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04" name="Text Box 1">
          <a:extLst>
            <a:ext uri="{FF2B5EF4-FFF2-40B4-BE49-F238E27FC236}">
              <a16:creationId xmlns:a16="http://schemas.microsoft.com/office/drawing/2014/main" id="{4D51BE7D-1EF6-4352-8B5F-FD7CAA18AAD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05" name="Text Box 1">
          <a:extLst>
            <a:ext uri="{FF2B5EF4-FFF2-40B4-BE49-F238E27FC236}">
              <a16:creationId xmlns:a16="http://schemas.microsoft.com/office/drawing/2014/main" id="{5C05816F-C953-4E1E-A2F2-CA8B720A933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06" name="Text Box 1">
          <a:extLst>
            <a:ext uri="{FF2B5EF4-FFF2-40B4-BE49-F238E27FC236}">
              <a16:creationId xmlns:a16="http://schemas.microsoft.com/office/drawing/2014/main" id="{C53C5E8D-75EF-4B63-8FC0-3ECFB96C868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07" name="Text Box 1">
          <a:extLst>
            <a:ext uri="{FF2B5EF4-FFF2-40B4-BE49-F238E27FC236}">
              <a16:creationId xmlns:a16="http://schemas.microsoft.com/office/drawing/2014/main" id="{57A84011-5819-426F-9F1E-6151CE83D5A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08" name="Text Box 1">
          <a:extLst>
            <a:ext uri="{FF2B5EF4-FFF2-40B4-BE49-F238E27FC236}">
              <a16:creationId xmlns:a16="http://schemas.microsoft.com/office/drawing/2014/main" id="{F8364887-3607-4F53-9F54-B6EBAA2748F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09" name="Text Box 1">
          <a:extLst>
            <a:ext uri="{FF2B5EF4-FFF2-40B4-BE49-F238E27FC236}">
              <a16:creationId xmlns:a16="http://schemas.microsoft.com/office/drawing/2014/main" id="{8D3E0222-B660-4300-B7E5-ADA95AC8531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10" name="Text Box 1">
          <a:extLst>
            <a:ext uri="{FF2B5EF4-FFF2-40B4-BE49-F238E27FC236}">
              <a16:creationId xmlns:a16="http://schemas.microsoft.com/office/drawing/2014/main" id="{A72B4310-FD7A-4420-B063-8B431124FDD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11" name="Text Box 1">
          <a:extLst>
            <a:ext uri="{FF2B5EF4-FFF2-40B4-BE49-F238E27FC236}">
              <a16:creationId xmlns:a16="http://schemas.microsoft.com/office/drawing/2014/main" id="{3B50B01E-6D63-45CC-88CC-C99B880E64E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12" name="Text Box 1">
          <a:extLst>
            <a:ext uri="{FF2B5EF4-FFF2-40B4-BE49-F238E27FC236}">
              <a16:creationId xmlns:a16="http://schemas.microsoft.com/office/drawing/2014/main" id="{5AE13B6B-61D8-4E75-BBD6-13FC9156462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13" name="Text Box 1">
          <a:extLst>
            <a:ext uri="{FF2B5EF4-FFF2-40B4-BE49-F238E27FC236}">
              <a16:creationId xmlns:a16="http://schemas.microsoft.com/office/drawing/2014/main" id="{51E16637-DD0F-43D6-AC1A-E43143579E8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14" name="Text Box 1">
          <a:extLst>
            <a:ext uri="{FF2B5EF4-FFF2-40B4-BE49-F238E27FC236}">
              <a16:creationId xmlns:a16="http://schemas.microsoft.com/office/drawing/2014/main" id="{19A8F768-83CB-4216-A846-84B813FC246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15" name="Text Box 1">
          <a:extLst>
            <a:ext uri="{FF2B5EF4-FFF2-40B4-BE49-F238E27FC236}">
              <a16:creationId xmlns:a16="http://schemas.microsoft.com/office/drawing/2014/main" id="{8EEB012E-CDD4-44E1-816D-15BEDFD26F0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16" name="Text Box 1">
          <a:extLst>
            <a:ext uri="{FF2B5EF4-FFF2-40B4-BE49-F238E27FC236}">
              <a16:creationId xmlns:a16="http://schemas.microsoft.com/office/drawing/2014/main" id="{B3C4C880-0F80-4492-899B-69D53C9B48B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17" name="Text Box 1">
          <a:extLst>
            <a:ext uri="{FF2B5EF4-FFF2-40B4-BE49-F238E27FC236}">
              <a16:creationId xmlns:a16="http://schemas.microsoft.com/office/drawing/2014/main" id="{50871CCD-866D-4B26-9E5B-FBDBA4FC436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18" name="Text Box 1">
          <a:extLst>
            <a:ext uri="{FF2B5EF4-FFF2-40B4-BE49-F238E27FC236}">
              <a16:creationId xmlns:a16="http://schemas.microsoft.com/office/drawing/2014/main" id="{877A3033-7FFC-461B-87CC-0DFA31315CE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19" name="Text Box 1">
          <a:extLst>
            <a:ext uri="{FF2B5EF4-FFF2-40B4-BE49-F238E27FC236}">
              <a16:creationId xmlns:a16="http://schemas.microsoft.com/office/drawing/2014/main" id="{31B5CA98-5E59-4D90-8166-6D52A768781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20" name="Text Box 1">
          <a:extLst>
            <a:ext uri="{FF2B5EF4-FFF2-40B4-BE49-F238E27FC236}">
              <a16:creationId xmlns:a16="http://schemas.microsoft.com/office/drawing/2014/main" id="{8522C4AE-8ABC-45DE-B775-6A374561DFF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21" name="Text Box 1">
          <a:extLst>
            <a:ext uri="{FF2B5EF4-FFF2-40B4-BE49-F238E27FC236}">
              <a16:creationId xmlns:a16="http://schemas.microsoft.com/office/drawing/2014/main" id="{52F9E993-024D-4D0E-B1DF-E6AE27F12BB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22" name="Text Box 1">
          <a:extLst>
            <a:ext uri="{FF2B5EF4-FFF2-40B4-BE49-F238E27FC236}">
              <a16:creationId xmlns:a16="http://schemas.microsoft.com/office/drawing/2014/main" id="{378A2954-DF90-40C0-B8DE-B077591ADE7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23" name="Text Box 1">
          <a:extLst>
            <a:ext uri="{FF2B5EF4-FFF2-40B4-BE49-F238E27FC236}">
              <a16:creationId xmlns:a16="http://schemas.microsoft.com/office/drawing/2014/main" id="{0E429877-01AD-407B-A7C9-AFD7A897521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24" name="Text Box 1">
          <a:extLst>
            <a:ext uri="{FF2B5EF4-FFF2-40B4-BE49-F238E27FC236}">
              <a16:creationId xmlns:a16="http://schemas.microsoft.com/office/drawing/2014/main" id="{1CDA0393-1B38-489D-A665-18F5D35217E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25" name="Text Box 1">
          <a:extLst>
            <a:ext uri="{FF2B5EF4-FFF2-40B4-BE49-F238E27FC236}">
              <a16:creationId xmlns:a16="http://schemas.microsoft.com/office/drawing/2014/main" id="{47C86BED-0EE4-4238-9B47-D23844B98D2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26" name="Text Box 1">
          <a:extLst>
            <a:ext uri="{FF2B5EF4-FFF2-40B4-BE49-F238E27FC236}">
              <a16:creationId xmlns:a16="http://schemas.microsoft.com/office/drawing/2014/main" id="{679730B1-E565-429E-B29B-A1905C16639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27" name="Text Box 1">
          <a:extLst>
            <a:ext uri="{FF2B5EF4-FFF2-40B4-BE49-F238E27FC236}">
              <a16:creationId xmlns:a16="http://schemas.microsoft.com/office/drawing/2014/main" id="{FE2C90CE-817A-44F7-8EE0-13584853831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28" name="Text Box 1">
          <a:extLst>
            <a:ext uri="{FF2B5EF4-FFF2-40B4-BE49-F238E27FC236}">
              <a16:creationId xmlns:a16="http://schemas.microsoft.com/office/drawing/2014/main" id="{F68A01B2-F612-4552-A8B5-7C1FAA4BC57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29" name="Text Box 1">
          <a:extLst>
            <a:ext uri="{FF2B5EF4-FFF2-40B4-BE49-F238E27FC236}">
              <a16:creationId xmlns:a16="http://schemas.microsoft.com/office/drawing/2014/main" id="{5D5D39CB-2E36-4BC5-9D63-AB51530CA2C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30" name="Text Box 1">
          <a:extLst>
            <a:ext uri="{FF2B5EF4-FFF2-40B4-BE49-F238E27FC236}">
              <a16:creationId xmlns:a16="http://schemas.microsoft.com/office/drawing/2014/main" id="{52124752-20E7-44F6-B89B-46899A62327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31" name="Text Box 1">
          <a:extLst>
            <a:ext uri="{FF2B5EF4-FFF2-40B4-BE49-F238E27FC236}">
              <a16:creationId xmlns:a16="http://schemas.microsoft.com/office/drawing/2014/main" id="{76D876FB-D926-41E8-B876-D932A77E175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32" name="Text Box 1">
          <a:extLst>
            <a:ext uri="{FF2B5EF4-FFF2-40B4-BE49-F238E27FC236}">
              <a16:creationId xmlns:a16="http://schemas.microsoft.com/office/drawing/2014/main" id="{3CBF36DC-CA3D-40D4-802C-84131B272D3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33" name="Text Box 1">
          <a:extLst>
            <a:ext uri="{FF2B5EF4-FFF2-40B4-BE49-F238E27FC236}">
              <a16:creationId xmlns:a16="http://schemas.microsoft.com/office/drawing/2014/main" id="{160CA9F9-B19D-4127-8373-6C1E0A68FDB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34" name="Text Box 1">
          <a:extLst>
            <a:ext uri="{FF2B5EF4-FFF2-40B4-BE49-F238E27FC236}">
              <a16:creationId xmlns:a16="http://schemas.microsoft.com/office/drawing/2014/main" id="{14EC140D-0C82-4FEF-AD76-614326E32AD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35" name="Text Box 1">
          <a:extLst>
            <a:ext uri="{FF2B5EF4-FFF2-40B4-BE49-F238E27FC236}">
              <a16:creationId xmlns:a16="http://schemas.microsoft.com/office/drawing/2014/main" id="{6ADD6756-D8C1-432D-8557-CCDB07BE562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36" name="Text Box 1">
          <a:extLst>
            <a:ext uri="{FF2B5EF4-FFF2-40B4-BE49-F238E27FC236}">
              <a16:creationId xmlns:a16="http://schemas.microsoft.com/office/drawing/2014/main" id="{5811346D-CA20-400C-8E0F-68E60F15EC9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37" name="Text Box 1">
          <a:extLst>
            <a:ext uri="{FF2B5EF4-FFF2-40B4-BE49-F238E27FC236}">
              <a16:creationId xmlns:a16="http://schemas.microsoft.com/office/drawing/2014/main" id="{1B9D0792-E702-4E4F-9617-2F2E26058BD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38" name="Text Box 1">
          <a:extLst>
            <a:ext uri="{FF2B5EF4-FFF2-40B4-BE49-F238E27FC236}">
              <a16:creationId xmlns:a16="http://schemas.microsoft.com/office/drawing/2014/main" id="{5D5F5645-86FE-4A80-8714-B2AE30D6F85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39" name="Text Box 1">
          <a:extLst>
            <a:ext uri="{FF2B5EF4-FFF2-40B4-BE49-F238E27FC236}">
              <a16:creationId xmlns:a16="http://schemas.microsoft.com/office/drawing/2014/main" id="{70E2BBBC-5500-4FBF-8CD7-6254F3B010C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40" name="Text Box 1">
          <a:extLst>
            <a:ext uri="{FF2B5EF4-FFF2-40B4-BE49-F238E27FC236}">
              <a16:creationId xmlns:a16="http://schemas.microsoft.com/office/drawing/2014/main" id="{596FD1B3-08AD-4E85-8E96-A668E27C20C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41" name="Text Box 1">
          <a:extLst>
            <a:ext uri="{FF2B5EF4-FFF2-40B4-BE49-F238E27FC236}">
              <a16:creationId xmlns:a16="http://schemas.microsoft.com/office/drawing/2014/main" id="{EB530AA2-5A79-42CA-BA9F-19590033993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42" name="Text Box 1">
          <a:extLst>
            <a:ext uri="{FF2B5EF4-FFF2-40B4-BE49-F238E27FC236}">
              <a16:creationId xmlns:a16="http://schemas.microsoft.com/office/drawing/2014/main" id="{F50CD12A-046A-4935-BE2C-B50E98D3E39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43" name="Text Box 1">
          <a:extLst>
            <a:ext uri="{FF2B5EF4-FFF2-40B4-BE49-F238E27FC236}">
              <a16:creationId xmlns:a16="http://schemas.microsoft.com/office/drawing/2014/main" id="{7681F004-6F14-4DF7-8566-FE5DBB3B9BA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44" name="Text Box 1">
          <a:extLst>
            <a:ext uri="{FF2B5EF4-FFF2-40B4-BE49-F238E27FC236}">
              <a16:creationId xmlns:a16="http://schemas.microsoft.com/office/drawing/2014/main" id="{8B04AB28-05BD-4390-AD8D-CC6B363B2C8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45" name="Text Box 1">
          <a:extLst>
            <a:ext uri="{FF2B5EF4-FFF2-40B4-BE49-F238E27FC236}">
              <a16:creationId xmlns:a16="http://schemas.microsoft.com/office/drawing/2014/main" id="{C0375748-624F-4BDB-8BB1-BD5CEEB978B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46" name="Text Box 1">
          <a:extLst>
            <a:ext uri="{FF2B5EF4-FFF2-40B4-BE49-F238E27FC236}">
              <a16:creationId xmlns:a16="http://schemas.microsoft.com/office/drawing/2014/main" id="{DB74DE1E-2E85-42CA-9F1A-91B771E322A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47" name="Text Box 1">
          <a:extLst>
            <a:ext uri="{FF2B5EF4-FFF2-40B4-BE49-F238E27FC236}">
              <a16:creationId xmlns:a16="http://schemas.microsoft.com/office/drawing/2014/main" id="{B49616F3-636E-4444-8880-A7FA4782D10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48" name="Text Box 1">
          <a:extLst>
            <a:ext uri="{FF2B5EF4-FFF2-40B4-BE49-F238E27FC236}">
              <a16:creationId xmlns:a16="http://schemas.microsoft.com/office/drawing/2014/main" id="{E388D2E7-09BD-4586-B731-972695CA651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49" name="Text Box 1">
          <a:extLst>
            <a:ext uri="{FF2B5EF4-FFF2-40B4-BE49-F238E27FC236}">
              <a16:creationId xmlns:a16="http://schemas.microsoft.com/office/drawing/2014/main" id="{FA536B65-53F8-4CD8-887F-6BDD48731D6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50" name="Text Box 1">
          <a:extLst>
            <a:ext uri="{FF2B5EF4-FFF2-40B4-BE49-F238E27FC236}">
              <a16:creationId xmlns:a16="http://schemas.microsoft.com/office/drawing/2014/main" id="{BE387460-D0CB-4B95-B944-FB0589AC15F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51" name="Text Box 1">
          <a:extLst>
            <a:ext uri="{FF2B5EF4-FFF2-40B4-BE49-F238E27FC236}">
              <a16:creationId xmlns:a16="http://schemas.microsoft.com/office/drawing/2014/main" id="{B01A255C-7438-406A-8006-A72F53A2076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52" name="Text Box 1">
          <a:extLst>
            <a:ext uri="{FF2B5EF4-FFF2-40B4-BE49-F238E27FC236}">
              <a16:creationId xmlns:a16="http://schemas.microsoft.com/office/drawing/2014/main" id="{32CC8965-0BD4-427B-B608-98BAF36F3EF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53" name="Text Box 1">
          <a:extLst>
            <a:ext uri="{FF2B5EF4-FFF2-40B4-BE49-F238E27FC236}">
              <a16:creationId xmlns:a16="http://schemas.microsoft.com/office/drawing/2014/main" id="{7F8CFBB8-DF7E-4571-A810-825D059F415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54" name="Text Box 1">
          <a:extLst>
            <a:ext uri="{FF2B5EF4-FFF2-40B4-BE49-F238E27FC236}">
              <a16:creationId xmlns:a16="http://schemas.microsoft.com/office/drawing/2014/main" id="{F7D00874-7D4A-4DE8-9AD8-A2E932E09D7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55" name="Text Box 1">
          <a:extLst>
            <a:ext uri="{FF2B5EF4-FFF2-40B4-BE49-F238E27FC236}">
              <a16:creationId xmlns:a16="http://schemas.microsoft.com/office/drawing/2014/main" id="{7A80E510-D810-4751-98DD-8D6FDCED8B0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56" name="Text Box 1">
          <a:extLst>
            <a:ext uri="{FF2B5EF4-FFF2-40B4-BE49-F238E27FC236}">
              <a16:creationId xmlns:a16="http://schemas.microsoft.com/office/drawing/2014/main" id="{7D0E27D9-D444-4A41-ABE8-13B96C276BD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57" name="Text Box 1">
          <a:extLst>
            <a:ext uri="{FF2B5EF4-FFF2-40B4-BE49-F238E27FC236}">
              <a16:creationId xmlns:a16="http://schemas.microsoft.com/office/drawing/2014/main" id="{3D0505DC-C0D8-422C-B8F1-F807E3D236F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58" name="Text Box 1">
          <a:extLst>
            <a:ext uri="{FF2B5EF4-FFF2-40B4-BE49-F238E27FC236}">
              <a16:creationId xmlns:a16="http://schemas.microsoft.com/office/drawing/2014/main" id="{F1586BF8-9092-42E1-8E68-6182CAB9F71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59" name="Text Box 1">
          <a:extLst>
            <a:ext uri="{FF2B5EF4-FFF2-40B4-BE49-F238E27FC236}">
              <a16:creationId xmlns:a16="http://schemas.microsoft.com/office/drawing/2014/main" id="{8BC741DC-A3D5-4F13-ADE9-EA5C9D4D0C9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60" name="Text Box 1">
          <a:extLst>
            <a:ext uri="{FF2B5EF4-FFF2-40B4-BE49-F238E27FC236}">
              <a16:creationId xmlns:a16="http://schemas.microsoft.com/office/drawing/2014/main" id="{5784543E-AF2F-48BF-AA8C-53DE7B56F7D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61" name="Text Box 1">
          <a:extLst>
            <a:ext uri="{FF2B5EF4-FFF2-40B4-BE49-F238E27FC236}">
              <a16:creationId xmlns:a16="http://schemas.microsoft.com/office/drawing/2014/main" id="{A3F75516-5AF6-4D45-90B3-7BA63D4F570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62" name="Text Box 1">
          <a:extLst>
            <a:ext uri="{FF2B5EF4-FFF2-40B4-BE49-F238E27FC236}">
              <a16:creationId xmlns:a16="http://schemas.microsoft.com/office/drawing/2014/main" id="{EF9F3266-878C-46C1-B015-A66E9DD2AAC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63" name="Text Box 1">
          <a:extLst>
            <a:ext uri="{FF2B5EF4-FFF2-40B4-BE49-F238E27FC236}">
              <a16:creationId xmlns:a16="http://schemas.microsoft.com/office/drawing/2014/main" id="{31626BDC-A567-415E-AA53-1204927EDDD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64" name="Text Box 1">
          <a:extLst>
            <a:ext uri="{FF2B5EF4-FFF2-40B4-BE49-F238E27FC236}">
              <a16:creationId xmlns:a16="http://schemas.microsoft.com/office/drawing/2014/main" id="{43E08E61-5805-4F22-94FF-5D13AB067B7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65" name="Text Box 1">
          <a:extLst>
            <a:ext uri="{FF2B5EF4-FFF2-40B4-BE49-F238E27FC236}">
              <a16:creationId xmlns:a16="http://schemas.microsoft.com/office/drawing/2014/main" id="{D229FE59-47DB-4327-BF72-98A73806F75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66" name="Text Box 1">
          <a:extLst>
            <a:ext uri="{FF2B5EF4-FFF2-40B4-BE49-F238E27FC236}">
              <a16:creationId xmlns:a16="http://schemas.microsoft.com/office/drawing/2014/main" id="{74F1C5BF-E69A-4013-9495-AF34C29FC97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67" name="Text Box 1">
          <a:extLst>
            <a:ext uri="{FF2B5EF4-FFF2-40B4-BE49-F238E27FC236}">
              <a16:creationId xmlns:a16="http://schemas.microsoft.com/office/drawing/2014/main" id="{577DA3EC-F291-433B-BFC6-B0C6B6029F9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68" name="Text Box 1">
          <a:extLst>
            <a:ext uri="{FF2B5EF4-FFF2-40B4-BE49-F238E27FC236}">
              <a16:creationId xmlns:a16="http://schemas.microsoft.com/office/drawing/2014/main" id="{93B17244-F8B3-47F7-B35E-DF043961514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69" name="Text Box 1">
          <a:extLst>
            <a:ext uri="{FF2B5EF4-FFF2-40B4-BE49-F238E27FC236}">
              <a16:creationId xmlns:a16="http://schemas.microsoft.com/office/drawing/2014/main" id="{368F3D93-4437-4890-933B-264900EEB4E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70" name="Text Box 1">
          <a:extLst>
            <a:ext uri="{FF2B5EF4-FFF2-40B4-BE49-F238E27FC236}">
              <a16:creationId xmlns:a16="http://schemas.microsoft.com/office/drawing/2014/main" id="{B3173E65-6F54-433C-B801-CD9510A84C8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71" name="Text Box 1">
          <a:extLst>
            <a:ext uri="{FF2B5EF4-FFF2-40B4-BE49-F238E27FC236}">
              <a16:creationId xmlns:a16="http://schemas.microsoft.com/office/drawing/2014/main" id="{75D8438F-FCCF-402F-9961-09D8D94B6EA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72" name="Text Box 1">
          <a:extLst>
            <a:ext uri="{FF2B5EF4-FFF2-40B4-BE49-F238E27FC236}">
              <a16:creationId xmlns:a16="http://schemas.microsoft.com/office/drawing/2014/main" id="{47E3DE8E-641C-4B05-9974-BA5F5B6A008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73" name="Text Box 1">
          <a:extLst>
            <a:ext uri="{FF2B5EF4-FFF2-40B4-BE49-F238E27FC236}">
              <a16:creationId xmlns:a16="http://schemas.microsoft.com/office/drawing/2014/main" id="{719F57F2-C9B7-4D9C-AFEB-55CF84D3A0E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74" name="Text Box 1">
          <a:extLst>
            <a:ext uri="{FF2B5EF4-FFF2-40B4-BE49-F238E27FC236}">
              <a16:creationId xmlns:a16="http://schemas.microsoft.com/office/drawing/2014/main" id="{6DACF446-0F83-4AF9-8D24-A3399877829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75" name="Text Box 1">
          <a:extLst>
            <a:ext uri="{FF2B5EF4-FFF2-40B4-BE49-F238E27FC236}">
              <a16:creationId xmlns:a16="http://schemas.microsoft.com/office/drawing/2014/main" id="{3E8E3BB8-544F-43DC-BCE0-7EE88EE66DE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76" name="Text Box 1">
          <a:extLst>
            <a:ext uri="{FF2B5EF4-FFF2-40B4-BE49-F238E27FC236}">
              <a16:creationId xmlns:a16="http://schemas.microsoft.com/office/drawing/2014/main" id="{46F6D892-CEB6-4A2A-9010-97A7ACD3D11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77" name="Text Box 1">
          <a:extLst>
            <a:ext uri="{FF2B5EF4-FFF2-40B4-BE49-F238E27FC236}">
              <a16:creationId xmlns:a16="http://schemas.microsoft.com/office/drawing/2014/main" id="{C29ACF81-C364-443E-B9A8-6A004306019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78" name="Text Box 1">
          <a:extLst>
            <a:ext uri="{FF2B5EF4-FFF2-40B4-BE49-F238E27FC236}">
              <a16:creationId xmlns:a16="http://schemas.microsoft.com/office/drawing/2014/main" id="{F1F5CC4E-7C57-4A4D-91F0-212A7BCE73B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79" name="Text Box 1">
          <a:extLst>
            <a:ext uri="{FF2B5EF4-FFF2-40B4-BE49-F238E27FC236}">
              <a16:creationId xmlns:a16="http://schemas.microsoft.com/office/drawing/2014/main" id="{5F43403E-74B3-4779-975C-8E123E0DA6C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80" name="Text Box 1">
          <a:extLst>
            <a:ext uri="{FF2B5EF4-FFF2-40B4-BE49-F238E27FC236}">
              <a16:creationId xmlns:a16="http://schemas.microsoft.com/office/drawing/2014/main" id="{CA96E132-B2E5-49B5-B5AB-618E85B37B1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81" name="Text Box 1">
          <a:extLst>
            <a:ext uri="{FF2B5EF4-FFF2-40B4-BE49-F238E27FC236}">
              <a16:creationId xmlns:a16="http://schemas.microsoft.com/office/drawing/2014/main" id="{320AE8E2-7731-4A49-AA72-0E663597216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82" name="Text Box 1">
          <a:extLst>
            <a:ext uri="{FF2B5EF4-FFF2-40B4-BE49-F238E27FC236}">
              <a16:creationId xmlns:a16="http://schemas.microsoft.com/office/drawing/2014/main" id="{22C465BC-0644-4EA9-AB1A-80E20CC016F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83" name="Text Box 1">
          <a:extLst>
            <a:ext uri="{FF2B5EF4-FFF2-40B4-BE49-F238E27FC236}">
              <a16:creationId xmlns:a16="http://schemas.microsoft.com/office/drawing/2014/main" id="{CBDFA656-2932-4368-AEC8-34FD2D98692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84" name="Text Box 1">
          <a:extLst>
            <a:ext uri="{FF2B5EF4-FFF2-40B4-BE49-F238E27FC236}">
              <a16:creationId xmlns:a16="http://schemas.microsoft.com/office/drawing/2014/main" id="{678D13B9-EFAF-4E2F-8480-343CBCAC430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85" name="Text Box 1">
          <a:extLst>
            <a:ext uri="{FF2B5EF4-FFF2-40B4-BE49-F238E27FC236}">
              <a16:creationId xmlns:a16="http://schemas.microsoft.com/office/drawing/2014/main" id="{9FEA83F3-3E46-4249-BA34-F8BDCA09D97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86" name="Text Box 1">
          <a:extLst>
            <a:ext uri="{FF2B5EF4-FFF2-40B4-BE49-F238E27FC236}">
              <a16:creationId xmlns:a16="http://schemas.microsoft.com/office/drawing/2014/main" id="{5D31445C-35D1-43D8-BDE0-B68595E83EC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87" name="Text Box 1">
          <a:extLst>
            <a:ext uri="{FF2B5EF4-FFF2-40B4-BE49-F238E27FC236}">
              <a16:creationId xmlns:a16="http://schemas.microsoft.com/office/drawing/2014/main" id="{EB6A770F-DE0A-45EE-9431-85F579D62B8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88" name="Text Box 1">
          <a:extLst>
            <a:ext uri="{FF2B5EF4-FFF2-40B4-BE49-F238E27FC236}">
              <a16:creationId xmlns:a16="http://schemas.microsoft.com/office/drawing/2014/main" id="{DE8A6FBA-B410-4D90-854E-D1C6DC82791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89" name="Text Box 1">
          <a:extLst>
            <a:ext uri="{FF2B5EF4-FFF2-40B4-BE49-F238E27FC236}">
              <a16:creationId xmlns:a16="http://schemas.microsoft.com/office/drawing/2014/main" id="{674134E1-670B-469F-91D4-19DF0C0C493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90" name="Text Box 1">
          <a:extLst>
            <a:ext uri="{FF2B5EF4-FFF2-40B4-BE49-F238E27FC236}">
              <a16:creationId xmlns:a16="http://schemas.microsoft.com/office/drawing/2014/main" id="{5C95206C-7FAF-4E2F-9353-8EC2F932FB8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91" name="Text Box 1">
          <a:extLst>
            <a:ext uri="{FF2B5EF4-FFF2-40B4-BE49-F238E27FC236}">
              <a16:creationId xmlns:a16="http://schemas.microsoft.com/office/drawing/2014/main" id="{0FA0648A-D8B8-4347-832C-80A4246DF61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92" name="Text Box 1">
          <a:extLst>
            <a:ext uri="{FF2B5EF4-FFF2-40B4-BE49-F238E27FC236}">
              <a16:creationId xmlns:a16="http://schemas.microsoft.com/office/drawing/2014/main" id="{0599AF2C-9485-4545-BB88-D7A954501BB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93" name="Text Box 1">
          <a:extLst>
            <a:ext uri="{FF2B5EF4-FFF2-40B4-BE49-F238E27FC236}">
              <a16:creationId xmlns:a16="http://schemas.microsoft.com/office/drawing/2014/main" id="{A317B052-24E7-4A1C-AEA5-2A69067FA46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94" name="Text Box 1">
          <a:extLst>
            <a:ext uri="{FF2B5EF4-FFF2-40B4-BE49-F238E27FC236}">
              <a16:creationId xmlns:a16="http://schemas.microsoft.com/office/drawing/2014/main" id="{75F2D193-B704-480A-98B9-29C3B6BDB98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95" name="Text Box 1">
          <a:extLst>
            <a:ext uri="{FF2B5EF4-FFF2-40B4-BE49-F238E27FC236}">
              <a16:creationId xmlns:a16="http://schemas.microsoft.com/office/drawing/2014/main" id="{55E2C054-9662-4CEC-8E28-FC40FEC2CFF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96" name="Text Box 1">
          <a:extLst>
            <a:ext uri="{FF2B5EF4-FFF2-40B4-BE49-F238E27FC236}">
              <a16:creationId xmlns:a16="http://schemas.microsoft.com/office/drawing/2014/main" id="{B2EE6C55-9468-45C0-B7C1-AB942255A7B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97" name="Text Box 1">
          <a:extLst>
            <a:ext uri="{FF2B5EF4-FFF2-40B4-BE49-F238E27FC236}">
              <a16:creationId xmlns:a16="http://schemas.microsoft.com/office/drawing/2014/main" id="{36CC96A9-0DA1-4F6E-AAA7-A1C2F9962E3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98" name="Text Box 1">
          <a:extLst>
            <a:ext uri="{FF2B5EF4-FFF2-40B4-BE49-F238E27FC236}">
              <a16:creationId xmlns:a16="http://schemas.microsoft.com/office/drawing/2014/main" id="{5660ED7C-4D67-4370-B2A1-63800A6D6DE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599" name="Text Box 1">
          <a:extLst>
            <a:ext uri="{FF2B5EF4-FFF2-40B4-BE49-F238E27FC236}">
              <a16:creationId xmlns:a16="http://schemas.microsoft.com/office/drawing/2014/main" id="{9830FF7E-C9CC-40CD-9A54-B86EC18F937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00" name="Text Box 1">
          <a:extLst>
            <a:ext uri="{FF2B5EF4-FFF2-40B4-BE49-F238E27FC236}">
              <a16:creationId xmlns:a16="http://schemas.microsoft.com/office/drawing/2014/main" id="{930F29EB-2CFE-4281-B10E-0503DD264FA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01" name="Text Box 1">
          <a:extLst>
            <a:ext uri="{FF2B5EF4-FFF2-40B4-BE49-F238E27FC236}">
              <a16:creationId xmlns:a16="http://schemas.microsoft.com/office/drawing/2014/main" id="{B8BCDC6A-AE91-4CD7-B720-953D11C035F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02" name="Text Box 1">
          <a:extLst>
            <a:ext uri="{FF2B5EF4-FFF2-40B4-BE49-F238E27FC236}">
              <a16:creationId xmlns:a16="http://schemas.microsoft.com/office/drawing/2014/main" id="{18D534FE-B2AD-4B64-84B8-E5034EDD994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03" name="Text Box 1">
          <a:extLst>
            <a:ext uri="{FF2B5EF4-FFF2-40B4-BE49-F238E27FC236}">
              <a16:creationId xmlns:a16="http://schemas.microsoft.com/office/drawing/2014/main" id="{0A9D63DC-68BE-4486-96CF-AFD86D1CA14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04" name="Text Box 1">
          <a:extLst>
            <a:ext uri="{FF2B5EF4-FFF2-40B4-BE49-F238E27FC236}">
              <a16:creationId xmlns:a16="http://schemas.microsoft.com/office/drawing/2014/main" id="{C967D4F3-8664-48C3-A46A-AA2FBE48E79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05" name="Text Box 1">
          <a:extLst>
            <a:ext uri="{FF2B5EF4-FFF2-40B4-BE49-F238E27FC236}">
              <a16:creationId xmlns:a16="http://schemas.microsoft.com/office/drawing/2014/main" id="{F3DD8CB0-3811-44D3-8FE2-EA8A62C8059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06" name="Text Box 1">
          <a:extLst>
            <a:ext uri="{FF2B5EF4-FFF2-40B4-BE49-F238E27FC236}">
              <a16:creationId xmlns:a16="http://schemas.microsoft.com/office/drawing/2014/main" id="{9702B79E-C3F5-41B2-88E9-A9D5607B862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07" name="Text Box 1">
          <a:extLst>
            <a:ext uri="{FF2B5EF4-FFF2-40B4-BE49-F238E27FC236}">
              <a16:creationId xmlns:a16="http://schemas.microsoft.com/office/drawing/2014/main" id="{E37965F1-6F1E-4969-ACF6-7242D53C7C5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08" name="Text Box 1">
          <a:extLst>
            <a:ext uri="{FF2B5EF4-FFF2-40B4-BE49-F238E27FC236}">
              <a16:creationId xmlns:a16="http://schemas.microsoft.com/office/drawing/2014/main" id="{BA637F61-F3A7-48EB-8102-20C819C5FE0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09" name="Text Box 1">
          <a:extLst>
            <a:ext uri="{FF2B5EF4-FFF2-40B4-BE49-F238E27FC236}">
              <a16:creationId xmlns:a16="http://schemas.microsoft.com/office/drawing/2014/main" id="{446D8F03-AC50-468E-A314-1C7057C3C8D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10" name="Text Box 1">
          <a:extLst>
            <a:ext uri="{FF2B5EF4-FFF2-40B4-BE49-F238E27FC236}">
              <a16:creationId xmlns:a16="http://schemas.microsoft.com/office/drawing/2014/main" id="{6BA8BAAB-A139-4C90-8ABA-AFD79B05336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11" name="Text Box 1">
          <a:extLst>
            <a:ext uri="{FF2B5EF4-FFF2-40B4-BE49-F238E27FC236}">
              <a16:creationId xmlns:a16="http://schemas.microsoft.com/office/drawing/2014/main" id="{4173EE64-E3C1-49DC-8C83-DC6DD2686B1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12" name="Text Box 1">
          <a:extLst>
            <a:ext uri="{FF2B5EF4-FFF2-40B4-BE49-F238E27FC236}">
              <a16:creationId xmlns:a16="http://schemas.microsoft.com/office/drawing/2014/main" id="{D11747E2-77A2-422C-9037-F1625689389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13" name="Text Box 1">
          <a:extLst>
            <a:ext uri="{FF2B5EF4-FFF2-40B4-BE49-F238E27FC236}">
              <a16:creationId xmlns:a16="http://schemas.microsoft.com/office/drawing/2014/main" id="{5E4B11D5-78D7-40C6-B167-B7720DF0236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14" name="Text Box 1">
          <a:extLst>
            <a:ext uri="{FF2B5EF4-FFF2-40B4-BE49-F238E27FC236}">
              <a16:creationId xmlns:a16="http://schemas.microsoft.com/office/drawing/2014/main" id="{48D9DABE-4165-4918-ABEC-CFED5B4BCD8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15" name="Text Box 1">
          <a:extLst>
            <a:ext uri="{FF2B5EF4-FFF2-40B4-BE49-F238E27FC236}">
              <a16:creationId xmlns:a16="http://schemas.microsoft.com/office/drawing/2014/main" id="{5C7BBA1E-DDC3-4A62-A112-CCE289E2F3A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16" name="Text Box 1">
          <a:extLst>
            <a:ext uri="{FF2B5EF4-FFF2-40B4-BE49-F238E27FC236}">
              <a16:creationId xmlns:a16="http://schemas.microsoft.com/office/drawing/2014/main" id="{E627ADA9-DC1F-43CB-B79E-F399F9017DE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17" name="Text Box 1">
          <a:extLst>
            <a:ext uri="{FF2B5EF4-FFF2-40B4-BE49-F238E27FC236}">
              <a16:creationId xmlns:a16="http://schemas.microsoft.com/office/drawing/2014/main" id="{C2757105-CC20-4B94-8049-6256FB28B73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18" name="Text Box 1">
          <a:extLst>
            <a:ext uri="{FF2B5EF4-FFF2-40B4-BE49-F238E27FC236}">
              <a16:creationId xmlns:a16="http://schemas.microsoft.com/office/drawing/2014/main" id="{7E7C41E8-A4E1-4349-8A34-92FA2D68A48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19" name="Text Box 1">
          <a:extLst>
            <a:ext uri="{FF2B5EF4-FFF2-40B4-BE49-F238E27FC236}">
              <a16:creationId xmlns:a16="http://schemas.microsoft.com/office/drawing/2014/main" id="{F15B1445-6954-46DE-9051-C87ABB586A6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20" name="Text Box 1">
          <a:extLst>
            <a:ext uri="{FF2B5EF4-FFF2-40B4-BE49-F238E27FC236}">
              <a16:creationId xmlns:a16="http://schemas.microsoft.com/office/drawing/2014/main" id="{F5C76D48-B83A-4341-9767-71AC7AD8257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21" name="Text Box 1">
          <a:extLst>
            <a:ext uri="{FF2B5EF4-FFF2-40B4-BE49-F238E27FC236}">
              <a16:creationId xmlns:a16="http://schemas.microsoft.com/office/drawing/2014/main" id="{B49AA1C6-2AD8-4D08-852A-AF9C2A60A2F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22" name="Text Box 1">
          <a:extLst>
            <a:ext uri="{FF2B5EF4-FFF2-40B4-BE49-F238E27FC236}">
              <a16:creationId xmlns:a16="http://schemas.microsoft.com/office/drawing/2014/main" id="{F20CDC95-5577-4584-976F-BD794CF7394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23" name="Text Box 1">
          <a:extLst>
            <a:ext uri="{FF2B5EF4-FFF2-40B4-BE49-F238E27FC236}">
              <a16:creationId xmlns:a16="http://schemas.microsoft.com/office/drawing/2014/main" id="{9AEC7BB7-A6A6-406A-BB8E-F5BCEAB5472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24" name="Text Box 1">
          <a:extLst>
            <a:ext uri="{FF2B5EF4-FFF2-40B4-BE49-F238E27FC236}">
              <a16:creationId xmlns:a16="http://schemas.microsoft.com/office/drawing/2014/main" id="{D4C122A2-3D7B-4029-A48B-B459CFBDCCF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25" name="Text Box 1">
          <a:extLst>
            <a:ext uri="{FF2B5EF4-FFF2-40B4-BE49-F238E27FC236}">
              <a16:creationId xmlns:a16="http://schemas.microsoft.com/office/drawing/2014/main" id="{1FD53FA8-DE1D-419F-8BB8-26FFE62CD8C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26" name="Text Box 1">
          <a:extLst>
            <a:ext uri="{FF2B5EF4-FFF2-40B4-BE49-F238E27FC236}">
              <a16:creationId xmlns:a16="http://schemas.microsoft.com/office/drawing/2014/main" id="{014B7E27-8ACB-4BD0-B1B7-A9068AAC116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27" name="Text Box 1">
          <a:extLst>
            <a:ext uri="{FF2B5EF4-FFF2-40B4-BE49-F238E27FC236}">
              <a16:creationId xmlns:a16="http://schemas.microsoft.com/office/drawing/2014/main" id="{157F4EAD-57E0-4CF4-B0A2-23437FFDD7D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28" name="Text Box 1">
          <a:extLst>
            <a:ext uri="{FF2B5EF4-FFF2-40B4-BE49-F238E27FC236}">
              <a16:creationId xmlns:a16="http://schemas.microsoft.com/office/drawing/2014/main" id="{2A6DF78F-EEDE-43EA-95A4-C466612F4AD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29" name="Text Box 1">
          <a:extLst>
            <a:ext uri="{FF2B5EF4-FFF2-40B4-BE49-F238E27FC236}">
              <a16:creationId xmlns:a16="http://schemas.microsoft.com/office/drawing/2014/main" id="{157C6E86-ACF7-4925-9E16-A53815B75A5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30" name="Text Box 1">
          <a:extLst>
            <a:ext uri="{FF2B5EF4-FFF2-40B4-BE49-F238E27FC236}">
              <a16:creationId xmlns:a16="http://schemas.microsoft.com/office/drawing/2014/main" id="{9D4368D3-CFDC-426E-BD43-4A26941B4EB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31" name="Text Box 1">
          <a:extLst>
            <a:ext uri="{FF2B5EF4-FFF2-40B4-BE49-F238E27FC236}">
              <a16:creationId xmlns:a16="http://schemas.microsoft.com/office/drawing/2014/main" id="{D068C3EF-903F-4C7D-808F-D77DAD0978D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32" name="Text Box 1">
          <a:extLst>
            <a:ext uri="{FF2B5EF4-FFF2-40B4-BE49-F238E27FC236}">
              <a16:creationId xmlns:a16="http://schemas.microsoft.com/office/drawing/2014/main" id="{710F609B-3C8E-464E-AB51-D2F5C0CE4CD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33" name="Text Box 1">
          <a:extLst>
            <a:ext uri="{FF2B5EF4-FFF2-40B4-BE49-F238E27FC236}">
              <a16:creationId xmlns:a16="http://schemas.microsoft.com/office/drawing/2014/main" id="{15DB0A0D-53CF-4DEB-B075-9EE45CB253B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34" name="Text Box 1">
          <a:extLst>
            <a:ext uri="{FF2B5EF4-FFF2-40B4-BE49-F238E27FC236}">
              <a16:creationId xmlns:a16="http://schemas.microsoft.com/office/drawing/2014/main" id="{6A0E693E-357F-4655-A1EB-0FEFF454060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35" name="Text Box 1">
          <a:extLst>
            <a:ext uri="{FF2B5EF4-FFF2-40B4-BE49-F238E27FC236}">
              <a16:creationId xmlns:a16="http://schemas.microsoft.com/office/drawing/2014/main" id="{EF0B26FB-2F8D-4D91-BB2A-38B256C39E2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36" name="Text Box 1">
          <a:extLst>
            <a:ext uri="{FF2B5EF4-FFF2-40B4-BE49-F238E27FC236}">
              <a16:creationId xmlns:a16="http://schemas.microsoft.com/office/drawing/2014/main" id="{689C7EA6-0018-4B12-AB41-01546F6BD7B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37" name="Text Box 1">
          <a:extLst>
            <a:ext uri="{FF2B5EF4-FFF2-40B4-BE49-F238E27FC236}">
              <a16:creationId xmlns:a16="http://schemas.microsoft.com/office/drawing/2014/main" id="{63560FFC-B27B-4920-97C8-7E35943CE87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38" name="Text Box 1">
          <a:extLst>
            <a:ext uri="{FF2B5EF4-FFF2-40B4-BE49-F238E27FC236}">
              <a16:creationId xmlns:a16="http://schemas.microsoft.com/office/drawing/2014/main" id="{BEDE2677-B01E-43C5-9AB2-703E1996678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39" name="Text Box 1">
          <a:extLst>
            <a:ext uri="{FF2B5EF4-FFF2-40B4-BE49-F238E27FC236}">
              <a16:creationId xmlns:a16="http://schemas.microsoft.com/office/drawing/2014/main" id="{DC83798F-960D-406E-9A59-551E3A593F6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40" name="Text Box 1">
          <a:extLst>
            <a:ext uri="{FF2B5EF4-FFF2-40B4-BE49-F238E27FC236}">
              <a16:creationId xmlns:a16="http://schemas.microsoft.com/office/drawing/2014/main" id="{C0DD6B18-C75B-4CC3-9CA2-61C6212E9F6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41" name="Text Box 1">
          <a:extLst>
            <a:ext uri="{FF2B5EF4-FFF2-40B4-BE49-F238E27FC236}">
              <a16:creationId xmlns:a16="http://schemas.microsoft.com/office/drawing/2014/main" id="{DD97D0B0-48D6-4CB2-9D40-40CA00A7365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42" name="Text Box 1">
          <a:extLst>
            <a:ext uri="{FF2B5EF4-FFF2-40B4-BE49-F238E27FC236}">
              <a16:creationId xmlns:a16="http://schemas.microsoft.com/office/drawing/2014/main" id="{2FF1C600-5852-4330-A2CA-8CD68C41839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43" name="Text Box 1">
          <a:extLst>
            <a:ext uri="{FF2B5EF4-FFF2-40B4-BE49-F238E27FC236}">
              <a16:creationId xmlns:a16="http://schemas.microsoft.com/office/drawing/2014/main" id="{6DFABC8C-FCAE-404E-820B-A554E371845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44" name="Text Box 1">
          <a:extLst>
            <a:ext uri="{FF2B5EF4-FFF2-40B4-BE49-F238E27FC236}">
              <a16:creationId xmlns:a16="http://schemas.microsoft.com/office/drawing/2014/main" id="{0A105EF8-B109-448E-A6D7-1308DC3696D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45" name="Text Box 1">
          <a:extLst>
            <a:ext uri="{FF2B5EF4-FFF2-40B4-BE49-F238E27FC236}">
              <a16:creationId xmlns:a16="http://schemas.microsoft.com/office/drawing/2014/main" id="{02CB8C38-49A7-4843-B78A-562EE559077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46" name="Text Box 1">
          <a:extLst>
            <a:ext uri="{FF2B5EF4-FFF2-40B4-BE49-F238E27FC236}">
              <a16:creationId xmlns:a16="http://schemas.microsoft.com/office/drawing/2014/main" id="{3583D9BF-6756-4B79-9B29-D32D3088B8E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47" name="Text Box 1">
          <a:extLst>
            <a:ext uri="{FF2B5EF4-FFF2-40B4-BE49-F238E27FC236}">
              <a16:creationId xmlns:a16="http://schemas.microsoft.com/office/drawing/2014/main" id="{8D4451B4-09BB-446F-9566-DD7074CB79E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48" name="Text Box 1">
          <a:extLst>
            <a:ext uri="{FF2B5EF4-FFF2-40B4-BE49-F238E27FC236}">
              <a16:creationId xmlns:a16="http://schemas.microsoft.com/office/drawing/2014/main" id="{8EC7FBD2-A895-44E3-84F1-8455FF425B5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49" name="Text Box 1">
          <a:extLst>
            <a:ext uri="{FF2B5EF4-FFF2-40B4-BE49-F238E27FC236}">
              <a16:creationId xmlns:a16="http://schemas.microsoft.com/office/drawing/2014/main" id="{14685685-2030-4C2A-BBE4-20198B6C4A1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50" name="Text Box 1">
          <a:extLst>
            <a:ext uri="{FF2B5EF4-FFF2-40B4-BE49-F238E27FC236}">
              <a16:creationId xmlns:a16="http://schemas.microsoft.com/office/drawing/2014/main" id="{67358363-A190-410F-8DC6-A0CC816336D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51" name="Text Box 1">
          <a:extLst>
            <a:ext uri="{FF2B5EF4-FFF2-40B4-BE49-F238E27FC236}">
              <a16:creationId xmlns:a16="http://schemas.microsoft.com/office/drawing/2014/main" id="{8F7ED409-BA15-4F94-B917-2CEC6943F50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52" name="Text Box 1">
          <a:extLst>
            <a:ext uri="{FF2B5EF4-FFF2-40B4-BE49-F238E27FC236}">
              <a16:creationId xmlns:a16="http://schemas.microsoft.com/office/drawing/2014/main" id="{FFAB2852-9E34-4378-B729-44B246FCC4A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53" name="Text Box 1">
          <a:extLst>
            <a:ext uri="{FF2B5EF4-FFF2-40B4-BE49-F238E27FC236}">
              <a16:creationId xmlns:a16="http://schemas.microsoft.com/office/drawing/2014/main" id="{4B54BBCE-79FC-44D8-A53B-17F1FB6EBE4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54" name="Text Box 1">
          <a:extLst>
            <a:ext uri="{FF2B5EF4-FFF2-40B4-BE49-F238E27FC236}">
              <a16:creationId xmlns:a16="http://schemas.microsoft.com/office/drawing/2014/main" id="{2970AE3D-F3FC-4EFF-A7EC-54F607A7E4A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55" name="Text Box 1">
          <a:extLst>
            <a:ext uri="{FF2B5EF4-FFF2-40B4-BE49-F238E27FC236}">
              <a16:creationId xmlns:a16="http://schemas.microsoft.com/office/drawing/2014/main" id="{D3650EFA-F9D5-40D3-A577-C85651B9D57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56" name="Text Box 1">
          <a:extLst>
            <a:ext uri="{FF2B5EF4-FFF2-40B4-BE49-F238E27FC236}">
              <a16:creationId xmlns:a16="http://schemas.microsoft.com/office/drawing/2014/main" id="{8FED9B90-B819-4C4B-9263-68A7E8FE524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57" name="Text Box 1">
          <a:extLst>
            <a:ext uri="{FF2B5EF4-FFF2-40B4-BE49-F238E27FC236}">
              <a16:creationId xmlns:a16="http://schemas.microsoft.com/office/drawing/2014/main" id="{C0355C9D-910C-441F-B379-977CEAD16FD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58" name="Text Box 1">
          <a:extLst>
            <a:ext uri="{FF2B5EF4-FFF2-40B4-BE49-F238E27FC236}">
              <a16:creationId xmlns:a16="http://schemas.microsoft.com/office/drawing/2014/main" id="{E4D5DA36-EBA2-4E46-8F5C-52C4D3AE6A2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59" name="Text Box 1">
          <a:extLst>
            <a:ext uri="{FF2B5EF4-FFF2-40B4-BE49-F238E27FC236}">
              <a16:creationId xmlns:a16="http://schemas.microsoft.com/office/drawing/2014/main" id="{CA68404D-FEA8-41FE-A74A-488D8C13FF9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60" name="Text Box 1">
          <a:extLst>
            <a:ext uri="{FF2B5EF4-FFF2-40B4-BE49-F238E27FC236}">
              <a16:creationId xmlns:a16="http://schemas.microsoft.com/office/drawing/2014/main" id="{D5F332EB-599B-4FB9-B6F7-42D6379FEFE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61" name="Text Box 1">
          <a:extLst>
            <a:ext uri="{FF2B5EF4-FFF2-40B4-BE49-F238E27FC236}">
              <a16:creationId xmlns:a16="http://schemas.microsoft.com/office/drawing/2014/main" id="{21508789-335C-40C3-B095-409FDA262FA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62" name="Text Box 1">
          <a:extLst>
            <a:ext uri="{FF2B5EF4-FFF2-40B4-BE49-F238E27FC236}">
              <a16:creationId xmlns:a16="http://schemas.microsoft.com/office/drawing/2014/main" id="{24DFD45A-D139-42AB-BC9E-A0608D83A2E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63" name="Text Box 1">
          <a:extLst>
            <a:ext uri="{FF2B5EF4-FFF2-40B4-BE49-F238E27FC236}">
              <a16:creationId xmlns:a16="http://schemas.microsoft.com/office/drawing/2014/main" id="{77C15513-92D0-477F-92E7-823A6800840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64" name="Text Box 1">
          <a:extLst>
            <a:ext uri="{FF2B5EF4-FFF2-40B4-BE49-F238E27FC236}">
              <a16:creationId xmlns:a16="http://schemas.microsoft.com/office/drawing/2014/main" id="{E7B54634-E30A-483C-A707-158CD4AC858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65" name="Text Box 1">
          <a:extLst>
            <a:ext uri="{FF2B5EF4-FFF2-40B4-BE49-F238E27FC236}">
              <a16:creationId xmlns:a16="http://schemas.microsoft.com/office/drawing/2014/main" id="{54ACF9B7-3690-484A-8471-DBA66FA0B97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66" name="Text Box 1">
          <a:extLst>
            <a:ext uri="{FF2B5EF4-FFF2-40B4-BE49-F238E27FC236}">
              <a16:creationId xmlns:a16="http://schemas.microsoft.com/office/drawing/2014/main" id="{BA161BFD-7622-43AB-A6B5-36ABC8DC313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67" name="Text Box 1">
          <a:extLst>
            <a:ext uri="{FF2B5EF4-FFF2-40B4-BE49-F238E27FC236}">
              <a16:creationId xmlns:a16="http://schemas.microsoft.com/office/drawing/2014/main" id="{A5548378-DB3A-4682-9C12-7A8DFE6A2CC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68" name="Text Box 1">
          <a:extLst>
            <a:ext uri="{FF2B5EF4-FFF2-40B4-BE49-F238E27FC236}">
              <a16:creationId xmlns:a16="http://schemas.microsoft.com/office/drawing/2014/main" id="{B48082DD-B50E-4A3F-B864-ED338DCF2D2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69" name="Text Box 1">
          <a:extLst>
            <a:ext uri="{FF2B5EF4-FFF2-40B4-BE49-F238E27FC236}">
              <a16:creationId xmlns:a16="http://schemas.microsoft.com/office/drawing/2014/main" id="{5942D45F-4547-4549-ADB8-4D2D60969B2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70" name="Text Box 1">
          <a:extLst>
            <a:ext uri="{FF2B5EF4-FFF2-40B4-BE49-F238E27FC236}">
              <a16:creationId xmlns:a16="http://schemas.microsoft.com/office/drawing/2014/main" id="{C9D1B082-A091-439B-B601-F3744412B32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71" name="Text Box 1">
          <a:extLst>
            <a:ext uri="{FF2B5EF4-FFF2-40B4-BE49-F238E27FC236}">
              <a16:creationId xmlns:a16="http://schemas.microsoft.com/office/drawing/2014/main" id="{BF68271C-A02B-49DA-B482-1A3723847ED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72" name="Text Box 1">
          <a:extLst>
            <a:ext uri="{FF2B5EF4-FFF2-40B4-BE49-F238E27FC236}">
              <a16:creationId xmlns:a16="http://schemas.microsoft.com/office/drawing/2014/main" id="{955150C1-89AF-49F5-80CC-1010E922585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73" name="Text Box 1">
          <a:extLst>
            <a:ext uri="{FF2B5EF4-FFF2-40B4-BE49-F238E27FC236}">
              <a16:creationId xmlns:a16="http://schemas.microsoft.com/office/drawing/2014/main" id="{027AF565-DA0D-4BBB-A390-8991A9DAF66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74" name="Text Box 1">
          <a:extLst>
            <a:ext uri="{FF2B5EF4-FFF2-40B4-BE49-F238E27FC236}">
              <a16:creationId xmlns:a16="http://schemas.microsoft.com/office/drawing/2014/main" id="{C27E2AC0-0262-452D-B426-D62D6EA7C68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75" name="Text Box 1">
          <a:extLst>
            <a:ext uri="{FF2B5EF4-FFF2-40B4-BE49-F238E27FC236}">
              <a16:creationId xmlns:a16="http://schemas.microsoft.com/office/drawing/2014/main" id="{9D363008-EE29-46B7-ABE9-F0847BC5E7E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76" name="Text Box 1">
          <a:extLst>
            <a:ext uri="{FF2B5EF4-FFF2-40B4-BE49-F238E27FC236}">
              <a16:creationId xmlns:a16="http://schemas.microsoft.com/office/drawing/2014/main" id="{9448BCAE-9CC5-474C-B8C0-E064BBA3AD1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77" name="Text Box 1">
          <a:extLst>
            <a:ext uri="{FF2B5EF4-FFF2-40B4-BE49-F238E27FC236}">
              <a16:creationId xmlns:a16="http://schemas.microsoft.com/office/drawing/2014/main" id="{EA350D03-6812-4BC2-A394-4AF2248CD38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78" name="Text Box 1">
          <a:extLst>
            <a:ext uri="{FF2B5EF4-FFF2-40B4-BE49-F238E27FC236}">
              <a16:creationId xmlns:a16="http://schemas.microsoft.com/office/drawing/2014/main" id="{8CB693FB-771D-4C49-8E3A-ACE701C4165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79" name="Text Box 1">
          <a:extLst>
            <a:ext uri="{FF2B5EF4-FFF2-40B4-BE49-F238E27FC236}">
              <a16:creationId xmlns:a16="http://schemas.microsoft.com/office/drawing/2014/main" id="{44AC7C5B-A91C-4F6C-AFAC-011AAB581FA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80" name="Text Box 1">
          <a:extLst>
            <a:ext uri="{FF2B5EF4-FFF2-40B4-BE49-F238E27FC236}">
              <a16:creationId xmlns:a16="http://schemas.microsoft.com/office/drawing/2014/main" id="{CA13918C-4C54-437E-A311-07A3A5087FD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81" name="Text Box 1">
          <a:extLst>
            <a:ext uri="{FF2B5EF4-FFF2-40B4-BE49-F238E27FC236}">
              <a16:creationId xmlns:a16="http://schemas.microsoft.com/office/drawing/2014/main" id="{D4939C1E-6C15-4B3B-AAEC-B6E15F96DA5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82" name="Text Box 1">
          <a:extLst>
            <a:ext uri="{FF2B5EF4-FFF2-40B4-BE49-F238E27FC236}">
              <a16:creationId xmlns:a16="http://schemas.microsoft.com/office/drawing/2014/main" id="{F05510DD-2A60-42FB-91E5-41300940505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83" name="Text Box 1">
          <a:extLst>
            <a:ext uri="{FF2B5EF4-FFF2-40B4-BE49-F238E27FC236}">
              <a16:creationId xmlns:a16="http://schemas.microsoft.com/office/drawing/2014/main" id="{AAC83B0B-40E8-4133-AA6B-E9159F746B4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84" name="Text Box 1">
          <a:extLst>
            <a:ext uri="{FF2B5EF4-FFF2-40B4-BE49-F238E27FC236}">
              <a16:creationId xmlns:a16="http://schemas.microsoft.com/office/drawing/2014/main" id="{CDD2B9AC-66AC-409A-9434-53583BF217D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85" name="Text Box 1">
          <a:extLst>
            <a:ext uri="{FF2B5EF4-FFF2-40B4-BE49-F238E27FC236}">
              <a16:creationId xmlns:a16="http://schemas.microsoft.com/office/drawing/2014/main" id="{2B484D64-835B-4960-B295-6AFEAE3AAD9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86" name="Text Box 1">
          <a:extLst>
            <a:ext uri="{FF2B5EF4-FFF2-40B4-BE49-F238E27FC236}">
              <a16:creationId xmlns:a16="http://schemas.microsoft.com/office/drawing/2014/main" id="{C2E81040-3AC4-4284-B0C9-A255F9C483F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87" name="Text Box 1">
          <a:extLst>
            <a:ext uri="{FF2B5EF4-FFF2-40B4-BE49-F238E27FC236}">
              <a16:creationId xmlns:a16="http://schemas.microsoft.com/office/drawing/2014/main" id="{5BF5A570-F219-4AC5-B700-847E1BBBAE8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88" name="Text Box 1">
          <a:extLst>
            <a:ext uri="{FF2B5EF4-FFF2-40B4-BE49-F238E27FC236}">
              <a16:creationId xmlns:a16="http://schemas.microsoft.com/office/drawing/2014/main" id="{E646B08B-DE4B-486E-A2F8-9A0965C1D24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89" name="Text Box 1">
          <a:extLst>
            <a:ext uri="{FF2B5EF4-FFF2-40B4-BE49-F238E27FC236}">
              <a16:creationId xmlns:a16="http://schemas.microsoft.com/office/drawing/2014/main" id="{A10A9499-E03F-43AB-A25C-BAD9838F432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90" name="Text Box 1">
          <a:extLst>
            <a:ext uri="{FF2B5EF4-FFF2-40B4-BE49-F238E27FC236}">
              <a16:creationId xmlns:a16="http://schemas.microsoft.com/office/drawing/2014/main" id="{91BAA4DC-030F-4BBF-BFCC-DA1900A4D00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91" name="Text Box 1">
          <a:extLst>
            <a:ext uri="{FF2B5EF4-FFF2-40B4-BE49-F238E27FC236}">
              <a16:creationId xmlns:a16="http://schemas.microsoft.com/office/drawing/2014/main" id="{A25AB8C5-673E-4E41-8B0F-3EB401EE514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92" name="Text Box 1">
          <a:extLst>
            <a:ext uri="{FF2B5EF4-FFF2-40B4-BE49-F238E27FC236}">
              <a16:creationId xmlns:a16="http://schemas.microsoft.com/office/drawing/2014/main" id="{07AA3106-BED4-4E1F-8C0B-857B74FD358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93" name="Text Box 1">
          <a:extLst>
            <a:ext uri="{FF2B5EF4-FFF2-40B4-BE49-F238E27FC236}">
              <a16:creationId xmlns:a16="http://schemas.microsoft.com/office/drawing/2014/main" id="{6E04F8B7-C90C-4397-A9E7-3BC7956B2A8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94" name="Text Box 1">
          <a:extLst>
            <a:ext uri="{FF2B5EF4-FFF2-40B4-BE49-F238E27FC236}">
              <a16:creationId xmlns:a16="http://schemas.microsoft.com/office/drawing/2014/main" id="{C5307D8D-0B79-49FF-BFCF-1FB563BB4A5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95" name="Text Box 1">
          <a:extLst>
            <a:ext uri="{FF2B5EF4-FFF2-40B4-BE49-F238E27FC236}">
              <a16:creationId xmlns:a16="http://schemas.microsoft.com/office/drawing/2014/main" id="{96F64B5F-E9AE-44B9-84D3-B55311AEF16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96" name="Text Box 1">
          <a:extLst>
            <a:ext uri="{FF2B5EF4-FFF2-40B4-BE49-F238E27FC236}">
              <a16:creationId xmlns:a16="http://schemas.microsoft.com/office/drawing/2014/main" id="{6EA64AE5-0109-4E7E-9285-B8A5F928242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97" name="Text Box 1">
          <a:extLst>
            <a:ext uri="{FF2B5EF4-FFF2-40B4-BE49-F238E27FC236}">
              <a16:creationId xmlns:a16="http://schemas.microsoft.com/office/drawing/2014/main" id="{9FE7B7F6-D9D2-4556-A3A0-271715BB7E6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98" name="Text Box 1">
          <a:extLst>
            <a:ext uri="{FF2B5EF4-FFF2-40B4-BE49-F238E27FC236}">
              <a16:creationId xmlns:a16="http://schemas.microsoft.com/office/drawing/2014/main" id="{A6436B01-9C94-4B7A-B900-D305BBCD9D4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699" name="Text Box 1">
          <a:extLst>
            <a:ext uri="{FF2B5EF4-FFF2-40B4-BE49-F238E27FC236}">
              <a16:creationId xmlns:a16="http://schemas.microsoft.com/office/drawing/2014/main" id="{E01BE0C8-E257-4684-ACC2-3798845E784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700" name="Text Box 1">
          <a:extLst>
            <a:ext uri="{FF2B5EF4-FFF2-40B4-BE49-F238E27FC236}">
              <a16:creationId xmlns:a16="http://schemas.microsoft.com/office/drawing/2014/main" id="{5A6A707B-B955-4200-AD33-CAFA2E7F613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701" name="Text Box 1">
          <a:extLst>
            <a:ext uri="{FF2B5EF4-FFF2-40B4-BE49-F238E27FC236}">
              <a16:creationId xmlns:a16="http://schemas.microsoft.com/office/drawing/2014/main" id="{B13D802A-9F49-452F-863B-58E985B6C2B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702" name="Text Box 1">
          <a:extLst>
            <a:ext uri="{FF2B5EF4-FFF2-40B4-BE49-F238E27FC236}">
              <a16:creationId xmlns:a16="http://schemas.microsoft.com/office/drawing/2014/main" id="{37AC1683-4DE2-4B12-9674-ED3217B23DB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703" name="Text Box 1">
          <a:extLst>
            <a:ext uri="{FF2B5EF4-FFF2-40B4-BE49-F238E27FC236}">
              <a16:creationId xmlns:a16="http://schemas.microsoft.com/office/drawing/2014/main" id="{C42FC895-BBD1-44CB-94A6-43CBFED1915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704" name="Text Box 1">
          <a:extLst>
            <a:ext uri="{FF2B5EF4-FFF2-40B4-BE49-F238E27FC236}">
              <a16:creationId xmlns:a16="http://schemas.microsoft.com/office/drawing/2014/main" id="{4D048E87-EB15-4237-B2B1-3D76772998F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705" name="Text Box 1">
          <a:extLst>
            <a:ext uri="{FF2B5EF4-FFF2-40B4-BE49-F238E27FC236}">
              <a16:creationId xmlns:a16="http://schemas.microsoft.com/office/drawing/2014/main" id="{5C5000C9-B77B-48CF-92D0-7EBD6720B7D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706" name="Text Box 1">
          <a:extLst>
            <a:ext uri="{FF2B5EF4-FFF2-40B4-BE49-F238E27FC236}">
              <a16:creationId xmlns:a16="http://schemas.microsoft.com/office/drawing/2014/main" id="{0A52B6FC-467B-4FE6-97B8-CE468A36B7B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707" name="Text Box 1">
          <a:extLst>
            <a:ext uri="{FF2B5EF4-FFF2-40B4-BE49-F238E27FC236}">
              <a16:creationId xmlns:a16="http://schemas.microsoft.com/office/drawing/2014/main" id="{BE096FEF-2906-43E9-AD95-6089FE512510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708" name="Text Box 1">
          <a:extLst>
            <a:ext uri="{FF2B5EF4-FFF2-40B4-BE49-F238E27FC236}">
              <a16:creationId xmlns:a16="http://schemas.microsoft.com/office/drawing/2014/main" id="{9CA14F76-D2CC-4338-BE9E-D0E6C800926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709" name="Text Box 1">
          <a:extLst>
            <a:ext uri="{FF2B5EF4-FFF2-40B4-BE49-F238E27FC236}">
              <a16:creationId xmlns:a16="http://schemas.microsoft.com/office/drawing/2014/main" id="{D71B662C-4EFD-4F76-B434-402C3F97FFB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710" name="Text Box 1">
          <a:extLst>
            <a:ext uri="{FF2B5EF4-FFF2-40B4-BE49-F238E27FC236}">
              <a16:creationId xmlns:a16="http://schemas.microsoft.com/office/drawing/2014/main" id="{964D166E-3E58-48F1-81C9-A6776DD9884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711" name="Text Box 1">
          <a:extLst>
            <a:ext uri="{FF2B5EF4-FFF2-40B4-BE49-F238E27FC236}">
              <a16:creationId xmlns:a16="http://schemas.microsoft.com/office/drawing/2014/main" id="{CF3A93DB-818E-4020-921E-F80D96EA60B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712" name="Text Box 1">
          <a:extLst>
            <a:ext uri="{FF2B5EF4-FFF2-40B4-BE49-F238E27FC236}">
              <a16:creationId xmlns:a16="http://schemas.microsoft.com/office/drawing/2014/main" id="{A4494C1F-C049-4C45-8B40-2A4A17F1E08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713" name="Text Box 1">
          <a:extLst>
            <a:ext uri="{FF2B5EF4-FFF2-40B4-BE49-F238E27FC236}">
              <a16:creationId xmlns:a16="http://schemas.microsoft.com/office/drawing/2014/main" id="{3D458AC1-AC62-4A50-B9E2-82B39E025FE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714" name="Text Box 1">
          <a:extLst>
            <a:ext uri="{FF2B5EF4-FFF2-40B4-BE49-F238E27FC236}">
              <a16:creationId xmlns:a16="http://schemas.microsoft.com/office/drawing/2014/main" id="{E502DFA3-535E-4F6B-BD8D-14412B22A04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715" name="Text Box 1">
          <a:extLst>
            <a:ext uri="{FF2B5EF4-FFF2-40B4-BE49-F238E27FC236}">
              <a16:creationId xmlns:a16="http://schemas.microsoft.com/office/drawing/2014/main" id="{E04B3F7C-6E34-4930-85D4-22C52852BF6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716" name="Text Box 1">
          <a:extLst>
            <a:ext uri="{FF2B5EF4-FFF2-40B4-BE49-F238E27FC236}">
              <a16:creationId xmlns:a16="http://schemas.microsoft.com/office/drawing/2014/main" id="{C60A2B0E-0171-49CA-843C-F244B8F6978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717" name="Text Box 1">
          <a:extLst>
            <a:ext uri="{FF2B5EF4-FFF2-40B4-BE49-F238E27FC236}">
              <a16:creationId xmlns:a16="http://schemas.microsoft.com/office/drawing/2014/main" id="{669BBEB1-CE58-494F-B135-86D3F7A9876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718" name="Text Box 1">
          <a:extLst>
            <a:ext uri="{FF2B5EF4-FFF2-40B4-BE49-F238E27FC236}">
              <a16:creationId xmlns:a16="http://schemas.microsoft.com/office/drawing/2014/main" id="{3AF3E980-1CDC-43C6-984A-51C2090D4EC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719" name="Text Box 1">
          <a:extLst>
            <a:ext uri="{FF2B5EF4-FFF2-40B4-BE49-F238E27FC236}">
              <a16:creationId xmlns:a16="http://schemas.microsoft.com/office/drawing/2014/main" id="{D651F3B0-F7C1-4AD4-8D86-92FBD18342A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720" name="Text Box 1">
          <a:extLst>
            <a:ext uri="{FF2B5EF4-FFF2-40B4-BE49-F238E27FC236}">
              <a16:creationId xmlns:a16="http://schemas.microsoft.com/office/drawing/2014/main" id="{D8F290A5-41D8-408F-97A9-DBF4653AFE6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721" name="Text Box 1">
          <a:extLst>
            <a:ext uri="{FF2B5EF4-FFF2-40B4-BE49-F238E27FC236}">
              <a16:creationId xmlns:a16="http://schemas.microsoft.com/office/drawing/2014/main" id="{1DBD3827-05A4-44B1-965B-C06CE80BE5D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722" name="Text Box 1">
          <a:extLst>
            <a:ext uri="{FF2B5EF4-FFF2-40B4-BE49-F238E27FC236}">
              <a16:creationId xmlns:a16="http://schemas.microsoft.com/office/drawing/2014/main" id="{3B12417D-9621-46C8-8DAB-17846BDC536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723" name="Text Box 1">
          <a:extLst>
            <a:ext uri="{FF2B5EF4-FFF2-40B4-BE49-F238E27FC236}">
              <a16:creationId xmlns:a16="http://schemas.microsoft.com/office/drawing/2014/main" id="{8B83DDE3-190F-4C1D-994E-98053C3A065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724" name="Text Box 1">
          <a:extLst>
            <a:ext uri="{FF2B5EF4-FFF2-40B4-BE49-F238E27FC236}">
              <a16:creationId xmlns:a16="http://schemas.microsoft.com/office/drawing/2014/main" id="{25DFE733-6C9C-48A1-AD4F-F66AF16ABD9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725" name="Text Box 1">
          <a:extLst>
            <a:ext uri="{FF2B5EF4-FFF2-40B4-BE49-F238E27FC236}">
              <a16:creationId xmlns:a16="http://schemas.microsoft.com/office/drawing/2014/main" id="{47E85ABB-0D98-4BFB-B054-19589F4FB31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726" name="Text Box 1">
          <a:extLst>
            <a:ext uri="{FF2B5EF4-FFF2-40B4-BE49-F238E27FC236}">
              <a16:creationId xmlns:a16="http://schemas.microsoft.com/office/drawing/2014/main" id="{0DF767CA-EDFD-4A36-9213-3CA5A7FC86B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727" name="Text Box 1">
          <a:extLst>
            <a:ext uri="{FF2B5EF4-FFF2-40B4-BE49-F238E27FC236}">
              <a16:creationId xmlns:a16="http://schemas.microsoft.com/office/drawing/2014/main" id="{1F5C46E7-21DE-4D8B-AF43-A4E6C3E58FE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728" name="Text Box 1">
          <a:extLst>
            <a:ext uri="{FF2B5EF4-FFF2-40B4-BE49-F238E27FC236}">
              <a16:creationId xmlns:a16="http://schemas.microsoft.com/office/drawing/2014/main" id="{CC0A436A-2B4C-451B-B024-23339D33215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729" name="Text Box 1">
          <a:extLst>
            <a:ext uri="{FF2B5EF4-FFF2-40B4-BE49-F238E27FC236}">
              <a16:creationId xmlns:a16="http://schemas.microsoft.com/office/drawing/2014/main" id="{6815F402-525C-424F-B40C-91EA60B9625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730" name="Text Box 1">
          <a:extLst>
            <a:ext uri="{FF2B5EF4-FFF2-40B4-BE49-F238E27FC236}">
              <a16:creationId xmlns:a16="http://schemas.microsoft.com/office/drawing/2014/main" id="{DE203EBC-0458-4FD1-A8B8-D733532BE03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731" name="Text Box 1">
          <a:extLst>
            <a:ext uri="{FF2B5EF4-FFF2-40B4-BE49-F238E27FC236}">
              <a16:creationId xmlns:a16="http://schemas.microsoft.com/office/drawing/2014/main" id="{0FEF914F-9ECB-4E05-AFA1-3049F090B9D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732" name="Text Box 1">
          <a:extLst>
            <a:ext uri="{FF2B5EF4-FFF2-40B4-BE49-F238E27FC236}">
              <a16:creationId xmlns:a16="http://schemas.microsoft.com/office/drawing/2014/main" id="{A35A3C2A-F663-4CF0-BC4C-2203D16BB51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733" name="Text Box 1">
          <a:extLst>
            <a:ext uri="{FF2B5EF4-FFF2-40B4-BE49-F238E27FC236}">
              <a16:creationId xmlns:a16="http://schemas.microsoft.com/office/drawing/2014/main" id="{D6364886-9250-47F3-B689-21CDC2FCEAF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734" name="Text Box 1">
          <a:extLst>
            <a:ext uri="{FF2B5EF4-FFF2-40B4-BE49-F238E27FC236}">
              <a16:creationId xmlns:a16="http://schemas.microsoft.com/office/drawing/2014/main" id="{178BAB34-89D9-4723-8C5D-395B74B8DD2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735" name="Text Box 1">
          <a:extLst>
            <a:ext uri="{FF2B5EF4-FFF2-40B4-BE49-F238E27FC236}">
              <a16:creationId xmlns:a16="http://schemas.microsoft.com/office/drawing/2014/main" id="{CE454270-59BE-4217-A02F-809CE0C774D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736" name="Text Box 1">
          <a:extLst>
            <a:ext uri="{FF2B5EF4-FFF2-40B4-BE49-F238E27FC236}">
              <a16:creationId xmlns:a16="http://schemas.microsoft.com/office/drawing/2014/main" id="{4D79E139-F48B-449E-A1C0-48F61ACCCF1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737" name="Text Box 1">
          <a:extLst>
            <a:ext uri="{FF2B5EF4-FFF2-40B4-BE49-F238E27FC236}">
              <a16:creationId xmlns:a16="http://schemas.microsoft.com/office/drawing/2014/main" id="{94606EF3-13C5-4150-A5DD-E45EB4FE627D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738" name="Text Box 1">
          <a:extLst>
            <a:ext uri="{FF2B5EF4-FFF2-40B4-BE49-F238E27FC236}">
              <a16:creationId xmlns:a16="http://schemas.microsoft.com/office/drawing/2014/main" id="{05C17B6A-BF09-4129-B723-37EA2F2DE6C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739" name="Text Box 1">
          <a:extLst>
            <a:ext uri="{FF2B5EF4-FFF2-40B4-BE49-F238E27FC236}">
              <a16:creationId xmlns:a16="http://schemas.microsoft.com/office/drawing/2014/main" id="{F5F78598-F4E3-4B6E-8994-6005C1CDE91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740" name="Text Box 1">
          <a:extLst>
            <a:ext uri="{FF2B5EF4-FFF2-40B4-BE49-F238E27FC236}">
              <a16:creationId xmlns:a16="http://schemas.microsoft.com/office/drawing/2014/main" id="{84A12ED1-37C8-49A9-88F5-35ADB9DA7B1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741" name="Text Box 1">
          <a:extLst>
            <a:ext uri="{FF2B5EF4-FFF2-40B4-BE49-F238E27FC236}">
              <a16:creationId xmlns:a16="http://schemas.microsoft.com/office/drawing/2014/main" id="{3DB5D7AB-EA6D-4786-961E-26918DAABEB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742" name="Text Box 1">
          <a:extLst>
            <a:ext uri="{FF2B5EF4-FFF2-40B4-BE49-F238E27FC236}">
              <a16:creationId xmlns:a16="http://schemas.microsoft.com/office/drawing/2014/main" id="{5204BBFB-458D-42F7-A40C-0E02762B0E5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743" name="Text Box 1">
          <a:extLst>
            <a:ext uri="{FF2B5EF4-FFF2-40B4-BE49-F238E27FC236}">
              <a16:creationId xmlns:a16="http://schemas.microsoft.com/office/drawing/2014/main" id="{FF471128-B7A9-4595-B2D2-87053BE76DB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744" name="Text Box 1">
          <a:extLst>
            <a:ext uri="{FF2B5EF4-FFF2-40B4-BE49-F238E27FC236}">
              <a16:creationId xmlns:a16="http://schemas.microsoft.com/office/drawing/2014/main" id="{E7992BC2-9307-4B39-9530-00E9C005C99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745" name="Text Box 1">
          <a:extLst>
            <a:ext uri="{FF2B5EF4-FFF2-40B4-BE49-F238E27FC236}">
              <a16:creationId xmlns:a16="http://schemas.microsoft.com/office/drawing/2014/main" id="{2A37677F-10FB-42F9-88BF-828F5C7F620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746" name="Text Box 1">
          <a:extLst>
            <a:ext uri="{FF2B5EF4-FFF2-40B4-BE49-F238E27FC236}">
              <a16:creationId xmlns:a16="http://schemas.microsoft.com/office/drawing/2014/main" id="{2D2C50B5-CE12-4010-BC91-98610329010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747" name="Text Box 1">
          <a:extLst>
            <a:ext uri="{FF2B5EF4-FFF2-40B4-BE49-F238E27FC236}">
              <a16:creationId xmlns:a16="http://schemas.microsoft.com/office/drawing/2014/main" id="{F7D40EBA-A82D-4627-B7B0-B897C1AA2C4F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748" name="Text Box 1">
          <a:extLst>
            <a:ext uri="{FF2B5EF4-FFF2-40B4-BE49-F238E27FC236}">
              <a16:creationId xmlns:a16="http://schemas.microsoft.com/office/drawing/2014/main" id="{23351674-96C0-4B08-B966-96BC88EC0E4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749" name="Text Box 1">
          <a:extLst>
            <a:ext uri="{FF2B5EF4-FFF2-40B4-BE49-F238E27FC236}">
              <a16:creationId xmlns:a16="http://schemas.microsoft.com/office/drawing/2014/main" id="{262539EA-4180-4CDC-96A3-36D3E25F396E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750" name="Text Box 1">
          <a:extLst>
            <a:ext uri="{FF2B5EF4-FFF2-40B4-BE49-F238E27FC236}">
              <a16:creationId xmlns:a16="http://schemas.microsoft.com/office/drawing/2014/main" id="{E2DEFDDE-5F00-4217-9156-5E555494BDB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751" name="Text Box 1">
          <a:extLst>
            <a:ext uri="{FF2B5EF4-FFF2-40B4-BE49-F238E27FC236}">
              <a16:creationId xmlns:a16="http://schemas.microsoft.com/office/drawing/2014/main" id="{7C598E85-C90D-4832-8915-2668F1E59698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752" name="Text Box 1">
          <a:extLst>
            <a:ext uri="{FF2B5EF4-FFF2-40B4-BE49-F238E27FC236}">
              <a16:creationId xmlns:a16="http://schemas.microsoft.com/office/drawing/2014/main" id="{9BA7D2C9-95B6-4B9A-AA73-75B61244905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753" name="Text Box 1">
          <a:extLst>
            <a:ext uri="{FF2B5EF4-FFF2-40B4-BE49-F238E27FC236}">
              <a16:creationId xmlns:a16="http://schemas.microsoft.com/office/drawing/2014/main" id="{A37D3D1F-3A2C-4EBE-ABEF-33F5E27B83D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754" name="Text Box 1">
          <a:extLst>
            <a:ext uri="{FF2B5EF4-FFF2-40B4-BE49-F238E27FC236}">
              <a16:creationId xmlns:a16="http://schemas.microsoft.com/office/drawing/2014/main" id="{E14F246B-15B0-4DEE-8351-AA68372370B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755" name="Text Box 1">
          <a:extLst>
            <a:ext uri="{FF2B5EF4-FFF2-40B4-BE49-F238E27FC236}">
              <a16:creationId xmlns:a16="http://schemas.microsoft.com/office/drawing/2014/main" id="{668B3992-9B7B-49D8-AE3B-4DFFECEEE38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756" name="Text Box 1">
          <a:extLst>
            <a:ext uri="{FF2B5EF4-FFF2-40B4-BE49-F238E27FC236}">
              <a16:creationId xmlns:a16="http://schemas.microsoft.com/office/drawing/2014/main" id="{70CEF074-A8E3-44BC-91F3-DEEA570A3139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757" name="Text Box 1">
          <a:extLst>
            <a:ext uri="{FF2B5EF4-FFF2-40B4-BE49-F238E27FC236}">
              <a16:creationId xmlns:a16="http://schemas.microsoft.com/office/drawing/2014/main" id="{C70F8C82-5EB8-424C-A8B4-45AE0CDA2AF4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758" name="Text Box 1">
          <a:extLst>
            <a:ext uri="{FF2B5EF4-FFF2-40B4-BE49-F238E27FC236}">
              <a16:creationId xmlns:a16="http://schemas.microsoft.com/office/drawing/2014/main" id="{682C1AC3-91F4-4B3F-8D05-62332DC3B7DB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759" name="Text Box 1">
          <a:extLst>
            <a:ext uri="{FF2B5EF4-FFF2-40B4-BE49-F238E27FC236}">
              <a16:creationId xmlns:a16="http://schemas.microsoft.com/office/drawing/2014/main" id="{A23BC7AD-AFD7-4221-B011-E3B8B95C137C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760" name="Text Box 1">
          <a:extLst>
            <a:ext uri="{FF2B5EF4-FFF2-40B4-BE49-F238E27FC236}">
              <a16:creationId xmlns:a16="http://schemas.microsoft.com/office/drawing/2014/main" id="{A9A0064F-894A-4886-A897-5DE55B04D95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761" name="Text Box 1">
          <a:extLst>
            <a:ext uri="{FF2B5EF4-FFF2-40B4-BE49-F238E27FC236}">
              <a16:creationId xmlns:a16="http://schemas.microsoft.com/office/drawing/2014/main" id="{2681D5DD-D6FE-4223-A71C-F52DCEB03F5A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762" name="Text Box 1">
          <a:extLst>
            <a:ext uri="{FF2B5EF4-FFF2-40B4-BE49-F238E27FC236}">
              <a16:creationId xmlns:a16="http://schemas.microsoft.com/office/drawing/2014/main" id="{C3AD7032-BDEB-4D26-8286-7460575B2742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763" name="Text Box 1">
          <a:extLst>
            <a:ext uri="{FF2B5EF4-FFF2-40B4-BE49-F238E27FC236}">
              <a16:creationId xmlns:a16="http://schemas.microsoft.com/office/drawing/2014/main" id="{CDD8E979-1088-403E-BE9F-BDE8E7B8F217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764" name="Text Box 1">
          <a:extLst>
            <a:ext uri="{FF2B5EF4-FFF2-40B4-BE49-F238E27FC236}">
              <a16:creationId xmlns:a16="http://schemas.microsoft.com/office/drawing/2014/main" id="{722DE00D-2302-4DE2-B546-5C772F21B0E6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765" name="Text Box 1">
          <a:extLst>
            <a:ext uri="{FF2B5EF4-FFF2-40B4-BE49-F238E27FC236}">
              <a16:creationId xmlns:a16="http://schemas.microsoft.com/office/drawing/2014/main" id="{0930F5E9-5026-466C-B395-B21B9FE1BF91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766" name="Text Box 1">
          <a:extLst>
            <a:ext uri="{FF2B5EF4-FFF2-40B4-BE49-F238E27FC236}">
              <a16:creationId xmlns:a16="http://schemas.microsoft.com/office/drawing/2014/main" id="{3DC78080-8495-4397-A1B7-E37F5F41E0D5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46</xdr:row>
      <xdr:rowOff>0</xdr:rowOff>
    </xdr:from>
    <xdr:ext cx="247650" cy="85725"/>
    <xdr:sp macro="" textlink="">
      <xdr:nvSpPr>
        <xdr:cNvPr id="12767" name="Text Box 1">
          <a:extLst>
            <a:ext uri="{FF2B5EF4-FFF2-40B4-BE49-F238E27FC236}">
              <a16:creationId xmlns:a16="http://schemas.microsoft.com/office/drawing/2014/main" id="{27E2EC4F-17CB-45C9-AD46-09B325834AC3}"/>
            </a:ext>
          </a:extLst>
        </xdr:cNvPr>
        <xdr:cNvSpPr txBox="1">
          <a:spLocks noChangeArrowheads="1"/>
        </xdr:cNvSpPr>
      </xdr:nvSpPr>
      <xdr:spPr bwMode="auto">
        <a:xfrm>
          <a:off x="26530300" y="10477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565150</xdr:colOff>
      <xdr:row>46</xdr:row>
      <xdr:rowOff>152400</xdr:rowOff>
    </xdr:from>
    <xdr:ext cx="247650" cy="85725"/>
    <xdr:sp macro="" textlink="">
      <xdr:nvSpPr>
        <xdr:cNvPr id="12768" name="Text Box 1">
          <a:extLst>
            <a:ext uri="{FF2B5EF4-FFF2-40B4-BE49-F238E27FC236}">
              <a16:creationId xmlns:a16="http://schemas.microsoft.com/office/drawing/2014/main" id="{C4A31B2D-3045-4708-8525-AD82B26E0BE7}"/>
            </a:ext>
          </a:extLst>
        </xdr:cNvPr>
        <xdr:cNvSpPr txBox="1">
          <a:spLocks noChangeArrowheads="1"/>
        </xdr:cNvSpPr>
      </xdr:nvSpPr>
      <xdr:spPr bwMode="auto">
        <a:xfrm>
          <a:off x="15557500" y="12001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21</xdr:col>
      <xdr:colOff>565150</xdr:colOff>
      <xdr:row>46</xdr:row>
      <xdr:rowOff>152400</xdr:rowOff>
    </xdr:from>
    <xdr:ext cx="247650" cy="85725"/>
    <xdr:sp macro="" textlink="">
      <xdr:nvSpPr>
        <xdr:cNvPr id="12769" name="Text Box 1">
          <a:extLst>
            <a:ext uri="{FF2B5EF4-FFF2-40B4-BE49-F238E27FC236}">
              <a16:creationId xmlns:a16="http://schemas.microsoft.com/office/drawing/2014/main" id="{5CEF4698-B517-40E3-AF4A-AC0A69829CB5}"/>
            </a:ext>
          </a:extLst>
        </xdr:cNvPr>
        <xdr:cNvSpPr txBox="1">
          <a:spLocks noChangeArrowheads="1"/>
        </xdr:cNvSpPr>
      </xdr:nvSpPr>
      <xdr:spPr bwMode="auto">
        <a:xfrm>
          <a:off x="15906750" y="12001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565150</xdr:colOff>
      <xdr:row>46</xdr:row>
      <xdr:rowOff>152400</xdr:rowOff>
    </xdr:from>
    <xdr:ext cx="247650" cy="85725"/>
    <xdr:sp macro="" textlink="">
      <xdr:nvSpPr>
        <xdr:cNvPr id="12770" name="Text Box 1">
          <a:extLst>
            <a:ext uri="{FF2B5EF4-FFF2-40B4-BE49-F238E27FC236}">
              <a16:creationId xmlns:a16="http://schemas.microsoft.com/office/drawing/2014/main" id="{0DDA6E7C-9577-46AC-891E-6D2D61861FB7}"/>
            </a:ext>
          </a:extLst>
        </xdr:cNvPr>
        <xdr:cNvSpPr txBox="1">
          <a:spLocks noChangeArrowheads="1"/>
        </xdr:cNvSpPr>
      </xdr:nvSpPr>
      <xdr:spPr bwMode="auto">
        <a:xfrm>
          <a:off x="17049750" y="12001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24</xdr:col>
      <xdr:colOff>565150</xdr:colOff>
      <xdr:row>46</xdr:row>
      <xdr:rowOff>152400</xdr:rowOff>
    </xdr:from>
    <xdr:ext cx="247650" cy="85725"/>
    <xdr:sp macro="" textlink="">
      <xdr:nvSpPr>
        <xdr:cNvPr id="12771" name="Text Box 1">
          <a:extLst>
            <a:ext uri="{FF2B5EF4-FFF2-40B4-BE49-F238E27FC236}">
              <a16:creationId xmlns:a16="http://schemas.microsoft.com/office/drawing/2014/main" id="{9498A17A-4C31-43D1-972A-F49A764FA723}"/>
            </a:ext>
          </a:extLst>
        </xdr:cNvPr>
        <xdr:cNvSpPr txBox="1">
          <a:spLocks noChangeArrowheads="1"/>
        </xdr:cNvSpPr>
      </xdr:nvSpPr>
      <xdr:spPr bwMode="auto">
        <a:xfrm>
          <a:off x="17614900" y="12001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25</xdr:col>
      <xdr:colOff>565150</xdr:colOff>
      <xdr:row>46</xdr:row>
      <xdr:rowOff>152400</xdr:rowOff>
    </xdr:from>
    <xdr:ext cx="247650" cy="85725"/>
    <xdr:sp macro="" textlink="">
      <xdr:nvSpPr>
        <xdr:cNvPr id="12772" name="Text Box 1">
          <a:extLst>
            <a:ext uri="{FF2B5EF4-FFF2-40B4-BE49-F238E27FC236}">
              <a16:creationId xmlns:a16="http://schemas.microsoft.com/office/drawing/2014/main" id="{DBCA8CC8-C139-418C-B53A-B9C44717C287}"/>
            </a:ext>
          </a:extLst>
        </xdr:cNvPr>
        <xdr:cNvSpPr txBox="1">
          <a:spLocks noChangeArrowheads="1"/>
        </xdr:cNvSpPr>
      </xdr:nvSpPr>
      <xdr:spPr bwMode="auto">
        <a:xfrm>
          <a:off x="18243550" y="12001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26</xdr:col>
      <xdr:colOff>565150</xdr:colOff>
      <xdr:row>46</xdr:row>
      <xdr:rowOff>152400</xdr:rowOff>
    </xdr:from>
    <xdr:ext cx="247650" cy="85725"/>
    <xdr:sp macro="" textlink="">
      <xdr:nvSpPr>
        <xdr:cNvPr id="12773" name="Text Box 1">
          <a:extLst>
            <a:ext uri="{FF2B5EF4-FFF2-40B4-BE49-F238E27FC236}">
              <a16:creationId xmlns:a16="http://schemas.microsoft.com/office/drawing/2014/main" id="{12B74C41-D670-471A-9104-D962D22DD748}"/>
            </a:ext>
          </a:extLst>
        </xdr:cNvPr>
        <xdr:cNvSpPr txBox="1">
          <a:spLocks noChangeArrowheads="1"/>
        </xdr:cNvSpPr>
      </xdr:nvSpPr>
      <xdr:spPr bwMode="auto">
        <a:xfrm>
          <a:off x="18764250" y="12001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565150</xdr:colOff>
      <xdr:row>46</xdr:row>
      <xdr:rowOff>152400</xdr:rowOff>
    </xdr:from>
    <xdr:ext cx="247650" cy="85725"/>
    <xdr:sp macro="" textlink="">
      <xdr:nvSpPr>
        <xdr:cNvPr id="12774" name="Text Box 1">
          <a:extLst>
            <a:ext uri="{FF2B5EF4-FFF2-40B4-BE49-F238E27FC236}">
              <a16:creationId xmlns:a16="http://schemas.microsoft.com/office/drawing/2014/main" id="{7867DA44-B64B-479F-895E-260371D0873F}"/>
            </a:ext>
          </a:extLst>
        </xdr:cNvPr>
        <xdr:cNvSpPr txBox="1">
          <a:spLocks noChangeArrowheads="1"/>
        </xdr:cNvSpPr>
      </xdr:nvSpPr>
      <xdr:spPr bwMode="auto">
        <a:xfrm>
          <a:off x="19304000" y="12001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565150</xdr:colOff>
      <xdr:row>46</xdr:row>
      <xdr:rowOff>152400</xdr:rowOff>
    </xdr:from>
    <xdr:ext cx="247650" cy="85725"/>
    <xdr:sp macro="" textlink="">
      <xdr:nvSpPr>
        <xdr:cNvPr id="12775" name="Text Box 1">
          <a:extLst>
            <a:ext uri="{FF2B5EF4-FFF2-40B4-BE49-F238E27FC236}">
              <a16:creationId xmlns:a16="http://schemas.microsoft.com/office/drawing/2014/main" id="{8584A9F2-4FFC-4ECD-9D12-EC9859967A41}"/>
            </a:ext>
          </a:extLst>
        </xdr:cNvPr>
        <xdr:cNvSpPr txBox="1">
          <a:spLocks noChangeArrowheads="1"/>
        </xdr:cNvSpPr>
      </xdr:nvSpPr>
      <xdr:spPr bwMode="auto">
        <a:xfrm>
          <a:off x="20408900" y="12001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565150</xdr:colOff>
      <xdr:row>46</xdr:row>
      <xdr:rowOff>152400</xdr:rowOff>
    </xdr:from>
    <xdr:ext cx="247650" cy="85725"/>
    <xdr:sp macro="" textlink="">
      <xdr:nvSpPr>
        <xdr:cNvPr id="12776" name="Text Box 1">
          <a:extLst>
            <a:ext uri="{FF2B5EF4-FFF2-40B4-BE49-F238E27FC236}">
              <a16:creationId xmlns:a16="http://schemas.microsoft.com/office/drawing/2014/main" id="{8E513038-35BF-4682-BB1E-023BED8AE899}"/>
            </a:ext>
          </a:extLst>
        </xdr:cNvPr>
        <xdr:cNvSpPr txBox="1">
          <a:spLocks noChangeArrowheads="1"/>
        </xdr:cNvSpPr>
      </xdr:nvSpPr>
      <xdr:spPr bwMode="auto">
        <a:xfrm>
          <a:off x="21062950" y="12001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31</xdr:col>
      <xdr:colOff>565150</xdr:colOff>
      <xdr:row>46</xdr:row>
      <xdr:rowOff>152400</xdr:rowOff>
    </xdr:from>
    <xdr:ext cx="247650" cy="85725"/>
    <xdr:sp macro="" textlink="">
      <xdr:nvSpPr>
        <xdr:cNvPr id="12777" name="Text Box 1">
          <a:extLst>
            <a:ext uri="{FF2B5EF4-FFF2-40B4-BE49-F238E27FC236}">
              <a16:creationId xmlns:a16="http://schemas.microsoft.com/office/drawing/2014/main" id="{3A9B89C6-7441-4AD4-B5D6-BF3AC7E0FEE6}"/>
            </a:ext>
          </a:extLst>
        </xdr:cNvPr>
        <xdr:cNvSpPr txBox="1">
          <a:spLocks noChangeArrowheads="1"/>
        </xdr:cNvSpPr>
      </xdr:nvSpPr>
      <xdr:spPr bwMode="auto">
        <a:xfrm>
          <a:off x="21678900" y="12001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32</xdr:col>
      <xdr:colOff>565150</xdr:colOff>
      <xdr:row>46</xdr:row>
      <xdr:rowOff>152400</xdr:rowOff>
    </xdr:from>
    <xdr:ext cx="247650" cy="85725"/>
    <xdr:sp macro="" textlink="">
      <xdr:nvSpPr>
        <xdr:cNvPr id="12778" name="Text Box 1">
          <a:extLst>
            <a:ext uri="{FF2B5EF4-FFF2-40B4-BE49-F238E27FC236}">
              <a16:creationId xmlns:a16="http://schemas.microsoft.com/office/drawing/2014/main" id="{201D3B2D-829C-48EA-83B9-CB5AC98F7CFA}"/>
            </a:ext>
          </a:extLst>
        </xdr:cNvPr>
        <xdr:cNvSpPr txBox="1">
          <a:spLocks noChangeArrowheads="1"/>
        </xdr:cNvSpPr>
      </xdr:nvSpPr>
      <xdr:spPr bwMode="auto">
        <a:xfrm>
          <a:off x="22332950" y="12001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33</xdr:col>
      <xdr:colOff>565150</xdr:colOff>
      <xdr:row>46</xdr:row>
      <xdr:rowOff>152400</xdr:rowOff>
    </xdr:from>
    <xdr:ext cx="247650" cy="85725"/>
    <xdr:sp macro="" textlink="">
      <xdr:nvSpPr>
        <xdr:cNvPr id="12779" name="Text Box 1">
          <a:extLst>
            <a:ext uri="{FF2B5EF4-FFF2-40B4-BE49-F238E27FC236}">
              <a16:creationId xmlns:a16="http://schemas.microsoft.com/office/drawing/2014/main" id="{C974B9C5-7633-413A-95D0-1CCAB103B9C6}"/>
            </a:ext>
          </a:extLst>
        </xdr:cNvPr>
        <xdr:cNvSpPr txBox="1">
          <a:spLocks noChangeArrowheads="1"/>
        </xdr:cNvSpPr>
      </xdr:nvSpPr>
      <xdr:spPr bwMode="auto">
        <a:xfrm>
          <a:off x="22948900" y="12001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565150</xdr:colOff>
      <xdr:row>46</xdr:row>
      <xdr:rowOff>152400</xdr:rowOff>
    </xdr:from>
    <xdr:ext cx="247650" cy="85725"/>
    <xdr:sp macro="" textlink="">
      <xdr:nvSpPr>
        <xdr:cNvPr id="12780" name="Text Box 1">
          <a:extLst>
            <a:ext uri="{FF2B5EF4-FFF2-40B4-BE49-F238E27FC236}">
              <a16:creationId xmlns:a16="http://schemas.microsoft.com/office/drawing/2014/main" id="{3EBD4686-51AA-4A4B-8A75-08CE9FDB4221}"/>
            </a:ext>
          </a:extLst>
        </xdr:cNvPr>
        <xdr:cNvSpPr txBox="1">
          <a:spLocks noChangeArrowheads="1"/>
        </xdr:cNvSpPr>
      </xdr:nvSpPr>
      <xdr:spPr bwMode="auto">
        <a:xfrm>
          <a:off x="23564850" y="12001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35</xdr:col>
      <xdr:colOff>565150</xdr:colOff>
      <xdr:row>46</xdr:row>
      <xdr:rowOff>152400</xdr:rowOff>
    </xdr:from>
    <xdr:ext cx="247650" cy="85725"/>
    <xdr:sp macro="" textlink="">
      <xdr:nvSpPr>
        <xdr:cNvPr id="12781" name="Text Box 1">
          <a:extLst>
            <a:ext uri="{FF2B5EF4-FFF2-40B4-BE49-F238E27FC236}">
              <a16:creationId xmlns:a16="http://schemas.microsoft.com/office/drawing/2014/main" id="{A7F6ADB1-9053-41D5-B810-7C2389D25CEC}"/>
            </a:ext>
          </a:extLst>
        </xdr:cNvPr>
        <xdr:cNvSpPr txBox="1">
          <a:spLocks noChangeArrowheads="1"/>
        </xdr:cNvSpPr>
      </xdr:nvSpPr>
      <xdr:spPr bwMode="auto">
        <a:xfrm>
          <a:off x="24593550" y="12001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36</xdr:col>
      <xdr:colOff>565150</xdr:colOff>
      <xdr:row>46</xdr:row>
      <xdr:rowOff>152400</xdr:rowOff>
    </xdr:from>
    <xdr:ext cx="247650" cy="85725"/>
    <xdr:sp macro="" textlink="">
      <xdr:nvSpPr>
        <xdr:cNvPr id="12782" name="Text Box 1">
          <a:extLst>
            <a:ext uri="{FF2B5EF4-FFF2-40B4-BE49-F238E27FC236}">
              <a16:creationId xmlns:a16="http://schemas.microsoft.com/office/drawing/2014/main" id="{6AEAA303-2AEB-4094-A872-2E975336231A}"/>
            </a:ext>
          </a:extLst>
        </xdr:cNvPr>
        <xdr:cNvSpPr txBox="1">
          <a:spLocks noChangeArrowheads="1"/>
        </xdr:cNvSpPr>
      </xdr:nvSpPr>
      <xdr:spPr bwMode="auto">
        <a:xfrm>
          <a:off x="25209500" y="12001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565150</xdr:colOff>
      <xdr:row>46</xdr:row>
      <xdr:rowOff>152400</xdr:rowOff>
    </xdr:from>
    <xdr:ext cx="247650" cy="85725"/>
    <xdr:sp macro="" textlink="">
      <xdr:nvSpPr>
        <xdr:cNvPr id="12783" name="Text Box 1">
          <a:extLst>
            <a:ext uri="{FF2B5EF4-FFF2-40B4-BE49-F238E27FC236}">
              <a16:creationId xmlns:a16="http://schemas.microsoft.com/office/drawing/2014/main" id="{2B19B6C4-416E-4B14-AF90-E8138536C7BB}"/>
            </a:ext>
          </a:extLst>
        </xdr:cNvPr>
        <xdr:cNvSpPr txBox="1">
          <a:spLocks noChangeArrowheads="1"/>
        </xdr:cNvSpPr>
      </xdr:nvSpPr>
      <xdr:spPr bwMode="auto">
        <a:xfrm>
          <a:off x="26441400" y="12001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565150</xdr:colOff>
      <xdr:row>46</xdr:row>
      <xdr:rowOff>152400</xdr:rowOff>
    </xdr:from>
    <xdr:ext cx="247650" cy="85725"/>
    <xdr:sp macro="" textlink="">
      <xdr:nvSpPr>
        <xdr:cNvPr id="12784" name="Text Box 1">
          <a:extLst>
            <a:ext uri="{FF2B5EF4-FFF2-40B4-BE49-F238E27FC236}">
              <a16:creationId xmlns:a16="http://schemas.microsoft.com/office/drawing/2014/main" id="{655BE39C-EA83-4F95-AE26-29407254560C}"/>
            </a:ext>
          </a:extLst>
        </xdr:cNvPr>
        <xdr:cNvSpPr txBox="1">
          <a:spLocks noChangeArrowheads="1"/>
        </xdr:cNvSpPr>
      </xdr:nvSpPr>
      <xdr:spPr bwMode="auto">
        <a:xfrm>
          <a:off x="27095450" y="12001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785" name="Text Box 1">
          <a:extLst>
            <a:ext uri="{FF2B5EF4-FFF2-40B4-BE49-F238E27FC236}">
              <a16:creationId xmlns:a16="http://schemas.microsoft.com/office/drawing/2014/main" id="{9289E37B-D53D-4BFF-98D8-2ECCC211C5C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786" name="Text Box 1">
          <a:extLst>
            <a:ext uri="{FF2B5EF4-FFF2-40B4-BE49-F238E27FC236}">
              <a16:creationId xmlns:a16="http://schemas.microsoft.com/office/drawing/2014/main" id="{371D631C-CA64-40E6-AAE8-4B7C0C86DF5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787" name="Text Box 1">
          <a:extLst>
            <a:ext uri="{FF2B5EF4-FFF2-40B4-BE49-F238E27FC236}">
              <a16:creationId xmlns:a16="http://schemas.microsoft.com/office/drawing/2014/main" id="{29218D40-4D3E-4634-88F3-49FDC1C7AC9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788" name="Text Box 1">
          <a:extLst>
            <a:ext uri="{FF2B5EF4-FFF2-40B4-BE49-F238E27FC236}">
              <a16:creationId xmlns:a16="http://schemas.microsoft.com/office/drawing/2014/main" id="{6956A90A-63D4-467D-84C4-0225DDD279D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789" name="Text Box 1">
          <a:extLst>
            <a:ext uri="{FF2B5EF4-FFF2-40B4-BE49-F238E27FC236}">
              <a16:creationId xmlns:a16="http://schemas.microsoft.com/office/drawing/2014/main" id="{DC44B5AD-B6EF-443D-982D-3E0E949C35D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790" name="Text Box 1">
          <a:extLst>
            <a:ext uri="{FF2B5EF4-FFF2-40B4-BE49-F238E27FC236}">
              <a16:creationId xmlns:a16="http://schemas.microsoft.com/office/drawing/2014/main" id="{B11085BF-C08F-4EC5-9845-E63BB6C6670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791" name="Text Box 1">
          <a:extLst>
            <a:ext uri="{FF2B5EF4-FFF2-40B4-BE49-F238E27FC236}">
              <a16:creationId xmlns:a16="http://schemas.microsoft.com/office/drawing/2014/main" id="{C0844440-DA9C-421C-9422-BAC070A7969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792" name="Text Box 1">
          <a:extLst>
            <a:ext uri="{FF2B5EF4-FFF2-40B4-BE49-F238E27FC236}">
              <a16:creationId xmlns:a16="http://schemas.microsoft.com/office/drawing/2014/main" id="{8D760BB4-8672-4C6D-8B51-597AC42841D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793" name="Text Box 1">
          <a:extLst>
            <a:ext uri="{FF2B5EF4-FFF2-40B4-BE49-F238E27FC236}">
              <a16:creationId xmlns:a16="http://schemas.microsoft.com/office/drawing/2014/main" id="{1B6EC3CF-4697-491F-8471-D9F9B8303EE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794" name="Text Box 1">
          <a:extLst>
            <a:ext uri="{FF2B5EF4-FFF2-40B4-BE49-F238E27FC236}">
              <a16:creationId xmlns:a16="http://schemas.microsoft.com/office/drawing/2014/main" id="{F2F504C0-6F96-4C05-82EC-25B5BC05912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795" name="Text Box 1">
          <a:extLst>
            <a:ext uri="{FF2B5EF4-FFF2-40B4-BE49-F238E27FC236}">
              <a16:creationId xmlns:a16="http://schemas.microsoft.com/office/drawing/2014/main" id="{681186FC-AD2A-4553-866C-53731C1658E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796" name="Text Box 1">
          <a:extLst>
            <a:ext uri="{FF2B5EF4-FFF2-40B4-BE49-F238E27FC236}">
              <a16:creationId xmlns:a16="http://schemas.microsoft.com/office/drawing/2014/main" id="{45C45543-2333-4536-AE4A-A2FFFE872E0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797" name="Text Box 1">
          <a:extLst>
            <a:ext uri="{FF2B5EF4-FFF2-40B4-BE49-F238E27FC236}">
              <a16:creationId xmlns:a16="http://schemas.microsoft.com/office/drawing/2014/main" id="{8C5C65DD-E978-4B02-9763-A80CF04A84D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798" name="Text Box 1">
          <a:extLst>
            <a:ext uri="{FF2B5EF4-FFF2-40B4-BE49-F238E27FC236}">
              <a16:creationId xmlns:a16="http://schemas.microsoft.com/office/drawing/2014/main" id="{FCA819CD-5A45-4236-BADA-FB84B126976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799" name="Text Box 1">
          <a:extLst>
            <a:ext uri="{FF2B5EF4-FFF2-40B4-BE49-F238E27FC236}">
              <a16:creationId xmlns:a16="http://schemas.microsoft.com/office/drawing/2014/main" id="{24FEC97B-D8FE-473B-8012-078EB58EE35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00" name="Text Box 1">
          <a:extLst>
            <a:ext uri="{FF2B5EF4-FFF2-40B4-BE49-F238E27FC236}">
              <a16:creationId xmlns:a16="http://schemas.microsoft.com/office/drawing/2014/main" id="{EC0E4431-A062-4065-A88B-F09EDA7BC7A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01" name="Text Box 1">
          <a:extLst>
            <a:ext uri="{FF2B5EF4-FFF2-40B4-BE49-F238E27FC236}">
              <a16:creationId xmlns:a16="http://schemas.microsoft.com/office/drawing/2014/main" id="{3E897FCE-020B-4091-BECD-B0ADAF7D749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02" name="Text Box 1">
          <a:extLst>
            <a:ext uri="{FF2B5EF4-FFF2-40B4-BE49-F238E27FC236}">
              <a16:creationId xmlns:a16="http://schemas.microsoft.com/office/drawing/2014/main" id="{18DC7856-0721-4887-95D7-26990AB2CDE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03" name="Text Box 1">
          <a:extLst>
            <a:ext uri="{FF2B5EF4-FFF2-40B4-BE49-F238E27FC236}">
              <a16:creationId xmlns:a16="http://schemas.microsoft.com/office/drawing/2014/main" id="{105FDB07-9158-44A2-BD83-876E89E9B81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04" name="Text Box 1">
          <a:extLst>
            <a:ext uri="{FF2B5EF4-FFF2-40B4-BE49-F238E27FC236}">
              <a16:creationId xmlns:a16="http://schemas.microsoft.com/office/drawing/2014/main" id="{307DDD3A-8D35-436E-9614-C0BFB2C61D9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05" name="Text Box 1">
          <a:extLst>
            <a:ext uri="{FF2B5EF4-FFF2-40B4-BE49-F238E27FC236}">
              <a16:creationId xmlns:a16="http://schemas.microsoft.com/office/drawing/2014/main" id="{08D9DD12-F17E-44BE-99E7-5165242F160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06" name="Text Box 1">
          <a:extLst>
            <a:ext uri="{FF2B5EF4-FFF2-40B4-BE49-F238E27FC236}">
              <a16:creationId xmlns:a16="http://schemas.microsoft.com/office/drawing/2014/main" id="{90D281C9-0FF3-43C8-B2EA-404A3B8700D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07" name="Text Box 1">
          <a:extLst>
            <a:ext uri="{FF2B5EF4-FFF2-40B4-BE49-F238E27FC236}">
              <a16:creationId xmlns:a16="http://schemas.microsoft.com/office/drawing/2014/main" id="{2BF92CBE-ACB9-4D27-910A-D73FB100012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08" name="Text Box 1">
          <a:extLst>
            <a:ext uri="{FF2B5EF4-FFF2-40B4-BE49-F238E27FC236}">
              <a16:creationId xmlns:a16="http://schemas.microsoft.com/office/drawing/2014/main" id="{E9FFD97D-69F4-4005-983A-45D8C3FF09D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09" name="Text Box 1">
          <a:extLst>
            <a:ext uri="{FF2B5EF4-FFF2-40B4-BE49-F238E27FC236}">
              <a16:creationId xmlns:a16="http://schemas.microsoft.com/office/drawing/2014/main" id="{D91EA8F9-68A9-4944-B363-737717D13E0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10" name="Text Box 1">
          <a:extLst>
            <a:ext uri="{FF2B5EF4-FFF2-40B4-BE49-F238E27FC236}">
              <a16:creationId xmlns:a16="http://schemas.microsoft.com/office/drawing/2014/main" id="{2C07AC95-8A9C-4B17-8D04-3A82C8FA3DE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11" name="Text Box 1">
          <a:extLst>
            <a:ext uri="{FF2B5EF4-FFF2-40B4-BE49-F238E27FC236}">
              <a16:creationId xmlns:a16="http://schemas.microsoft.com/office/drawing/2014/main" id="{7E593A75-6D52-445E-B1C4-91407B9439B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12" name="Text Box 1">
          <a:extLst>
            <a:ext uri="{FF2B5EF4-FFF2-40B4-BE49-F238E27FC236}">
              <a16:creationId xmlns:a16="http://schemas.microsoft.com/office/drawing/2014/main" id="{ED90252F-6C1F-4BDB-A5B0-FB61B7F4279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13" name="Text Box 1">
          <a:extLst>
            <a:ext uri="{FF2B5EF4-FFF2-40B4-BE49-F238E27FC236}">
              <a16:creationId xmlns:a16="http://schemas.microsoft.com/office/drawing/2014/main" id="{7A8CD3F2-47A4-4A53-9971-26C1FCB8F46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14" name="Text Box 1">
          <a:extLst>
            <a:ext uri="{FF2B5EF4-FFF2-40B4-BE49-F238E27FC236}">
              <a16:creationId xmlns:a16="http://schemas.microsoft.com/office/drawing/2014/main" id="{91B22FD8-3030-422E-933F-2FC31B2560B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15" name="Text Box 1">
          <a:extLst>
            <a:ext uri="{FF2B5EF4-FFF2-40B4-BE49-F238E27FC236}">
              <a16:creationId xmlns:a16="http://schemas.microsoft.com/office/drawing/2014/main" id="{C5DC034C-AD7B-4F66-92A6-EB42C317361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16" name="Text Box 1">
          <a:extLst>
            <a:ext uri="{FF2B5EF4-FFF2-40B4-BE49-F238E27FC236}">
              <a16:creationId xmlns:a16="http://schemas.microsoft.com/office/drawing/2014/main" id="{9396B3F6-C7A7-4BBC-ACFC-451306C943C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17" name="Text Box 1">
          <a:extLst>
            <a:ext uri="{FF2B5EF4-FFF2-40B4-BE49-F238E27FC236}">
              <a16:creationId xmlns:a16="http://schemas.microsoft.com/office/drawing/2014/main" id="{83F0DCF4-536A-4BE2-BE29-083A3E588C7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18" name="Text Box 1">
          <a:extLst>
            <a:ext uri="{FF2B5EF4-FFF2-40B4-BE49-F238E27FC236}">
              <a16:creationId xmlns:a16="http://schemas.microsoft.com/office/drawing/2014/main" id="{7ED585C5-8A01-47D5-A539-82B137DADFC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19" name="Text Box 1">
          <a:extLst>
            <a:ext uri="{FF2B5EF4-FFF2-40B4-BE49-F238E27FC236}">
              <a16:creationId xmlns:a16="http://schemas.microsoft.com/office/drawing/2014/main" id="{EC192445-0711-46D8-A6D5-B71EDE80095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20" name="Text Box 1">
          <a:extLst>
            <a:ext uri="{FF2B5EF4-FFF2-40B4-BE49-F238E27FC236}">
              <a16:creationId xmlns:a16="http://schemas.microsoft.com/office/drawing/2014/main" id="{CF3D37E0-2C6D-4249-ADBC-4083DC1873E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21" name="Text Box 1">
          <a:extLst>
            <a:ext uri="{FF2B5EF4-FFF2-40B4-BE49-F238E27FC236}">
              <a16:creationId xmlns:a16="http://schemas.microsoft.com/office/drawing/2014/main" id="{389A3D2F-B26C-4FCF-953F-ABB1BAF8E9B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22" name="Text Box 1">
          <a:extLst>
            <a:ext uri="{FF2B5EF4-FFF2-40B4-BE49-F238E27FC236}">
              <a16:creationId xmlns:a16="http://schemas.microsoft.com/office/drawing/2014/main" id="{888385C4-634E-42A0-B3A7-482A9D749B0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23" name="Text Box 1">
          <a:extLst>
            <a:ext uri="{FF2B5EF4-FFF2-40B4-BE49-F238E27FC236}">
              <a16:creationId xmlns:a16="http://schemas.microsoft.com/office/drawing/2014/main" id="{D7C89141-1793-4E80-B69F-06A8E1076C6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24" name="Text Box 1">
          <a:extLst>
            <a:ext uri="{FF2B5EF4-FFF2-40B4-BE49-F238E27FC236}">
              <a16:creationId xmlns:a16="http://schemas.microsoft.com/office/drawing/2014/main" id="{57B72F6D-E68A-4D92-8493-4ECD311397C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25" name="Text Box 1">
          <a:extLst>
            <a:ext uri="{FF2B5EF4-FFF2-40B4-BE49-F238E27FC236}">
              <a16:creationId xmlns:a16="http://schemas.microsoft.com/office/drawing/2014/main" id="{CC5A57E8-14BC-44D5-B60B-CFEB795687C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26" name="Text Box 1">
          <a:extLst>
            <a:ext uri="{FF2B5EF4-FFF2-40B4-BE49-F238E27FC236}">
              <a16:creationId xmlns:a16="http://schemas.microsoft.com/office/drawing/2014/main" id="{22B798C4-C66D-437F-97A7-163C95F6F54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27" name="Text Box 1">
          <a:extLst>
            <a:ext uri="{FF2B5EF4-FFF2-40B4-BE49-F238E27FC236}">
              <a16:creationId xmlns:a16="http://schemas.microsoft.com/office/drawing/2014/main" id="{66CB525A-ADD5-4485-A861-B1A3E09D281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28" name="Text Box 1">
          <a:extLst>
            <a:ext uri="{FF2B5EF4-FFF2-40B4-BE49-F238E27FC236}">
              <a16:creationId xmlns:a16="http://schemas.microsoft.com/office/drawing/2014/main" id="{F9B88389-9607-4315-A622-FA3ADCB1897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29" name="Text Box 1">
          <a:extLst>
            <a:ext uri="{FF2B5EF4-FFF2-40B4-BE49-F238E27FC236}">
              <a16:creationId xmlns:a16="http://schemas.microsoft.com/office/drawing/2014/main" id="{4D7A83C5-1C3F-446D-9AD7-75435040B83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30" name="Text Box 1">
          <a:extLst>
            <a:ext uri="{FF2B5EF4-FFF2-40B4-BE49-F238E27FC236}">
              <a16:creationId xmlns:a16="http://schemas.microsoft.com/office/drawing/2014/main" id="{F23F4206-847E-4D4C-906B-207D94E4DB4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31" name="Text Box 1">
          <a:extLst>
            <a:ext uri="{FF2B5EF4-FFF2-40B4-BE49-F238E27FC236}">
              <a16:creationId xmlns:a16="http://schemas.microsoft.com/office/drawing/2014/main" id="{AD682B81-277A-436E-BECC-CDCF2049A47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32" name="Text Box 1">
          <a:extLst>
            <a:ext uri="{FF2B5EF4-FFF2-40B4-BE49-F238E27FC236}">
              <a16:creationId xmlns:a16="http://schemas.microsoft.com/office/drawing/2014/main" id="{12447AC6-8859-4886-A590-9A8E33D770F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33" name="Text Box 1">
          <a:extLst>
            <a:ext uri="{FF2B5EF4-FFF2-40B4-BE49-F238E27FC236}">
              <a16:creationId xmlns:a16="http://schemas.microsoft.com/office/drawing/2014/main" id="{6BEF5C2E-DDA9-4533-B0DA-93FF79395F9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34" name="Text Box 1">
          <a:extLst>
            <a:ext uri="{FF2B5EF4-FFF2-40B4-BE49-F238E27FC236}">
              <a16:creationId xmlns:a16="http://schemas.microsoft.com/office/drawing/2014/main" id="{4E05B27F-8A61-4FC7-8EA7-CB6033495CD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35" name="Text Box 1">
          <a:extLst>
            <a:ext uri="{FF2B5EF4-FFF2-40B4-BE49-F238E27FC236}">
              <a16:creationId xmlns:a16="http://schemas.microsoft.com/office/drawing/2014/main" id="{A95CF88C-032E-4742-9C33-22F88CB53FB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36" name="Text Box 1">
          <a:extLst>
            <a:ext uri="{FF2B5EF4-FFF2-40B4-BE49-F238E27FC236}">
              <a16:creationId xmlns:a16="http://schemas.microsoft.com/office/drawing/2014/main" id="{859710A7-BA86-437D-8DFC-6139962AD81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37" name="Text Box 1">
          <a:extLst>
            <a:ext uri="{FF2B5EF4-FFF2-40B4-BE49-F238E27FC236}">
              <a16:creationId xmlns:a16="http://schemas.microsoft.com/office/drawing/2014/main" id="{63796794-C0A4-4BD7-9028-B708FB6A45A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38" name="Text Box 1">
          <a:extLst>
            <a:ext uri="{FF2B5EF4-FFF2-40B4-BE49-F238E27FC236}">
              <a16:creationId xmlns:a16="http://schemas.microsoft.com/office/drawing/2014/main" id="{2519E121-6E2A-4AD8-98D1-0ECC402384A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39" name="Text Box 1">
          <a:extLst>
            <a:ext uri="{FF2B5EF4-FFF2-40B4-BE49-F238E27FC236}">
              <a16:creationId xmlns:a16="http://schemas.microsoft.com/office/drawing/2014/main" id="{0A877BF7-C435-4B53-A064-1120AA58E85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40" name="Text Box 1">
          <a:extLst>
            <a:ext uri="{FF2B5EF4-FFF2-40B4-BE49-F238E27FC236}">
              <a16:creationId xmlns:a16="http://schemas.microsoft.com/office/drawing/2014/main" id="{3331C1AC-1E00-43D7-80F2-25887013597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41" name="Text Box 1">
          <a:extLst>
            <a:ext uri="{FF2B5EF4-FFF2-40B4-BE49-F238E27FC236}">
              <a16:creationId xmlns:a16="http://schemas.microsoft.com/office/drawing/2014/main" id="{0FDF26FB-69B8-4755-97A3-793D5AF166C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42" name="Text Box 1">
          <a:extLst>
            <a:ext uri="{FF2B5EF4-FFF2-40B4-BE49-F238E27FC236}">
              <a16:creationId xmlns:a16="http://schemas.microsoft.com/office/drawing/2014/main" id="{A0D6A8FD-C498-4D72-B125-263DE6521B9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43" name="Text Box 1">
          <a:extLst>
            <a:ext uri="{FF2B5EF4-FFF2-40B4-BE49-F238E27FC236}">
              <a16:creationId xmlns:a16="http://schemas.microsoft.com/office/drawing/2014/main" id="{890DE379-9E7E-46D1-BED9-C36DD3BDC59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44" name="Text Box 1">
          <a:extLst>
            <a:ext uri="{FF2B5EF4-FFF2-40B4-BE49-F238E27FC236}">
              <a16:creationId xmlns:a16="http://schemas.microsoft.com/office/drawing/2014/main" id="{B19E71D2-316E-46F7-A809-BDE0EF0562E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45" name="Text Box 1">
          <a:extLst>
            <a:ext uri="{FF2B5EF4-FFF2-40B4-BE49-F238E27FC236}">
              <a16:creationId xmlns:a16="http://schemas.microsoft.com/office/drawing/2014/main" id="{C8155E5A-8AA5-45EE-9BEF-C4247FE17B8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46" name="Text Box 1">
          <a:extLst>
            <a:ext uri="{FF2B5EF4-FFF2-40B4-BE49-F238E27FC236}">
              <a16:creationId xmlns:a16="http://schemas.microsoft.com/office/drawing/2014/main" id="{D44B2724-8A1A-466D-B11B-1DBE5D01EE4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47" name="Text Box 1">
          <a:extLst>
            <a:ext uri="{FF2B5EF4-FFF2-40B4-BE49-F238E27FC236}">
              <a16:creationId xmlns:a16="http://schemas.microsoft.com/office/drawing/2014/main" id="{2DAD0854-A686-4C85-AF4C-37933C73CD1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48" name="Text Box 1">
          <a:extLst>
            <a:ext uri="{FF2B5EF4-FFF2-40B4-BE49-F238E27FC236}">
              <a16:creationId xmlns:a16="http://schemas.microsoft.com/office/drawing/2014/main" id="{0CC1C8F6-B453-461D-BF9D-3B1DDF3E05F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49" name="Text Box 1">
          <a:extLst>
            <a:ext uri="{FF2B5EF4-FFF2-40B4-BE49-F238E27FC236}">
              <a16:creationId xmlns:a16="http://schemas.microsoft.com/office/drawing/2014/main" id="{7FF7F64B-C247-4502-9D5D-018E6AA88A4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50" name="Text Box 1">
          <a:extLst>
            <a:ext uri="{FF2B5EF4-FFF2-40B4-BE49-F238E27FC236}">
              <a16:creationId xmlns:a16="http://schemas.microsoft.com/office/drawing/2014/main" id="{7984060C-9087-4D27-9B8D-BC07679F4CC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51" name="Text Box 1">
          <a:extLst>
            <a:ext uri="{FF2B5EF4-FFF2-40B4-BE49-F238E27FC236}">
              <a16:creationId xmlns:a16="http://schemas.microsoft.com/office/drawing/2014/main" id="{B4526C3A-DA77-43F5-82EA-3DB1E35A425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52" name="Text Box 1">
          <a:extLst>
            <a:ext uri="{FF2B5EF4-FFF2-40B4-BE49-F238E27FC236}">
              <a16:creationId xmlns:a16="http://schemas.microsoft.com/office/drawing/2014/main" id="{427D174A-8E6A-4ADF-9B87-99463718BE3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53" name="Text Box 1">
          <a:extLst>
            <a:ext uri="{FF2B5EF4-FFF2-40B4-BE49-F238E27FC236}">
              <a16:creationId xmlns:a16="http://schemas.microsoft.com/office/drawing/2014/main" id="{11EAD488-E592-4254-91C9-2B36870518B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54" name="Text Box 1">
          <a:extLst>
            <a:ext uri="{FF2B5EF4-FFF2-40B4-BE49-F238E27FC236}">
              <a16:creationId xmlns:a16="http://schemas.microsoft.com/office/drawing/2014/main" id="{965B94EE-4DFA-4E78-A8EF-6C8457F8E87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55" name="Text Box 1">
          <a:extLst>
            <a:ext uri="{FF2B5EF4-FFF2-40B4-BE49-F238E27FC236}">
              <a16:creationId xmlns:a16="http://schemas.microsoft.com/office/drawing/2014/main" id="{74AA61D6-B2E1-4CB2-950D-76E965A412B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56" name="Text Box 1">
          <a:extLst>
            <a:ext uri="{FF2B5EF4-FFF2-40B4-BE49-F238E27FC236}">
              <a16:creationId xmlns:a16="http://schemas.microsoft.com/office/drawing/2014/main" id="{33BCDDC8-FBAC-4C98-BED7-1CEB1518F15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57" name="Text Box 1">
          <a:extLst>
            <a:ext uri="{FF2B5EF4-FFF2-40B4-BE49-F238E27FC236}">
              <a16:creationId xmlns:a16="http://schemas.microsoft.com/office/drawing/2014/main" id="{2BF6A1BF-6D74-4583-9A44-6EA3004C70E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58" name="Text Box 1">
          <a:extLst>
            <a:ext uri="{FF2B5EF4-FFF2-40B4-BE49-F238E27FC236}">
              <a16:creationId xmlns:a16="http://schemas.microsoft.com/office/drawing/2014/main" id="{3193413C-B3DA-404D-B10E-2322231ABB3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59" name="Text Box 1">
          <a:extLst>
            <a:ext uri="{FF2B5EF4-FFF2-40B4-BE49-F238E27FC236}">
              <a16:creationId xmlns:a16="http://schemas.microsoft.com/office/drawing/2014/main" id="{B365BCDF-1D03-480A-9DB3-34D27E9BB53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60" name="Text Box 1">
          <a:extLst>
            <a:ext uri="{FF2B5EF4-FFF2-40B4-BE49-F238E27FC236}">
              <a16:creationId xmlns:a16="http://schemas.microsoft.com/office/drawing/2014/main" id="{BC485DEE-926D-49C3-A96B-B2A71CB71E6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61" name="Text Box 1">
          <a:extLst>
            <a:ext uri="{FF2B5EF4-FFF2-40B4-BE49-F238E27FC236}">
              <a16:creationId xmlns:a16="http://schemas.microsoft.com/office/drawing/2014/main" id="{3B3B4C02-59C0-4957-8BBC-B8A63ADC3E0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62" name="Text Box 1">
          <a:extLst>
            <a:ext uri="{FF2B5EF4-FFF2-40B4-BE49-F238E27FC236}">
              <a16:creationId xmlns:a16="http://schemas.microsoft.com/office/drawing/2014/main" id="{1FD01FC5-8EAA-477C-9F7D-D5FE603478F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63" name="Text Box 1">
          <a:extLst>
            <a:ext uri="{FF2B5EF4-FFF2-40B4-BE49-F238E27FC236}">
              <a16:creationId xmlns:a16="http://schemas.microsoft.com/office/drawing/2014/main" id="{8F63F188-A0BD-4CC1-8BEE-B7B28C10769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64" name="Text Box 1">
          <a:extLst>
            <a:ext uri="{FF2B5EF4-FFF2-40B4-BE49-F238E27FC236}">
              <a16:creationId xmlns:a16="http://schemas.microsoft.com/office/drawing/2014/main" id="{E54F8918-F7A0-4498-9B04-8AE38633166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65" name="Text Box 1">
          <a:extLst>
            <a:ext uri="{FF2B5EF4-FFF2-40B4-BE49-F238E27FC236}">
              <a16:creationId xmlns:a16="http://schemas.microsoft.com/office/drawing/2014/main" id="{26EDF2EC-38F3-4B71-915C-06B77D78A74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66" name="Text Box 1">
          <a:extLst>
            <a:ext uri="{FF2B5EF4-FFF2-40B4-BE49-F238E27FC236}">
              <a16:creationId xmlns:a16="http://schemas.microsoft.com/office/drawing/2014/main" id="{1E9B0EB9-9AD3-4E01-A329-352E40E3CFF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67" name="Text Box 1">
          <a:extLst>
            <a:ext uri="{FF2B5EF4-FFF2-40B4-BE49-F238E27FC236}">
              <a16:creationId xmlns:a16="http://schemas.microsoft.com/office/drawing/2014/main" id="{33E4DB69-BECD-4413-A083-F80BC56E1E4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68" name="Text Box 1">
          <a:extLst>
            <a:ext uri="{FF2B5EF4-FFF2-40B4-BE49-F238E27FC236}">
              <a16:creationId xmlns:a16="http://schemas.microsoft.com/office/drawing/2014/main" id="{A13AAACE-63AF-4415-A488-5A13E3DEBB1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69" name="Text Box 1">
          <a:extLst>
            <a:ext uri="{FF2B5EF4-FFF2-40B4-BE49-F238E27FC236}">
              <a16:creationId xmlns:a16="http://schemas.microsoft.com/office/drawing/2014/main" id="{7256A577-8726-426A-85AA-C411E4666C4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70" name="Text Box 1">
          <a:extLst>
            <a:ext uri="{FF2B5EF4-FFF2-40B4-BE49-F238E27FC236}">
              <a16:creationId xmlns:a16="http://schemas.microsoft.com/office/drawing/2014/main" id="{76A52D70-27A1-4E60-9801-E2A987644C3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71" name="Text Box 1">
          <a:extLst>
            <a:ext uri="{FF2B5EF4-FFF2-40B4-BE49-F238E27FC236}">
              <a16:creationId xmlns:a16="http://schemas.microsoft.com/office/drawing/2014/main" id="{58AA9B8E-4274-4CFD-92DE-D51C6BF19A4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72" name="Text Box 1">
          <a:extLst>
            <a:ext uri="{FF2B5EF4-FFF2-40B4-BE49-F238E27FC236}">
              <a16:creationId xmlns:a16="http://schemas.microsoft.com/office/drawing/2014/main" id="{2D782ED2-47CD-4106-83A3-DCF6E50A3EE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73" name="Text Box 1">
          <a:extLst>
            <a:ext uri="{FF2B5EF4-FFF2-40B4-BE49-F238E27FC236}">
              <a16:creationId xmlns:a16="http://schemas.microsoft.com/office/drawing/2014/main" id="{47840C47-712B-4ACD-B3D2-E8B9E98AAC9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74" name="Text Box 1">
          <a:extLst>
            <a:ext uri="{FF2B5EF4-FFF2-40B4-BE49-F238E27FC236}">
              <a16:creationId xmlns:a16="http://schemas.microsoft.com/office/drawing/2014/main" id="{75218423-3A98-4637-A79A-E88CB2E0050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75" name="Text Box 1">
          <a:extLst>
            <a:ext uri="{FF2B5EF4-FFF2-40B4-BE49-F238E27FC236}">
              <a16:creationId xmlns:a16="http://schemas.microsoft.com/office/drawing/2014/main" id="{3B4A9D4B-052F-4655-9A7E-6FE59269870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76" name="Text Box 1">
          <a:extLst>
            <a:ext uri="{FF2B5EF4-FFF2-40B4-BE49-F238E27FC236}">
              <a16:creationId xmlns:a16="http://schemas.microsoft.com/office/drawing/2014/main" id="{AEEA3779-DEE7-4EC4-A144-482B2507414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77" name="Text Box 1">
          <a:extLst>
            <a:ext uri="{FF2B5EF4-FFF2-40B4-BE49-F238E27FC236}">
              <a16:creationId xmlns:a16="http://schemas.microsoft.com/office/drawing/2014/main" id="{9FE801BD-B958-4CB5-92AD-8540AC72792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78" name="Text Box 1">
          <a:extLst>
            <a:ext uri="{FF2B5EF4-FFF2-40B4-BE49-F238E27FC236}">
              <a16:creationId xmlns:a16="http://schemas.microsoft.com/office/drawing/2014/main" id="{21300877-48CF-4C4D-A354-89AB4D9178B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79" name="Text Box 1">
          <a:extLst>
            <a:ext uri="{FF2B5EF4-FFF2-40B4-BE49-F238E27FC236}">
              <a16:creationId xmlns:a16="http://schemas.microsoft.com/office/drawing/2014/main" id="{21F7A380-3C10-42D1-89AC-BBBB365BFED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80" name="Text Box 1">
          <a:extLst>
            <a:ext uri="{FF2B5EF4-FFF2-40B4-BE49-F238E27FC236}">
              <a16:creationId xmlns:a16="http://schemas.microsoft.com/office/drawing/2014/main" id="{59B3DB7C-C337-4D44-8E86-C1CD5C41C07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81" name="Text Box 1">
          <a:extLst>
            <a:ext uri="{FF2B5EF4-FFF2-40B4-BE49-F238E27FC236}">
              <a16:creationId xmlns:a16="http://schemas.microsoft.com/office/drawing/2014/main" id="{EB673DFF-869D-4C75-AF43-9CC191A1086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82" name="Text Box 1">
          <a:extLst>
            <a:ext uri="{FF2B5EF4-FFF2-40B4-BE49-F238E27FC236}">
              <a16:creationId xmlns:a16="http://schemas.microsoft.com/office/drawing/2014/main" id="{404D7E96-0679-4C24-91C8-14BC5286851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83" name="Text Box 1">
          <a:extLst>
            <a:ext uri="{FF2B5EF4-FFF2-40B4-BE49-F238E27FC236}">
              <a16:creationId xmlns:a16="http://schemas.microsoft.com/office/drawing/2014/main" id="{19E90B91-4E72-40D3-AB5F-416FE86DD03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84" name="Text Box 1">
          <a:extLst>
            <a:ext uri="{FF2B5EF4-FFF2-40B4-BE49-F238E27FC236}">
              <a16:creationId xmlns:a16="http://schemas.microsoft.com/office/drawing/2014/main" id="{39D7F6E8-169B-447D-AA2B-0CB192D8226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85" name="Text Box 1">
          <a:extLst>
            <a:ext uri="{FF2B5EF4-FFF2-40B4-BE49-F238E27FC236}">
              <a16:creationId xmlns:a16="http://schemas.microsoft.com/office/drawing/2014/main" id="{3F0819C7-0852-4A94-BEED-F882BF92F70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86" name="Text Box 1">
          <a:extLst>
            <a:ext uri="{FF2B5EF4-FFF2-40B4-BE49-F238E27FC236}">
              <a16:creationId xmlns:a16="http://schemas.microsoft.com/office/drawing/2014/main" id="{C0695CBC-346B-4559-BDD4-D4B410AD811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87" name="Text Box 1">
          <a:extLst>
            <a:ext uri="{FF2B5EF4-FFF2-40B4-BE49-F238E27FC236}">
              <a16:creationId xmlns:a16="http://schemas.microsoft.com/office/drawing/2014/main" id="{5C7DE513-C193-4B5B-83AC-21BBBB2D00F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88" name="Text Box 1">
          <a:extLst>
            <a:ext uri="{FF2B5EF4-FFF2-40B4-BE49-F238E27FC236}">
              <a16:creationId xmlns:a16="http://schemas.microsoft.com/office/drawing/2014/main" id="{4FF78BAA-8296-4357-8AD5-5FAE3E99EB9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89" name="Text Box 1">
          <a:extLst>
            <a:ext uri="{FF2B5EF4-FFF2-40B4-BE49-F238E27FC236}">
              <a16:creationId xmlns:a16="http://schemas.microsoft.com/office/drawing/2014/main" id="{F7250119-0504-4FE5-8D21-484EFF0FE6E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90" name="Text Box 1">
          <a:extLst>
            <a:ext uri="{FF2B5EF4-FFF2-40B4-BE49-F238E27FC236}">
              <a16:creationId xmlns:a16="http://schemas.microsoft.com/office/drawing/2014/main" id="{62BF917B-F814-4563-8A53-EEF80673B3C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91" name="Text Box 1">
          <a:extLst>
            <a:ext uri="{FF2B5EF4-FFF2-40B4-BE49-F238E27FC236}">
              <a16:creationId xmlns:a16="http://schemas.microsoft.com/office/drawing/2014/main" id="{370FEA88-6905-449D-A2A9-A5BD3BEA09D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92" name="Text Box 1">
          <a:extLst>
            <a:ext uri="{FF2B5EF4-FFF2-40B4-BE49-F238E27FC236}">
              <a16:creationId xmlns:a16="http://schemas.microsoft.com/office/drawing/2014/main" id="{A8F9778F-8CF8-411F-84C0-0D647A74187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93" name="Text Box 1">
          <a:extLst>
            <a:ext uri="{FF2B5EF4-FFF2-40B4-BE49-F238E27FC236}">
              <a16:creationId xmlns:a16="http://schemas.microsoft.com/office/drawing/2014/main" id="{18DFC35A-FD45-4B16-96B7-092EB65F2A8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94" name="Text Box 1">
          <a:extLst>
            <a:ext uri="{FF2B5EF4-FFF2-40B4-BE49-F238E27FC236}">
              <a16:creationId xmlns:a16="http://schemas.microsoft.com/office/drawing/2014/main" id="{C483AA92-AD4B-431B-AED3-0BC758D54F3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95" name="Text Box 1">
          <a:extLst>
            <a:ext uri="{FF2B5EF4-FFF2-40B4-BE49-F238E27FC236}">
              <a16:creationId xmlns:a16="http://schemas.microsoft.com/office/drawing/2014/main" id="{E9B29E47-004D-4581-B68E-504FB0EC6A6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96" name="Text Box 1">
          <a:extLst>
            <a:ext uri="{FF2B5EF4-FFF2-40B4-BE49-F238E27FC236}">
              <a16:creationId xmlns:a16="http://schemas.microsoft.com/office/drawing/2014/main" id="{B2673090-3BA8-4242-8517-F80BB6F3832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97" name="Text Box 1">
          <a:extLst>
            <a:ext uri="{FF2B5EF4-FFF2-40B4-BE49-F238E27FC236}">
              <a16:creationId xmlns:a16="http://schemas.microsoft.com/office/drawing/2014/main" id="{5D4070E7-A7CF-4C34-803D-4221BAD6372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98" name="Text Box 1">
          <a:extLst>
            <a:ext uri="{FF2B5EF4-FFF2-40B4-BE49-F238E27FC236}">
              <a16:creationId xmlns:a16="http://schemas.microsoft.com/office/drawing/2014/main" id="{6CA15FA9-D619-4E62-BDD4-E9F81287C68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899" name="Text Box 1">
          <a:extLst>
            <a:ext uri="{FF2B5EF4-FFF2-40B4-BE49-F238E27FC236}">
              <a16:creationId xmlns:a16="http://schemas.microsoft.com/office/drawing/2014/main" id="{409F1617-1ACE-4475-9F0A-73C2D094905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00" name="Text Box 1">
          <a:extLst>
            <a:ext uri="{FF2B5EF4-FFF2-40B4-BE49-F238E27FC236}">
              <a16:creationId xmlns:a16="http://schemas.microsoft.com/office/drawing/2014/main" id="{1F7B306C-3B64-4071-9B47-80A8CAE7D43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01" name="Text Box 1">
          <a:extLst>
            <a:ext uri="{FF2B5EF4-FFF2-40B4-BE49-F238E27FC236}">
              <a16:creationId xmlns:a16="http://schemas.microsoft.com/office/drawing/2014/main" id="{9A887526-EC88-4287-AD22-A7E598B6638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02" name="Text Box 1">
          <a:extLst>
            <a:ext uri="{FF2B5EF4-FFF2-40B4-BE49-F238E27FC236}">
              <a16:creationId xmlns:a16="http://schemas.microsoft.com/office/drawing/2014/main" id="{5406060F-4EDC-4FF8-8585-D381C1CF759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03" name="Text Box 1">
          <a:extLst>
            <a:ext uri="{FF2B5EF4-FFF2-40B4-BE49-F238E27FC236}">
              <a16:creationId xmlns:a16="http://schemas.microsoft.com/office/drawing/2014/main" id="{686C07F7-5C5D-4A19-B4D4-50A8743FC09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04" name="Text Box 1">
          <a:extLst>
            <a:ext uri="{FF2B5EF4-FFF2-40B4-BE49-F238E27FC236}">
              <a16:creationId xmlns:a16="http://schemas.microsoft.com/office/drawing/2014/main" id="{20E7FA3D-4952-4DA8-A67B-8B794AAE704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05" name="Text Box 1">
          <a:extLst>
            <a:ext uri="{FF2B5EF4-FFF2-40B4-BE49-F238E27FC236}">
              <a16:creationId xmlns:a16="http://schemas.microsoft.com/office/drawing/2014/main" id="{306A9A03-D481-454C-8973-3B7AE3DC46E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06" name="Text Box 1">
          <a:extLst>
            <a:ext uri="{FF2B5EF4-FFF2-40B4-BE49-F238E27FC236}">
              <a16:creationId xmlns:a16="http://schemas.microsoft.com/office/drawing/2014/main" id="{265E8AA0-A86D-46F5-B6A1-C65BC07FCDE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07" name="Text Box 1">
          <a:extLst>
            <a:ext uri="{FF2B5EF4-FFF2-40B4-BE49-F238E27FC236}">
              <a16:creationId xmlns:a16="http://schemas.microsoft.com/office/drawing/2014/main" id="{EA656D6F-7C2C-4B36-B4E7-7C5202847E0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08" name="Text Box 1">
          <a:extLst>
            <a:ext uri="{FF2B5EF4-FFF2-40B4-BE49-F238E27FC236}">
              <a16:creationId xmlns:a16="http://schemas.microsoft.com/office/drawing/2014/main" id="{806C8BE1-662A-4ED0-97DE-5A6BE5A817C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09" name="Text Box 1">
          <a:extLst>
            <a:ext uri="{FF2B5EF4-FFF2-40B4-BE49-F238E27FC236}">
              <a16:creationId xmlns:a16="http://schemas.microsoft.com/office/drawing/2014/main" id="{426CDD2D-9B57-45AA-BF06-4B8CE1D7C7B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10" name="Text Box 1">
          <a:extLst>
            <a:ext uri="{FF2B5EF4-FFF2-40B4-BE49-F238E27FC236}">
              <a16:creationId xmlns:a16="http://schemas.microsoft.com/office/drawing/2014/main" id="{B290EF3E-FEBF-4426-B249-4FB3C970C93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11" name="Text Box 1">
          <a:extLst>
            <a:ext uri="{FF2B5EF4-FFF2-40B4-BE49-F238E27FC236}">
              <a16:creationId xmlns:a16="http://schemas.microsoft.com/office/drawing/2014/main" id="{749D7E8D-D284-4396-A453-ABD45A762EA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12" name="Text Box 1">
          <a:extLst>
            <a:ext uri="{FF2B5EF4-FFF2-40B4-BE49-F238E27FC236}">
              <a16:creationId xmlns:a16="http://schemas.microsoft.com/office/drawing/2014/main" id="{A4440554-7CE1-4399-8313-3658EEFE2BB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13" name="Text Box 1">
          <a:extLst>
            <a:ext uri="{FF2B5EF4-FFF2-40B4-BE49-F238E27FC236}">
              <a16:creationId xmlns:a16="http://schemas.microsoft.com/office/drawing/2014/main" id="{CB908137-C70C-4645-AC7C-A34EE00FBF2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14" name="Text Box 1">
          <a:extLst>
            <a:ext uri="{FF2B5EF4-FFF2-40B4-BE49-F238E27FC236}">
              <a16:creationId xmlns:a16="http://schemas.microsoft.com/office/drawing/2014/main" id="{5C02FE2C-B43A-40E0-AD1E-98060DA3BD6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15" name="Text Box 1">
          <a:extLst>
            <a:ext uri="{FF2B5EF4-FFF2-40B4-BE49-F238E27FC236}">
              <a16:creationId xmlns:a16="http://schemas.microsoft.com/office/drawing/2014/main" id="{1D236BD3-515F-4F20-9962-1224689BF69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16" name="Text Box 1">
          <a:extLst>
            <a:ext uri="{FF2B5EF4-FFF2-40B4-BE49-F238E27FC236}">
              <a16:creationId xmlns:a16="http://schemas.microsoft.com/office/drawing/2014/main" id="{4F27389C-8524-43B0-8B82-21DC97B78A5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17" name="Text Box 1">
          <a:extLst>
            <a:ext uri="{FF2B5EF4-FFF2-40B4-BE49-F238E27FC236}">
              <a16:creationId xmlns:a16="http://schemas.microsoft.com/office/drawing/2014/main" id="{16941499-7413-46B6-AA1F-5FCDD5F4BD2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18" name="Text Box 1">
          <a:extLst>
            <a:ext uri="{FF2B5EF4-FFF2-40B4-BE49-F238E27FC236}">
              <a16:creationId xmlns:a16="http://schemas.microsoft.com/office/drawing/2014/main" id="{507552ED-31FC-4472-A3FA-4EC64153784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19" name="Text Box 1">
          <a:extLst>
            <a:ext uri="{FF2B5EF4-FFF2-40B4-BE49-F238E27FC236}">
              <a16:creationId xmlns:a16="http://schemas.microsoft.com/office/drawing/2014/main" id="{BFE5262E-3DE4-4FFA-82BB-C8C574EEB7C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20" name="Text Box 1">
          <a:extLst>
            <a:ext uri="{FF2B5EF4-FFF2-40B4-BE49-F238E27FC236}">
              <a16:creationId xmlns:a16="http://schemas.microsoft.com/office/drawing/2014/main" id="{1EC1D4EB-D2F5-45A3-9068-48309E3B37B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21" name="Text Box 1">
          <a:extLst>
            <a:ext uri="{FF2B5EF4-FFF2-40B4-BE49-F238E27FC236}">
              <a16:creationId xmlns:a16="http://schemas.microsoft.com/office/drawing/2014/main" id="{20EA665B-AC68-448C-9DFB-9AC387554FE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22" name="Text Box 1">
          <a:extLst>
            <a:ext uri="{FF2B5EF4-FFF2-40B4-BE49-F238E27FC236}">
              <a16:creationId xmlns:a16="http://schemas.microsoft.com/office/drawing/2014/main" id="{7E25F7BA-36CC-46FC-A7C6-BF7214EABA6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23" name="Text Box 1">
          <a:extLst>
            <a:ext uri="{FF2B5EF4-FFF2-40B4-BE49-F238E27FC236}">
              <a16:creationId xmlns:a16="http://schemas.microsoft.com/office/drawing/2014/main" id="{1F073BE3-963F-4574-AC79-BFDE944544A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24" name="Text Box 1">
          <a:extLst>
            <a:ext uri="{FF2B5EF4-FFF2-40B4-BE49-F238E27FC236}">
              <a16:creationId xmlns:a16="http://schemas.microsoft.com/office/drawing/2014/main" id="{6AEDC9FB-B5E4-41D6-9532-01668B00EE2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25" name="Text Box 1">
          <a:extLst>
            <a:ext uri="{FF2B5EF4-FFF2-40B4-BE49-F238E27FC236}">
              <a16:creationId xmlns:a16="http://schemas.microsoft.com/office/drawing/2014/main" id="{472E6EB1-299E-4899-9495-4736C417029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26" name="Text Box 1">
          <a:extLst>
            <a:ext uri="{FF2B5EF4-FFF2-40B4-BE49-F238E27FC236}">
              <a16:creationId xmlns:a16="http://schemas.microsoft.com/office/drawing/2014/main" id="{1FFB240E-31D6-4D73-B9A8-F0FDC15C188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27" name="Text Box 1">
          <a:extLst>
            <a:ext uri="{FF2B5EF4-FFF2-40B4-BE49-F238E27FC236}">
              <a16:creationId xmlns:a16="http://schemas.microsoft.com/office/drawing/2014/main" id="{AC856B7E-F19E-4804-9F5E-4C52C34EE3F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28" name="Text Box 1">
          <a:extLst>
            <a:ext uri="{FF2B5EF4-FFF2-40B4-BE49-F238E27FC236}">
              <a16:creationId xmlns:a16="http://schemas.microsoft.com/office/drawing/2014/main" id="{535BDC85-BEF9-4F05-B536-5A12FD2BD2B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29" name="Text Box 1">
          <a:extLst>
            <a:ext uri="{FF2B5EF4-FFF2-40B4-BE49-F238E27FC236}">
              <a16:creationId xmlns:a16="http://schemas.microsoft.com/office/drawing/2014/main" id="{129DDC3A-C627-46A3-8AA1-5D77903D4A5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30" name="Text Box 1">
          <a:extLst>
            <a:ext uri="{FF2B5EF4-FFF2-40B4-BE49-F238E27FC236}">
              <a16:creationId xmlns:a16="http://schemas.microsoft.com/office/drawing/2014/main" id="{56699906-51D8-41B2-A7DA-54F93BAB270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31" name="Text Box 1">
          <a:extLst>
            <a:ext uri="{FF2B5EF4-FFF2-40B4-BE49-F238E27FC236}">
              <a16:creationId xmlns:a16="http://schemas.microsoft.com/office/drawing/2014/main" id="{0E842BE5-0E80-4F16-89E7-0F02E4FA1C5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32" name="Text Box 1">
          <a:extLst>
            <a:ext uri="{FF2B5EF4-FFF2-40B4-BE49-F238E27FC236}">
              <a16:creationId xmlns:a16="http://schemas.microsoft.com/office/drawing/2014/main" id="{5448D16C-5080-438F-906B-8EDDC5CB7F9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33" name="Text Box 1">
          <a:extLst>
            <a:ext uri="{FF2B5EF4-FFF2-40B4-BE49-F238E27FC236}">
              <a16:creationId xmlns:a16="http://schemas.microsoft.com/office/drawing/2014/main" id="{9E95AD41-4B55-4BCC-82AF-E269C36A7AF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34" name="Text Box 1">
          <a:extLst>
            <a:ext uri="{FF2B5EF4-FFF2-40B4-BE49-F238E27FC236}">
              <a16:creationId xmlns:a16="http://schemas.microsoft.com/office/drawing/2014/main" id="{B83BA874-1C38-41F3-8535-B96176F326D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35" name="Text Box 1">
          <a:extLst>
            <a:ext uri="{FF2B5EF4-FFF2-40B4-BE49-F238E27FC236}">
              <a16:creationId xmlns:a16="http://schemas.microsoft.com/office/drawing/2014/main" id="{68F8D7B2-71BB-497D-BEB2-CA71553B22A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36" name="Text Box 1">
          <a:extLst>
            <a:ext uri="{FF2B5EF4-FFF2-40B4-BE49-F238E27FC236}">
              <a16:creationId xmlns:a16="http://schemas.microsoft.com/office/drawing/2014/main" id="{8F636728-7A0E-46CC-AAF1-D86E960CFD8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37" name="Text Box 1">
          <a:extLst>
            <a:ext uri="{FF2B5EF4-FFF2-40B4-BE49-F238E27FC236}">
              <a16:creationId xmlns:a16="http://schemas.microsoft.com/office/drawing/2014/main" id="{9A8EE0B7-FA11-4A40-8012-3ACE6273E55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38" name="Text Box 1">
          <a:extLst>
            <a:ext uri="{FF2B5EF4-FFF2-40B4-BE49-F238E27FC236}">
              <a16:creationId xmlns:a16="http://schemas.microsoft.com/office/drawing/2014/main" id="{3DBFBC97-CA92-446A-AFB2-40560C32F01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39" name="Text Box 1">
          <a:extLst>
            <a:ext uri="{FF2B5EF4-FFF2-40B4-BE49-F238E27FC236}">
              <a16:creationId xmlns:a16="http://schemas.microsoft.com/office/drawing/2014/main" id="{8B2A6ED9-1761-4572-BEBB-6D47793C475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40" name="Text Box 1">
          <a:extLst>
            <a:ext uri="{FF2B5EF4-FFF2-40B4-BE49-F238E27FC236}">
              <a16:creationId xmlns:a16="http://schemas.microsoft.com/office/drawing/2014/main" id="{DD486D34-26DE-492F-86DC-60AE4578504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41" name="Text Box 1">
          <a:extLst>
            <a:ext uri="{FF2B5EF4-FFF2-40B4-BE49-F238E27FC236}">
              <a16:creationId xmlns:a16="http://schemas.microsoft.com/office/drawing/2014/main" id="{4AD27222-E292-4174-9F7B-44552810A1E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42" name="Text Box 1">
          <a:extLst>
            <a:ext uri="{FF2B5EF4-FFF2-40B4-BE49-F238E27FC236}">
              <a16:creationId xmlns:a16="http://schemas.microsoft.com/office/drawing/2014/main" id="{A269A90B-111C-4023-BFF5-D05D29EB999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43" name="Text Box 1">
          <a:extLst>
            <a:ext uri="{FF2B5EF4-FFF2-40B4-BE49-F238E27FC236}">
              <a16:creationId xmlns:a16="http://schemas.microsoft.com/office/drawing/2014/main" id="{BF7130A4-766F-482E-9A6A-C56A9C59276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44" name="Text Box 1">
          <a:extLst>
            <a:ext uri="{FF2B5EF4-FFF2-40B4-BE49-F238E27FC236}">
              <a16:creationId xmlns:a16="http://schemas.microsoft.com/office/drawing/2014/main" id="{0A820E4B-BA0C-4249-8CC7-4BA1F32F221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45" name="Text Box 1">
          <a:extLst>
            <a:ext uri="{FF2B5EF4-FFF2-40B4-BE49-F238E27FC236}">
              <a16:creationId xmlns:a16="http://schemas.microsoft.com/office/drawing/2014/main" id="{6E221650-42E1-42A7-8FDE-A784CB66B7B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46" name="Text Box 1">
          <a:extLst>
            <a:ext uri="{FF2B5EF4-FFF2-40B4-BE49-F238E27FC236}">
              <a16:creationId xmlns:a16="http://schemas.microsoft.com/office/drawing/2014/main" id="{203F3543-A227-40FC-8FD7-EFBCC9501E2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47" name="Text Box 1">
          <a:extLst>
            <a:ext uri="{FF2B5EF4-FFF2-40B4-BE49-F238E27FC236}">
              <a16:creationId xmlns:a16="http://schemas.microsoft.com/office/drawing/2014/main" id="{66F784E6-6CEF-4F0D-9218-E9F953FD7F4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48" name="Text Box 1">
          <a:extLst>
            <a:ext uri="{FF2B5EF4-FFF2-40B4-BE49-F238E27FC236}">
              <a16:creationId xmlns:a16="http://schemas.microsoft.com/office/drawing/2014/main" id="{253AF559-189A-48FA-9121-56EE7D4C749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49" name="Text Box 1">
          <a:extLst>
            <a:ext uri="{FF2B5EF4-FFF2-40B4-BE49-F238E27FC236}">
              <a16:creationId xmlns:a16="http://schemas.microsoft.com/office/drawing/2014/main" id="{13F34AB2-CF03-45CE-B63B-98E790DCF0C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50" name="Text Box 1">
          <a:extLst>
            <a:ext uri="{FF2B5EF4-FFF2-40B4-BE49-F238E27FC236}">
              <a16:creationId xmlns:a16="http://schemas.microsoft.com/office/drawing/2014/main" id="{CE8FAC50-D667-4C19-B553-946B57594DF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51" name="Text Box 1">
          <a:extLst>
            <a:ext uri="{FF2B5EF4-FFF2-40B4-BE49-F238E27FC236}">
              <a16:creationId xmlns:a16="http://schemas.microsoft.com/office/drawing/2014/main" id="{696D7738-F79A-4DD5-A32C-84D55CE7B6B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52" name="Text Box 1">
          <a:extLst>
            <a:ext uri="{FF2B5EF4-FFF2-40B4-BE49-F238E27FC236}">
              <a16:creationId xmlns:a16="http://schemas.microsoft.com/office/drawing/2014/main" id="{5728ADB5-B934-4D99-9BE9-6CE854A3779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53" name="Text Box 1">
          <a:extLst>
            <a:ext uri="{FF2B5EF4-FFF2-40B4-BE49-F238E27FC236}">
              <a16:creationId xmlns:a16="http://schemas.microsoft.com/office/drawing/2014/main" id="{FF633BC6-78A4-4B6F-AE87-11B7DE6F297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54" name="Text Box 1">
          <a:extLst>
            <a:ext uri="{FF2B5EF4-FFF2-40B4-BE49-F238E27FC236}">
              <a16:creationId xmlns:a16="http://schemas.microsoft.com/office/drawing/2014/main" id="{82D6B1F9-564B-49EF-A729-F92FDBB7E29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55" name="Text Box 1">
          <a:extLst>
            <a:ext uri="{FF2B5EF4-FFF2-40B4-BE49-F238E27FC236}">
              <a16:creationId xmlns:a16="http://schemas.microsoft.com/office/drawing/2014/main" id="{1F937E5E-ED9B-4B88-880C-F26ECB4AFED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56" name="Text Box 1">
          <a:extLst>
            <a:ext uri="{FF2B5EF4-FFF2-40B4-BE49-F238E27FC236}">
              <a16:creationId xmlns:a16="http://schemas.microsoft.com/office/drawing/2014/main" id="{5437BA83-7414-4BD1-9AC5-99A75DAA068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57" name="Text Box 1">
          <a:extLst>
            <a:ext uri="{FF2B5EF4-FFF2-40B4-BE49-F238E27FC236}">
              <a16:creationId xmlns:a16="http://schemas.microsoft.com/office/drawing/2014/main" id="{BF3DEF2D-57DB-4644-BB6A-15C85F7F29C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58" name="Text Box 1">
          <a:extLst>
            <a:ext uri="{FF2B5EF4-FFF2-40B4-BE49-F238E27FC236}">
              <a16:creationId xmlns:a16="http://schemas.microsoft.com/office/drawing/2014/main" id="{376DB8FF-7360-4BD9-ABB5-36B49CCD6C4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59" name="Text Box 1">
          <a:extLst>
            <a:ext uri="{FF2B5EF4-FFF2-40B4-BE49-F238E27FC236}">
              <a16:creationId xmlns:a16="http://schemas.microsoft.com/office/drawing/2014/main" id="{6940C452-43C7-40CB-B709-EC66A89EA58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60" name="Text Box 1">
          <a:extLst>
            <a:ext uri="{FF2B5EF4-FFF2-40B4-BE49-F238E27FC236}">
              <a16:creationId xmlns:a16="http://schemas.microsoft.com/office/drawing/2014/main" id="{49180C3F-5886-4E2C-A99D-E12B3CF5CD5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61" name="Text Box 1">
          <a:extLst>
            <a:ext uri="{FF2B5EF4-FFF2-40B4-BE49-F238E27FC236}">
              <a16:creationId xmlns:a16="http://schemas.microsoft.com/office/drawing/2014/main" id="{CC5DFB29-1C19-4EB0-B71E-20C2C6DFFE7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62" name="Text Box 1">
          <a:extLst>
            <a:ext uri="{FF2B5EF4-FFF2-40B4-BE49-F238E27FC236}">
              <a16:creationId xmlns:a16="http://schemas.microsoft.com/office/drawing/2014/main" id="{BC8A73DB-A4AF-4851-8125-8001DF9A8C0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63" name="Text Box 1">
          <a:extLst>
            <a:ext uri="{FF2B5EF4-FFF2-40B4-BE49-F238E27FC236}">
              <a16:creationId xmlns:a16="http://schemas.microsoft.com/office/drawing/2014/main" id="{A29BE486-30ED-4518-A8B8-F3C4E30C02E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64" name="Text Box 1">
          <a:extLst>
            <a:ext uri="{FF2B5EF4-FFF2-40B4-BE49-F238E27FC236}">
              <a16:creationId xmlns:a16="http://schemas.microsoft.com/office/drawing/2014/main" id="{DAE4A457-7367-4938-97F1-8AE17465F99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65" name="Text Box 1">
          <a:extLst>
            <a:ext uri="{FF2B5EF4-FFF2-40B4-BE49-F238E27FC236}">
              <a16:creationId xmlns:a16="http://schemas.microsoft.com/office/drawing/2014/main" id="{6F4A4EBC-9394-4D58-82C4-AE975865DC2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66" name="Text Box 1">
          <a:extLst>
            <a:ext uri="{FF2B5EF4-FFF2-40B4-BE49-F238E27FC236}">
              <a16:creationId xmlns:a16="http://schemas.microsoft.com/office/drawing/2014/main" id="{28C549D2-5BEB-4D3E-8780-D26DDD9C585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67" name="Text Box 1">
          <a:extLst>
            <a:ext uri="{FF2B5EF4-FFF2-40B4-BE49-F238E27FC236}">
              <a16:creationId xmlns:a16="http://schemas.microsoft.com/office/drawing/2014/main" id="{189E179D-689F-429F-93E4-5419E212AC5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68" name="Text Box 1">
          <a:extLst>
            <a:ext uri="{FF2B5EF4-FFF2-40B4-BE49-F238E27FC236}">
              <a16:creationId xmlns:a16="http://schemas.microsoft.com/office/drawing/2014/main" id="{033C1867-B1D1-4B45-AF05-4A0F06946C1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69" name="Text Box 1">
          <a:extLst>
            <a:ext uri="{FF2B5EF4-FFF2-40B4-BE49-F238E27FC236}">
              <a16:creationId xmlns:a16="http://schemas.microsoft.com/office/drawing/2014/main" id="{F36766DE-3012-45B9-B7B1-FF8CE7FF8E2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70" name="Text Box 1">
          <a:extLst>
            <a:ext uri="{FF2B5EF4-FFF2-40B4-BE49-F238E27FC236}">
              <a16:creationId xmlns:a16="http://schemas.microsoft.com/office/drawing/2014/main" id="{7D5D0D89-300C-4677-B919-0323A5BD00E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71" name="Text Box 1">
          <a:extLst>
            <a:ext uri="{FF2B5EF4-FFF2-40B4-BE49-F238E27FC236}">
              <a16:creationId xmlns:a16="http://schemas.microsoft.com/office/drawing/2014/main" id="{A0960680-BA95-40EE-820E-2E920F66429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72" name="Text Box 1">
          <a:extLst>
            <a:ext uri="{FF2B5EF4-FFF2-40B4-BE49-F238E27FC236}">
              <a16:creationId xmlns:a16="http://schemas.microsoft.com/office/drawing/2014/main" id="{715EE4CD-F1C7-4D3C-9D93-7928D52E5E6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73" name="Text Box 1">
          <a:extLst>
            <a:ext uri="{FF2B5EF4-FFF2-40B4-BE49-F238E27FC236}">
              <a16:creationId xmlns:a16="http://schemas.microsoft.com/office/drawing/2014/main" id="{B1369D46-91F2-4CB1-91C1-E64233537A2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74" name="Text Box 1">
          <a:extLst>
            <a:ext uri="{FF2B5EF4-FFF2-40B4-BE49-F238E27FC236}">
              <a16:creationId xmlns:a16="http://schemas.microsoft.com/office/drawing/2014/main" id="{40F9F780-F44F-4D70-B2F6-982636DA962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75" name="Text Box 1">
          <a:extLst>
            <a:ext uri="{FF2B5EF4-FFF2-40B4-BE49-F238E27FC236}">
              <a16:creationId xmlns:a16="http://schemas.microsoft.com/office/drawing/2014/main" id="{25C72FD6-B499-4301-9357-ED91E0C4A76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76" name="Text Box 1">
          <a:extLst>
            <a:ext uri="{FF2B5EF4-FFF2-40B4-BE49-F238E27FC236}">
              <a16:creationId xmlns:a16="http://schemas.microsoft.com/office/drawing/2014/main" id="{482D2C1A-6C22-4C25-9609-A5585E6A4D4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77" name="Text Box 1">
          <a:extLst>
            <a:ext uri="{FF2B5EF4-FFF2-40B4-BE49-F238E27FC236}">
              <a16:creationId xmlns:a16="http://schemas.microsoft.com/office/drawing/2014/main" id="{0B7DE2F5-9D84-4699-ACC0-18D29873CFD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78" name="Text Box 1">
          <a:extLst>
            <a:ext uri="{FF2B5EF4-FFF2-40B4-BE49-F238E27FC236}">
              <a16:creationId xmlns:a16="http://schemas.microsoft.com/office/drawing/2014/main" id="{B6C75A43-391A-405F-AD68-B34D1C7C243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79" name="Text Box 1">
          <a:extLst>
            <a:ext uri="{FF2B5EF4-FFF2-40B4-BE49-F238E27FC236}">
              <a16:creationId xmlns:a16="http://schemas.microsoft.com/office/drawing/2014/main" id="{1EF52F77-F5A7-4937-92B3-D0F425396D6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80" name="Text Box 1">
          <a:extLst>
            <a:ext uri="{FF2B5EF4-FFF2-40B4-BE49-F238E27FC236}">
              <a16:creationId xmlns:a16="http://schemas.microsoft.com/office/drawing/2014/main" id="{82AEF375-033D-4775-8AC9-B949671CEED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81" name="Text Box 1">
          <a:extLst>
            <a:ext uri="{FF2B5EF4-FFF2-40B4-BE49-F238E27FC236}">
              <a16:creationId xmlns:a16="http://schemas.microsoft.com/office/drawing/2014/main" id="{0BC70B6F-420E-4ED6-837B-6C0A1B49473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82" name="Text Box 1">
          <a:extLst>
            <a:ext uri="{FF2B5EF4-FFF2-40B4-BE49-F238E27FC236}">
              <a16:creationId xmlns:a16="http://schemas.microsoft.com/office/drawing/2014/main" id="{FEEF4B15-918A-41EE-B50A-A1921F2BF3C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83" name="Text Box 1">
          <a:extLst>
            <a:ext uri="{FF2B5EF4-FFF2-40B4-BE49-F238E27FC236}">
              <a16:creationId xmlns:a16="http://schemas.microsoft.com/office/drawing/2014/main" id="{66CE87BA-527E-4B57-BE0C-4D66753F3F8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84" name="Text Box 1">
          <a:extLst>
            <a:ext uri="{FF2B5EF4-FFF2-40B4-BE49-F238E27FC236}">
              <a16:creationId xmlns:a16="http://schemas.microsoft.com/office/drawing/2014/main" id="{0B2526F2-A2E7-41E1-AD67-F256F9B883D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85" name="Text Box 1">
          <a:extLst>
            <a:ext uri="{FF2B5EF4-FFF2-40B4-BE49-F238E27FC236}">
              <a16:creationId xmlns:a16="http://schemas.microsoft.com/office/drawing/2014/main" id="{8D699215-A300-4310-9988-608F6DD7D29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86" name="Text Box 1">
          <a:extLst>
            <a:ext uri="{FF2B5EF4-FFF2-40B4-BE49-F238E27FC236}">
              <a16:creationId xmlns:a16="http://schemas.microsoft.com/office/drawing/2014/main" id="{95524D25-CD0A-4515-803A-55BD778FD42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87" name="Text Box 1">
          <a:extLst>
            <a:ext uri="{FF2B5EF4-FFF2-40B4-BE49-F238E27FC236}">
              <a16:creationId xmlns:a16="http://schemas.microsoft.com/office/drawing/2014/main" id="{34B81B83-50EE-4A29-A919-9AAF7A5805D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88" name="Text Box 1">
          <a:extLst>
            <a:ext uri="{FF2B5EF4-FFF2-40B4-BE49-F238E27FC236}">
              <a16:creationId xmlns:a16="http://schemas.microsoft.com/office/drawing/2014/main" id="{63EF287E-AB28-4064-9CF1-E1F3DAF45F5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89" name="Text Box 1">
          <a:extLst>
            <a:ext uri="{FF2B5EF4-FFF2-40B4-BE49-F238E27FC236}">
              <a16:creationId xmlns:a16="http://schemas.microsoft.com/office/drawing/2014/main" id="{BEC29F2F-DE25-4FD6-A8DC-48384E41045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90" name="Text Box 1">
          <a:extLst>
            <a:ext uri="{FF2B5EF4-FFF2-40B4-BE49-F238E27FC236}">
              <a16:creationId xmlns:a16="http://schemas.microsoft.com/office/drawing/2014/main" id="{B6CAC991-0336-41E2-B007-E64491A6044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91" name="Text Box 1">
          <a:extLst>
            <a:ext uri="{FF2B5EF4-FFF2-40B4-BE49-F238E27FC236}">
              <a16:creationId xmlns:a16="http://schemas.microsoft.com/office/drawing/2014/main" id="{61B3F604-639B-4F7A-A372-07551A6FDC9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92" name="Text Box 1">
          <a:extLst>
            <a:ext uri="{FF2B5EF4-FFF2-40B4-BE49-F238E27FC236}">
              <a16:creationId xmlns:a16="http://schemas.microsoft.com/office/drawing/2014/main" id="{5267233F-C21C-43EF-9328-F3A22341019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93" name="Text Box 1">
          <a:extLst>
            <a:ext uri="{FF2B5EF4-FFF2-40B4-BE49-F238E27FC236}">
              <a16:creationId xmlns:a16="http://schemas.microsoft.com/office/drawing/2014/main" id="{E753F73A-205D-4890-8BE6-14E59EE24B0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94" name="Text Box 1">
          <a:extLst>
            <a:ext uri="{FF2B5EF4-FFF2-40B4-BE49-F238E27FC236}">
              <a16:creationId xmlns:a16="http://schemas.microsoft.com/office/drawing/2014/main" id="{D0210E83-65F3-4172-8F3F-4A4C9E0E0A5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95" name="Text Box 1">
          <a:extLst>
            <a:ext uri="{FF2B5EF4-FFF2-40B4-BE49-F238E27FC236}">
              <a16:creationId xmlns:a16="http://schemas.microsoft.com/office/drawing/2014/main" id="{C8EE886F-8816-4117-B7C5-927069A3D4F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96" name="Text Box 1">
          <a:extLst>
            <a:ext uri="{FF2B5EF4-FFF2-40B4-BE49-F238E27FC236}">
              <a16:creationId xmlns:a16="http://schemas.microsoft.com/office/drawing/2014/main" id="{82F10215-3A2F-4085-B7CA-765CE734148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97" name="Text Box 1">
          <a:extLst>
            <a:ext uri="{FF2B5EF4-FFF2-40B4-BE49-F238E27FC236}">
              <a16:creationId xmlns:a16="http://schemas.microsoft.com/office/drawing/2014/main" id="{226A6964-3C3D-43B3-A7F2-E8BD0DF84E0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98" name="Text Box 1">
          <a:extLst>
            <a:ext uri="{FF2B5EF4-FFF2-40B4-BE49-F238E27FC236}">
              <a16:creationId xmlns:a16="http://schemas.microsoft.com/office/drawing/2014/main" id="{DC14468A-4F66-4918-BB2A-F8FE5726108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2999" name="Text Box 1">
          <a:extLst>
            <a:ext uri="{FF2B5EF4-FFF2-40B4-BE49-F238E27FC236}">
              <a16:creationId xmlns:a16="http://schemas.microsoft.com/office/drawing/2014/main" id="{14C562E6-3E9B-4CE5-A323-3C9383BF58F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00" name="Text Box 1">
          <a:extLst>
            <a:ext uri="{FF2B5EF4-FFF2-40B4-BE49-F238E27FC236}">
              <a16:creationId xmlns:a16="http://schemas.microsoft.com/office/drawing/2014/main" id="{D550BC3B-77FA-45EF-9798-C7B051A8206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01" name="Text Box 1">
          <a:extLst>
            <a:ext uri="{FF2B5EF4-FFF2-40B4-BE49-F238E27FC236}">
              <a16:creationId xmlns:a16="http://schemas.microsoft.com/office/drawing/2014/main" id="{6D8BB4F9-8F85-43B9-9F6F-8B9E0FBD088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02" name="Text Box 1">
          <a:extLst>
            <a:ext uri="{FF2B5EF4-FFF2-40B4-BE49-F238E27FC236}">
              <a16:creationId xmlns:a16="http://schemas.microsoft.com/office/drawing/2014/main" id="{177AD132-1A4B-4B01-B346-ADEA1698018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03" name="Text Box 1">
          <a:extLst>
            <a:ext uri="{FF2B5EF4-FFF2-40B4-BE49-F238E27FC236}">
              <a16:creationId xmlns:a16="http://schemas.microsoft.com/office/drawing/2014/main" id="{A3879577-08F4-4FAE-A653-2FF8D5F1FBF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04" name="Text Box 1">
          <a:extLst>
            <a:ext uri="{FF2B5EF4-FFF2-40B4-BE49-F238E27FC236}">
              <a16:creationId xmlns:a16="http://schemas.microsoft.com/office/drawing/2014/main" id="{B327B0E8-E523-4D0C-901D-61FB7749625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05" name="Text Box 1">
          <a:extLst>
            <a:ext uri="{FF2B5EF4-FFF2-40B4-BE49-F238E27FC236}">
              <a16:creationId xmlns:a16="http://schemas.microsoft.com/office/drawing/2014/main" id="{829F0966-93D1-40D4-BDEF-291AA73E0F2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06" name="Text Box 1">
          <a:extLst>
            <a:ext uri="{FF2B5EF4-FFF2-40B4-BE49-F238E27FC236}">
              <a16:creationId xmlns:a16="http://schemas.microsoft.com/office/drawing/2014/main" id="{C3FE60F6-0975-459D-BA2B-2EA101779F6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07" name="Text Box 1">
          <a:extLst>
            <a:ext uri="{FF2B5EF4-FFF2-40B4-BE49-F238E27FC236}">
              <a16:creationId xmlns:a16="http://schemas.microsoft.com/office/drawing/2014/main" id="{9300678E-0DFA-4BA3-BE43-0234978244F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08" name="Text Box 1">
          <a:extLst>
            <a:ext uri="{FF2B5EF4-FFF2-40B4-BE49-F238E27FC236}">
              <a16:creationId xmlns:a16="http://schemas.microsoft.com/office/drawing/2014/main" id="{C3BAA3DC-B936-4A2B-9B83-243A966B2CE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09" name="Text Box 1">
          <a:extLst>
            <a:ext uri="{FF2B5EF4-FFF2-40B4-BE49-F238E27FC236}">
              <a16:creationId xmlns:a16="http://schemas.microsoft.com/office/drawing/2014/main" id="{7B46D045-0D65-4904-B613-9E1D4A8762D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10" name="Text Box 1">
          <a:extLst>
            <a:ext uri="{FF2B5EF4-FFF2-40B4-BE49-F238E27FC236}">
              <a16:creationId xmlns:a16="http://schemas.microsoft.com/office/drawing/2014/main" id="{20D845E9-7AD9-4B02-B8B9-663C968F19D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11" name="Text Box 1">
          <a:extLst>
            <a:ext uri="{FF2B5EF4-FFF2-40B4-BE49-F238E27FC236}">
              <a16:creationId xmlns:a16="http://schemas.microsoft.com/office/drawing/2014/main" id="{3BB3F084-8FDE-41B4-B37D-7A7D7CFBC18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12" name="Text Box 1">
          <a:extLst>
            <a:ext uri="{FF2B5EF4-FFF2-40B4-BE49-F238E27FC236}">
              <a16:creationId xmlns:a16="http://schemas.microsoft.com/office/drawing/2014/main" id="{36808FEE-C77C-4741-8218-1C672440E12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13" name="Text Box 1">
          <a:extLst>
            <a:ext uri="{FF2B5EF4-FFF2-40B4-BE49-F238E27FC236}">
              <a16:creationId xmlns:a16="http://schemas.microsoft.com/office/drawing/2014/main" id="{EFC47662-3BA6-46D2-BCAD-2C599CCB1B9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14" name="Text Box 1">
          <a:extLst>
            <a:ext uri="{FF2B5EF4-FFF2-40B4-BE49-F238E27FC236}">
              <a16:creationId xmlns:a16="http://schemas.microsoft.com/office/drawing/2014/main" id="{6553A94C-F87E-451E-88FC-2363E6D652E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15" name="Text Box 1">
          <a:extLst>
            <a:ext uri="{FF2B5EF4-FFF2-40B4-BE49-F238E27FC236}">
              <a16:creationId xmlns:a16="http://schemas.microsoft.com/office/drawing/2014/main" id="{DE2DFE3F-E6FF-4F04-A3B1-1F6DBF43177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16" name="Text Box 1">
          <a:extLst>
            <a:ext uri="{FF2B5EF4-FFF2-40B4-BE49-F238E27FC236}">
              <a16:creationId xmlns:a16="http://schemas.microsoft.com/office/drawing/2014/main" id="{CAE94D7D-2940-4762-BA30-77659218B9F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17" name="Text Box 1">
          <a:extLst>
            <a:ext uri="{FF2B5EF4-FFF2-40B4-BE49-F238E27FC236}">
              <a16:creationId xmlns:a16="http://schemas.microsoft.com/office/drawing/2014/main" id="{130DAF96-7932-454F-B7B8-54E1864751B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18" name="Text Box 1">
          <a:extLst>
            <a:ext uri="{FF2B5EF4-FFF2-40B4-BE49-F238E27FC236}">
              <a16:creationId xmlns:a16="http://schemas.microsoft.com/office/drawing/2014/main" id="{16F0B01B-5643-4356-ADBF-734C6828DD6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19" name="Text Box 1">
          <a:extLst>
            <a:ext uri="{FF2B5EF4-FFF2-40B4-BE49-F238E27FC236}">
              <a16:creationId xmlns:a16="http://schemas.microsoft.com/office/drawing/2014/main" id="{8981D99E-9663-4C4A-B222-6A25C1AD426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20" name="Text Box 1">
          <a:extLst>
            <a:ext uri="{FF2B5EF4-FFF2-40B4-BE49-F238E27FC236}">
              <a16:creationId xmlns:a16="http://schemas.microsoft.com/office/drawing/2014/main" id="{5A72B6C7-DC8F-44C6-A75B-8A8AAE6C844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21" name="Text Box 1">
          <a:extLst>
            <a:ext uri="{FF2B5EF4-FFF2-40B4-BE49-F238E27FC236}">
              <a16:creationId xmlns:a16="http://schemas.microsoft.com/office/drawing/2014/main" id="{2807A92C-5F68-4CD1-855D-F1F5BC02E6C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22" name="Text Box 1">
          <a:extLst>
            <a:ext uri="{FF2B5EF4-FFF2-40B4-BE49-F238E27FC236}">
              <a16:creationId xmlns:a16="http://schemas.microsoft.com/office/drawing/2014/main" id="{1291760A-4E2A-4A4C-A03E-F0ED999BA1F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23" name="Text Box 1">
          <a:extLst>
            <a:ext uri="{FF2B5EF4-FFF2-40B4-BE49-F238E27FC236}">
              <a16:creationId xmlns:a16="http://schemas.microsoft.com/office/drawing/2014/main" id="{A0E4A3C2-E462-468C-BF89-58F2C36ED6F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24" name="Text Box 1">
          <a:extLst>
            <a:ext uri="{FF2B5EF4-FFF2-40B4-BE49-F238E27FC236}">
              <a16:creationId xmlns:a16="http://schemas.microsoft.com/office/drawing/2014/main" id="{9F2A17F2-D1A1-4AE5-8A0F-5F06F14305A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25" name="Text Box 1">
          <a:extLst>
            <a:ext uri="{FF2B5EF4-FFF2-40B4-BE49-F238E27FC236}">
              <a16:creationId xmlns:a16="http://schemas.microsoft.com/office/drawing/2014/main" id="{73A23300-94D0-4CD6-AE66-EE07DDC3BA5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26" name="Text Box 1">
          <a:extLst>
            <a:ext uri="{FF2B5EF4-FFF2-40B4-BE49-F238E27FC236}">
              <a16:creationId xmlns:a16="http://schemas.microsoft.com/office/drawing/2014/main" id="{44FADF7F-4F65-4A4E-8604-1E55CA26DD2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27" name="Text Box 1">
          <a:extLst>
            <a:ext uri="{FF2B5EF4-FFF2-40B4-BE49-F238E27FC236}">
              <a16:creationId xmlns:a16="http://schemas.microsoft.com/office/drawing/2014/main" id="{4EC31F9B-CE85-4DB4-AFB8-DE3C8BD5A99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28" name="Text Box 1">
          <a:extLst>
            <a:ext uri="{FF2B5EF4-FFF2-40B4-BE49-F238E27FC236}">
              <a16:creationId xmlns:a16="http://schemas.microsoft.com/office/drawing/2014/main" id="{4B8D9BA6-BDFD-4405-BB85-6D654536492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29" name="Text Box 1">
          <a:extLst>
            <a:ext uri="{FF2B5EF4-FFF2-40B4-BE49-F238E27FC236}">
              <a16:creationId xmlns:a16="http://schemas.microsoft.com/office/drawing/2014/main" id="{184A160F-070D-44E3-82F2-3108DB46E4B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30" name="Text Box 1">
          <a:extLst>
            <a:ext uri="{FF2B5EF4-FFF2-40B4-BE49-F238E27FC236}">
              <a16:creationId xmlns:a16="http://schemas.microsoft.com/office/drawing/2014/main" id="{AF6011ED-2DF9-482F-AE5B-44FC6D3E145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31" name="Text Box 1">
          <a:extLst>
            <a:ext uri="{FF2B5EF4-FFF2-40B4-BE49-F238E27FC236}">
              <a16:creationId xmlns:a16="http://schemas.microsoft.com/office/drawing/2014/main" id="{FB9C9F1E-25A3-4B87-8FF5-C3EC156FEFE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32" name="Text Box 1">
          <a:extLst>
            <a:ext uri="{FF2B5EF4-FFF2-40B4-BE49-F238E27FC236}">
              <a16:creationId xmlns:a16="http://schemas.microsoft.com/office/drawing/2014/main" id="{3FC4429B-67A6-4A36-9E35-C284D0CB0D8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33" name="Text Box 1">
          <a:extLst>
            <a:ext uri="{FF2B5EF4-FFF2-40B4-BE49-F238E27FC236}">
              <a16:creationId xmlns:a16="http://schemas.microsoft.com/office/drawing/2014/main" id="{B00B18DD-2344-46CD-8CDA-7635900C5F4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34" name="Text Box 1">
          <a:extLst>
            <a:ext uri="{FF2B5EF4-FFF2-40B4-BE49-F238E27FC236}">
              <a16:creationId xmlns:a16="http://schemas.microsoft.com/office/drawing/2014/main" id="{C66F0949-1EAB-4A70-9564-7B42F5225B8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35" name="Text Box 1">
          <a:extLst>
            <a:ext uri="{FF2B5EF4-FFF2-40B4-BE49-F238E27FC236}">
              <a16:creationId xmlns:a16="http://schemas.microsoft.com/office/drawing/2014/main" id="{B7F08BA1-AB2F-4550-BD5C-1AD1A01497B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36" name="Text Box 1">
          <a:extLst>
            <a:ext uri="{FF2B5EF4-FFF2-40B4-BE49-F238E27FC236}">
              <a16:creationId xmlns:a16="http://schemas.microsoft.com/office/drawing/2014/main" id="{2EC8E123-720E-4449-95C3-98363AE88DE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37" name="Text Box 1">
          <a:extLst>
            <a:ext uri="{FF2B5EF4-FFF2-40B4-BE49-F238E27FC236}">
              <a16:creationId xmlns:a16="http://schemas.microsoft.com/office/drawing/2014/main" id="{F88061FD-C342-4D4D-A342-113281A17FD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38" name="Text Box 1">
          <a:extLst>
            <a:ext uri="{FF2B5EF4-FFF2-40B4-BE49-F238E27FC236}">
              <a16:creationId xmlns:a16="http://schemas.microsoft.com/office/drawing/2014/main" id="{BAD55B09-3D81-44D3-8C2C-D76822FEA03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39" name="Text Box 1">
          <a:extLst>
            <a:ext uri="{FF2B5EF4-FFF2-40B4-BE49-F238E27FC236}">
              <a16:creationId xmlns:a16="http://schemas.microsoft.com/office/drawing/2014/main" id="{67153459-DBCE-4948-823D-FE9D3A7F066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40" name="Text Box 1">
          <a:extLst>
            <a:ext uri="{FF2B5EF4-FFF2-40B4-BE49-F238E27FC236}">
              <a16:creationId xmlns:a16="http://schemas.microsoft.com/office/drawing/2014/main" id="{8503D723-A391-4429-9F9F-B3647B697C5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41" name="Text Box 1">
          <a:extLst>
            <a:ext uri="{FF2B5EF4-FFF2-40B4-BE49-F238E27FC236}">
              <a16:creationId xmlns:a16="http://schemas.microsoft.com/office/drawing/2014/main" id="{D67C3DBE-B9F5-4226-95DA-D4F2447E5EC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42" name="Text Box 1">
          <a:extLst>
            <a:ext uri="{FF2B5EF4-FFF2-40B4-BE49-F238E27FC236}">
              <a16:creationId xmlns:a16="http://schemas.microsoft.com/office/drawing/2014/main" id="{3AB44116-5653-46AA-BB33-D703BA4737A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43" name="Text Box 1">
          <a:extLst>
            <a:ext uri="{FF2B5EF4-FFF2-40B4-BE49-F238E27FC236}">
              <a16:creationId xmlns:a16="http://schemas.microsoft.com/office/drawing/2014/main" id="{E1E939C0-097E-4672-B75E-67AC9E373DE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44" name="Text Box 1">
          <a:extLst>
            <a:ext uri="{FF2B5EF4-FFF2-40B4-BE49-F238E27FC236}">
              <a16:creationId xmlns:a16="http://schemas.microsoft.com/office/drawing/2014/main" id="{1D2F1AF3-528F-4575-A558-87523EE956B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45" name="Text Box 1">
          <a:extLst>
            <a:ext uri="{FF2B5EF4-FFF2-40B4-BE49-F238E27FC236}">
              <a16:creationId xmlns:a16="http://schemas.microsoft.com/office/drawing/2014/main" id="{4A468394-E270-4546-99AA-B082059BC64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46" name="Text Box 1">
          <a:extLst>
            <a:ext uri="{FF2B5EF4-FFF2-40B4-BE49-F238E27FC236}">
              <a16:creationId xmlns:a16="http://schemas.microsoft.com/office/drawing/2014/main" id="{2B19C3DD-17A4-4C26-A22F-176F62D35C4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47" name="Text Box 1">
          <a:extLst>
            <a:ext uri="{FF2B5EF4-FFF2-40B4-BE49-F238E27FC236}">
              <a16:creationId xmlns:a16="http://schemas.microsoft.com/office/drawing/2014/main" id="{C94A3E7F-D147-4A12-90CD-FDB4B1DEFBE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48" name="Text Box 1">
          <a:extLst>
            <a:ext uri="{FF2B5EF4-FFF2-40B4-BE49-F238E27FC236}">
              <a16:creationId xmlns:a16="http://schemas.microsoft.com/office/drawing/2014/main" id="{AAE63ACA-5DC8-444C-BC43-CFD8C39BA58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49" name="Text Box 1">
          <a:extLst>
            <a:ext uri="{FF2B5EF4-FFF2-40B4-BE49-F238E27FC236}">
              <a16:creationId xmlns:a16="http://schemas.microsoft.com/office/drawing/2014/main" id="{E4CDE9BC-79B4-40B6-B392-ABCFA59657D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50" name="Text Box 1">
          <a:extLst>
            <a:ext uri="{FF2B5EF4-FFF2-40B4-BE49-F238E27FC236}">
              <a16:creationId xmlns:a16="http://schemas.microsoft.com/office/drawing/2014/main" id="{B99C3C9B-DEA0-419C-8A36-11F50FB43DF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51" name="Text Box 1">
          <a:extLst>
            <a:ext uri="{FF2B5EF4-FFF2-40B4-BE49-F238E27FC236}">
              <a16:creationId xmlns:a16="http://schemas.microsoft.com/office/drawing/2014/main" id="{F8620256-1900-4518-A424-C9F4758B147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52" name="Text Box 1">
          <a:extLst>
            <a:ext uri="{FF2B5EF4-FFF2-40B4-BE49-F238E27FC236}">
              <a16:creationId xmlns:a16="http://schemas.microsoft.com/office/drawing/2014/main" id="{F85D2CAC-145F-4C7D-A6AB-D5F5329DD1D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53" name="Text Box 1">
          <a:extLst>
            <a:ext uri="{FF2B5EF4-FFF2-40B4-BE49-F238E27FC236}">
              <a16:creationId xmlns:a16="http://schemas.microsoft.com/office/drawing/2014/main" id="{A1077F3D-F20B-4309-9584-2009FDC5EB9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54" name="Text Box 1">
          <a:extLst>
            <a:ext uri="{FF2B5EF4-FFF2-40B4-BE49-F238E27FC236}">
              <a16:creationId xmlns:a16="http://schemas.microsoft.com/office/drawing/2014/main" id="{B5FEB85B-9DCB-4CA9-AAD8-ACD27605B10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55" name="Text Box 1">
          <a:extLst>
            <a:ext uri="{FF2B5EF4-FFF2-40B4-BE49-F238E27FC236}">
              <a16:creationId xmlns:a16="http://schemas.microsoft.com/office/drawing/2014/main" id="{CF42055A-EBA4-43F5-9C06-0CA9CA8E75F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56" name="Text Box 1">
          <a:extLst>
            <a:ext uri="{FF2B5EF4-FFF2-40B4-BE49-F238E27FC236}">
              <a16:creationId xmlns:a16="http://schemas.microsoft.com/office/drawing/2014/main" id="{6F6FF2DD-0953-4D99-95DF-B322A35BC60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57" name="Text Box 1">
          <a:extLst>
            <a:ext uri="{FF2B5EF4-FFF2-40B4-BE49-F238E27FC236}">
              <a16:creationId xmlns:a16="http://schemas.microsoft.com/office/drawing/2014/main" id="{C76F1666-6611-4944-9043-FE502E1A619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58" name="Text Box 1">
          <a:extLst>
            <a:ext uri="{FF2B5EF4-FFF2-40B4-BE49-F238E27FC236}">
              <a16:creationId xmlns:a16="http://schemas.microsoft.com/office/drawing/2014/main" id="{C5CCCEE2-DF38-4251-AC49-113CAAF7035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59" name="Text Box 1">
          <a:extLst>
            <a:ext uri="{FF2B5EF4-FFF2-40B4-BE49-F238E27FC236}">
              <a16:creationId xmlns:a16="http://schemas.microsoft.com/office/drawing/2014/main" id="{D726DF8B-0F79-4DC8-B3AF-67EB61B1EA0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60" name="Text Box 1">
          <a:extLst>
            <a:ext uri="{FF2B5EF4-FFF2-40B4-BE49-F238E27FC236}">
              <a16:creationId xmlns:a16="http://schemas.microsoft.com/office/drawing/2014/main" id="{3B4C8C33-A0B0-4205-9E38-932A8964AE9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61" name="Text Box 1">
          <a:extLst>
            <a:ext uri="{FF2B5EF4-FFF2-40B4-BE49-F238E27FC236}">
              <a16:creationId xmlns:a16="http://schemas.microsoft.com/office/drawing/2014/main" id="{88DB7FA5-423B-41CD-A0D6-50BE1E11088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62" name="Text Box 1">
          <a:extLst>
            <a:ext uri="{FF2B5EF4-FFF2-40B4-BE49-F238E27FC236}">
              <a16:creationId xmlns:a16="http://schemas.microsoft.com/office/drawing/2014/main" id="{3F11AEEE-BBCA-4861-BF4B-D57AB8AE517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63" name="Text Box 1">
          <a:extLst>
            <a:ext uri="{FF2B5EF4-FFF2-40B4-BE49-F238E27FC236}">
              <a16:creationId xmlns:a16="http://schemas.microsoft.com/office/drawing/2014/main" id="{7E37A14C-04FD-4711-8366-40AF030BB28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64" name="Text Box 1">
          <a:extLst>
            <a:ext uri="{FF2B5EF4-FFF2-40B4-BE49-F238E27FC236}">
              <a16:creationId xmlns:a16="http://schemas.microsoft.com/office/drawing/2014/main" id="{9E55FC57-A244-4072-B69A-FD7EF5ACA6C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65" name="Text Box 1">
          <a:extLst>
            <a:ext uri="{FF2B5EF4-FFF2-40B4-BE49-F238E27FC236}">
              <a16:creationId xmlns:a16="http://schemas.microsoft.com/office/drawing/2014/main" id="{998D34F4-7AD4-4D67-ABD6-DF2B729AA72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66" name="Text Box 1">
          <a:extLst>
            <a:ext uri="{FF2B5EF4-FFF2-40B4-BE49-F238E27FC236}">
              <a16:creationId xmlns:a16="http://schemas.microsoft.com/office/drawing/2014/main" id="{3555A448-DC48-4BFE-AD81-EDC62133407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67" name="Text Box 1">
          <a:extLst>
            <a:ext uri="{FF2B5EF4-FFF2-40B4-BE49-F238E27FC236}">
              <a16:creationId xmlns:a16="http://schemas.microsoft.com/office/drawing/2014/main" id="{28590AC8-5D0F-47E5-969B-623BD95401E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68" name="Text Box 1">
          <a:extLst>
            <a:ext uri="{FF2B5EF4-FFF2-40B4-BE49-F238E27FC236}">
              <a16:creationId xmlns:a16="http://schemas.microsoft.com/office/drawing/2014/main" id="{6BA6D595-36ED-4779-8CA5-6D6552F2BBC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69" name="Text Box 1">
          <a:extLst>
            <a:ext uri="{FF2B5EF4-FFF2-40B4-BE49-F238E27FC236}">
              <a16:creationId xmlns:a16="http://schemas.microsoft.com/office/drawing/2014/main" id="{05A65850-CC22-41A7-911B-1D54E9B5F9D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70" name="Text Box 1">
          <a:extLst>
            <a:ext uri="{FF2B5EF4-FFF2-40B4-BE49-F238E27FC236}">
              <a16:creationId xmlns:a16="http://schemas.microsoft.com/office/drawing/2014/main" id="{2BDAFF4B-04C3-4AD6-9C8C-55ACE8130CE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71" name="Text Box 1">
          <a:extLst>
            <a:ext uri="{FF2B5EF4-FFF2-40B4-BE49-F238E27FC236}">
              <a16:creationId xmlns:a16="http://schemas.microsoft.com/office/drawing/2014/main" id="{546C9FF5-2675-4811-A956-CCB2BB94AF8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72" name="Text Box 1">
          <a:extLst>
            <a:ext uri="{FF2B5EF4-FFF2-40B4-BE49-F238E27FC236}">
              <a16:creationId xmlns:a16="http://schemas.microsoft.com/office/drawing/2014/main" id="{9317639A-F167-4A85-884C-DBC74955B02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73" name="Text Box 1">
          <a:extLst>
            <a:ext uri="{FF2B5EF4-FFF2-40B4-BE49-F238E27FC236}">
              <a16:creationId xmlns:a16="http://schemas.microsoft.com/office/drawing/2014/main" id="{71D93F4F-AFA6-4746-A6FB-66BCDBF2026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74" name="Text Box 1">
          <a:extLst>
            <a:ext uri="{FF2B5EF4-FFF2-40B4-BE49-F238E27FC236}">
              <a16:creationId xmlns:a16="http://schemas.microsoft.com/office/drawing/2014/main" id="{F677B41F-BD4C-4236-852B-5A49B9EF752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75" name="Text Box 1">
          <a:extLst>
            <a:ext uri="{FF2B5EF4-FFF2-40B4-BE49-F238E27FC236}">
              <a16:creationId xmlns:a16="http://schemas.microsoft.com/office/drawing/2014/main" id="{257514F0-337C-445F-987C-3FD42DEA561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76" name="Text Box 1">
          <a:extLst>
            <a:ext uri="{FF2B5EF4-FFF2-40B4-BE49-F238E27FC236}">
              <a16:creationId xmlns:a16="http://schemas.microsoft.com/office/drawing/2014/main" id="{A24140F3-D763-4960-B49D-032F2D845AD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77" name="Text Box 1">
          <a:extLst>
            <a:ext uri="{FF2B5EF4-FFF2-40B4-BE49-F238E27FC236}">
              <a16:creationId xmlns:a16="http://schemas.microsoft.com/office/drawing/2014/main" id="{5733D2D0-DEEB-4C60-BC86-A8455675550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78" name="Text Box 1">
          <a:extLst>
            <a:ext uri="{FF2B5EF4-FFF2-40B4-BE49-F238E27FC236}">
              <a16:creationId xmlns:a16="http://schemas.microsoft.com/office/drawing/2014/main" id="{D24EF44C-41C1-446D-9747-772AABE526F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79" name="Text Box 1">
          <a:extLst>
            <a:ext uri="{FF2B5EF4-FFF2-40B4-BE49-F238E27FC236}">
              <a16:creationId xmlns:a16="http://schemas.microsoft.com/office/drawing/2014/main" id="{9F1200A2-0E05-4F0D-8B2E-0B2CC694983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80" name="Text Box 1">
          <a:extLst>
            <a:ext uri="{FF2B5EF4-FFF2-40B4-BE49-F238E27FC236}">
              <a16:creationId xmlns:a16="http://schemas.microsoft.com/office/drawing/2014/main" id="{1B554FC3-862E-412E-A382-158EE6FAD33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81" name="Text Box 1">
          <a:extLst>
            <a:ext uri="{FF2B5EF4-FFF2-40B4-BE49-F238E27FC236}">
              <a16:creationId xmlns:a16="http://schemas.microsoft.com/office/drawing/2014/main" id="{F40CDCF6-87E7-486B-83C4-46369153C16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82" name="Text Box 1">
          <a:extLst>
            <a:ext uri="{FF2B5EF4-FFF2-40B4-BE49-F238E27FC236}">
              <a16:creationId xmlns:a16="http://schemas.microsoft.com/office/drawing/2014/main" id="{90CEE6E9-A1E9-4A85-A47B-83335F99928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83" name="Text Box 1">
          <a:extLst>
            <a:ext uri="{FF2B5EF4-FFF2-40B4-BE49-F238E27FC236}">
              <a16:creationId xmlns:a16="http://schemas.microsoft.com/office/drawing/2014/main" id="{05018758-B935-4A6E-A51D-809B2E43827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84" name="Text Box 1">
          <a:extLst>
            <a:ext uri="{FF2B5EF4-FFF2-40B4-BE49-F238E27FC236}">
              <a16:creationId xmlns:a16="http://schemas.microsoft.com/office/drawing/2014/main" id="{955E04DD-3564-4A45-ACD8-1E071526B2A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85" name="Text Box 1">
          <a:extLst>
            <a:ext uri="{FF2B5EF4-FFF2-40B4-BE49-F238E27FC236}">
              <a16:creationId xmlns:a16="http://schemas.microsoft.com/office/drawing/2014/main" id="{2D2062D0-8C28-41FF-89BC-833F6C943EA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86" name="Text Box 1">
          <a:extLst>
            <a:ext uri="{FF2B5EF4-FFF2-40B4-BE49-F238E27FC236}">
              <a16:creationId xmlns:a16="http://schemas.microsoft.com/office/drawing/2014/main" id="{33F905E5-042E-4526-9584-BB7E94CFE2C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87" name="Text Box 1">
          <a:extLst>
            <a:ext uri="{FF2B5EF4-FFF2-40B4-BE49-F238E27FC236}">
              <a16:creationId xmlns:a16="http://schemas.microsoft.com/office/drawing/2014/main" id="{5E1229BD-45A7-46F8-BD1C-FE19F4EB66B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88" name="Text Box 1">
          <a:extLst>
            <a:ext uri="{FF2B5EF4-FFF2-40B4-BE49-F238E27FC236}">
              <a16:creationId xmlns:a16="http://schemas.microsoft.com/office/drawing/2014/main" id="{ADDE8ACF-544F-48E2-982C-8A373141CC6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89" name="Text Box 1">
          <a:extLst>
            <a:ext uri="{FF2B5EF4-FFF2-40B4-BE49-F238E27FC236}">
              <a16:creationId xmlns:a16="http://schemas.microsoft.com/office/drawing/2014/main" id="{E2144125-B884-4C7A-9BB3-2B9A7EB4051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90" name="Text Box 1">
          <a:extLst>
            <a:ext uri="{FF2B5EF4-FFF2-40B4-BE49-F238E27FC236}">
              <a16:creationId xmlns:a16="http://schemas.microsoft.com/office/drawing/2014/main" id="{5E181872-8ADF-4F5C-B488-BBAD5B10AD8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91" name="Text Box 1">
          <a:extLst>
            <a:ext uri="{FF2B5EF4-FFF2-40B4-BE49-F238E27FC236}">
              <a16:creationId xmlns:a16="http://schemas.microsoft.com/office/drawing/2014/main" id="{20E2FB25-82A8-456D-ACCE-8CB40DC0418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92" name="Text Box 1">
          <a:extLst>
            <a:ext uri="{FF2B5EF4-FFF2-40B4-BE49-F238E27FC236}">
              <a16:creationId xmlns:a16="http://schemas.microsoft.com/office/drawing/2014/main" id="{C87B2509-2B37-4FCE-8729-26CDC4823A4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93" name="Text Box 1">
          <a:extLst>
            <a:ext uri="{FF2B5EF4-FFF2-40B4-BE49-F238E27FC236}">
              <a16:creationId xmlns:a16="http://schemas.microsoft.com/office/drawing/2014/main" id="{C465F7AC-A4E6-46FC-98CA-8C9DF81C10E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94" name="Text Box 1">
          <a:extLst>
            <a:ext uri="{FF2B5EF4-FFF2-40B4-BE49-F238E27FC236}">
              <a16:creationId xmlns:a16="http://schemas.microsoft.com/office/drawing/2014/main" id="{5D193729-90CB-4209-9EB4-F33E937A6D4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95" name="Text Box 1">
          <a:extLst>
            <a:ext uri="{FF2B5EF4-FFF2-40B4-BE49-F238E27FC236}">
              <a16:creationId xmlns:a16="http://schemas.microsoft.com/office/drawing/2014/main" id="{37AAAA0C-A1F0-4C25-BA52-88A70FAECF9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96" name="Text Box 1">
          <a:extLst>
            <a:ext uri="{FF2B5EF4-FFF2-40B4-BE49-F238E27FC236}">
              <a16:creationId xmlns:a16="http://schemas.microsoft.com/office/drawing/2014/main" id="{8E3BCCC5-328C-42BB-BDDB-16E1A5C507C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97" name="Text Box 1">
          <a:extLst>
            <a:ext uri="{FF2B5EF4-FFF2-40B4-BE49-F238E27FC236}">
              <a16:creationId xmlns:a16="http://schemas.microsoft.com/office/drawing/2014/main" id="{F0B9E3FD-E6A5-45E0-98EC-A72585A4407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98" name="Text Box 1">
          <a:extLst>
            <a:ext uri="{FF2B5EF4-FFF2-40B4-BE49-F238E27FC236}">
              <a16:creationId xmlns:a16="http://schemas.microsoft.com/office/drawing/2014/main" id="{8F0304DB-74B9-43E5-A09A-930FF122AB3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099" name="Text Box 1">
          <a:extLst>
            <a:ext uri="{FF2B5EF4-FFF2-40B4-BE49-F238E27FC236}">
              <a16:creationId xmlns:a16="http://schemas.microsoft.com/office/drawing/2014/main" id="{ACFCD737-80B0-4485-A32B-1625263C2A7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00" name="Text Box 1">
          <a:extLst>
            <a:ext uri="{FF2B5EF4-FFF2-40B4-BE49-F238E27FC236}">
              <a16:creationId xmlns:a16="http://schemas.microsoft.com/office/drawing/2014/main" id="{5517779B-A3D2-4A85-BA29-FAFE1865A4A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01" name="Text Box 1">
          <a:extLst>
            <a:ext uri="{FF2B5EF4-FFF2-40B4-BE49-F238E27FC236}">
              <a16:creationId xmlns:a16="http://schemas.microsoft.com/office/drawing/2014/main" id="{9A98DECE-7787-4C09-8034-0FB9615B9AA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02" name="Text Box 1">
          <a:extLst>
            <a:ext uri="{FF2B5EF4-FFF2-40B4-BE49-F238E27FC236}">
              <a16:creationId xmlns:a16="http://schemas.microsoft.com/office/drawing/2014/main" id="{56874C0F-CD58-4C9C-A21B-8AB15919A7D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03" name="Text Box 1">
          <a:extLst>
            <a:ext uri="{FF2B5EF4-FFF2-40B4-BE49-F238E27FC236}">
              <a16:creationId xmlns:a16="http://schemas.microsoft.com/office/drawing/2014/main" id="{4C6139E6-8CDA-404B-A5C9-3F3631BC73A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04" name="Text Box 1">
          <a:extLst>
            <a:ext uri="{FF2B5EF4-FFF2-40B4-BE49-F238E27FC236}">
              <a16:creationId xmlns:a16="http://schemas.microsoft.com/office/drawing/2014/main" id="{F3FE9E54-01EE-47D7-B650-A1801ED26F4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05" name="Text Box 1">
          <a:extLst>
            <a:ext uri="{FF2B5EF4-FFF2-40B4-BE49-F238E27FC236}">
              <a16:creationId xmlns:a16="http://schemas.microsoft.com/office/drawing/2014/main" id="{BB4635BE-2FFD-4F97-9491-A307109BE8D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06" name="Text Box 1">
          <a:extLst>
            <a:ext uri="{FF2B5EF4-FFF2-40B4-BE49-F238E27FC236}">
              <a16:creationId xmlns:a16="http://schemas.microsoft.com/office/drawing/2014/main" id="{71E47464-C911-4DFF-8E69-CB026661008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07" name="Text Box 1">
          <a:extLst>
            <a:ext uri="{FF2B5EF4-FFF2-40B4-BE49-F238E27FC236}">
              <a16:creationId xmlns:a16="http://schemas.microsoft.com/office/drawing/2014/main" id="{7A9A6DC8-8B73-42B3-BD7E-74221D93183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08" name="Text Box 1">
          <a:extLst>
            <a:ext uri="{FF2B5EF4-FFF2-40B4-BE49-F238E27FC236}">
              <a16:creationId xmlns:a16="http://schemas.microsoft.com/office/drawing/2014/main" id="{9AD11E0F-39D7-46F7-8D68-505F1DE036B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09" name="Text Box 1">
          <a:extLst>
            <a:ext uri="{FF2B5EF4-FFF2-40B4-BE49-F238E27FC236}">
              <a16:creationId xmlns:a16="http://schemas.microsoft.com/office/drawing/2014/main" id="{EC6494DE-36E5-422C-BB18-B680EC235F6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10" name="Text Box 1">
          <a:extLst>
            <a:ext uri="{FF2B5EF4-FFF2-40B4-BE49-F238E27FC236}">
              <a16:creationId xmlns:a16="http://schemas.microsoft.com/office/drawing/2014/main" id="{B2C0A4B4-C486-49F7-ABE3-95BCDF3637B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11" name="Text Box 1">
          <a:extLst>
            <a:ext uri="{FF2B5EF4-FFF2-40B4-BE49-F238E27FC236}">
              <a16:creationId xmlns:a16="http://schemas.microsoft.com/office/drawing/2014/main" id="{E34E3BAA-88A2-4031-89A5-F9AE30D13ED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12" name="Text Box 1">
          <a:extLst>
            <a:ext uri="{FF2B5EF4-FFF2-40B4-BE49-F238E27FC236}">
              <a16:creationId xmlns:a16="http://schemas.microsoft.com/office/drawing/2014/main" id="{610D1AF9-C2AC-4F45-802A-ECF32F98FF0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13" name="Text Box 1">
          <a:extLst>
            <a:ext uri="{FF2B5EF4-FFF2-40B4-BE49-F238E27FC236}">
              <a16:creationId xmlns:a16="http://schemas.microsoft.com/office/drawing/2014/main" id="{52505860-5210-4C88-AB05-EDF4514E672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14" name="Text Box 1">
          <a:extLst>
            <a:ext uri="{FF2B5EF4-FFF2-40B4-BE49-F238E27FC236}">
              <a16:creationId xmlns:a16="http://schemas.microsoft.com/office/drawing/2014/main" id="{82501E9D-EEE4-47A2-96F5-2837876C478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15" name="Text Box 1">
          <a:extLst>
            <a:ext uri="{FF2B5EF4-FFF2-40B4-BE49-F238E27FC236}">
              <a16:creationId xmlns:a16="http://schemas.microsoft.com/office/drawing/2014/main" id="{C1E6202F-07C5-485E-AC5A-27C1C985D4A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16" name="Text Box 1">
          <a:extLst>
            <a:ext uri="{FF2B5EF4-FFF2-40B4-BE49-F238E27FC236}">
              <a16:creationId xmlns:a16="http://schemas.microsoft.com/office/drawing/2014/main" id="{0D16327D-DC7B-408B-A6AE-0B5B7ABA58A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17" name="Text Box 1">
          <a:extLst>
            <a:ext uri="{FF2B5EF4-FFF2-40B4-BE49-F238E27FC236}">
              <a16:creationId xmlns:a16="http://schemas.microsoft.com/office/drawing/2014/main" id="{9491B457-9DC9-4112-A7A6-B88CC6AA06E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18" name="Text Box 1">
          <a:extLst>
            <a:ext uri="{FF2B5EF4-FFF2-40B4-BE49-F238E27FC236}">
              <a16:creationId xmlns:a16="http://schemas.microsoft.com/office/drawing/2014/main" id="{BF239A16-A216-4755-B791-94B45F182E9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19" name="Text Box 1">
          <a:extLst>
            <a:ext uri="{FF2B5EF4-FFF2-40B4-BE49-F238E27FC236}">
              <a16:creationId xmlns:a16="http://schemas.microsoft.com/office/drawing/2014/main" id="{72A16387-CEC8-496A-88DA-6AACC709D99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20" name="Text Box 1">
          <a:extLst>
            <a:ext uri="{FF2B5EF4-FFF2-40B4-BE49-F238E27FC236}">
              <a16:creationId xmlns:a16="http://schemas.microsoft.com/office/drawing/2014/main" id="{253B5520-911E-4DD0-B777-6BA41CCFD31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21" name="Text Box 1">
          <a:extLst>
            <a:ext uri="{FF2B5EF4-FFF2-40B4-BE49-F238E27FC236}">
              <a16:creationId xmlns:a16="http://schemas.microsoft.com/office/drawing/2014/main" id="{3EE771B2-59FE-4418-883E-E1EE821CBFB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22" name="Text Box 1">
          <a:extLst>
            <a:ext uri="{FF2B5EF4-FFF2-40B4-BE49-F238E27FC236}">
              <a16:creationId xmlns:a16="http://schemas.microsoft.com/office/drawing/2014/main" id="{A17BE419-222C-4D2A-A442-88581349D1C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23" name="Text Box 1">
          <a:extLst>
            <a:ext uri="{FF2B5EF4-FFF2-40B4-BE49-F238E27FC236}">
              <a16:creationId xmlns:a16="http://schemas.microsoft.com/office/drawing/2014/main" id="{D966BE90-8CCA-4BD1-B56F-FD5A8EA6E9F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24" name="Text Box 1">
          <a:extLst>
            <a:ext uri="{FF2B5EF4-FFF2-40B4-BE49-F238E27FC236}">
              <a16:creationId xmlns:a16="http://schemas.microsoft.com/office/drawing/2014/main" id="{76C13850-C8B3-4557-9822-AD291AE0438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25" name="Text Box 1">
          <a:extLst>
            <a:ext uri="{FF2B5EF4-FFF2-40B4-BE49-F238E27FC236}">
              <a16:creationId xmlns:a16="http://schemas.microsoft.com/office/drawing/2014/main" id="{B95C06B7-BA83-471B-BF6C-3B437477D61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26" name="Text Box 1">
          <a:extLst>
            <a:ext uri="{FF2B5EF4-FFF2-40B4-BE49-F238E27FC236}">
              <a16:creationId xmlns:a16="http://schemas.microsoft.com/office/drawing/2014/main" id="{B1C2DBD2-CF38-4E79-BC5D-F684567306C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27" name="Text Box 1">
          <a:extLst>
            <a:ext uri="{FF2B5EF4-FFF2-40B4-BE49-F238E27FC236}">
              <a16:creationId xmlns:a16="http://schemas.microsoft.com/office/drawing/2014/main" id="{A5A25754-24F6-4268-B266-24FA33425F9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28" name="Text Box 1">
          <a:extLst>
            <a:ext uri="{FF2B5EF4-FFF2-40B4-BE49-F238E27FC236}">
              <a16:creationId xmlns:a16="http://schemas.microsoft.com/office/drawing/2014/main" id="{EF8E9259-AC37-4ACB-B38F-BC124241A8B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29" name="Text Box 1">
          <a:extLst>
            <a:ext uri="{FF2B5EF4-FFF2-40B4-BE49-F238E27FC236}">
              <a16:creationId xmlns:a16="http://schemas.microsoft.com/office/drawing/2014/main" id="{4C4A8C7D-BB39-456B-B3C9-8A72B0B98B0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30" name="Text Box 1">
          <a:extLst>
            <a:ext uri="{FF2B5EF4-FFF2-40B4-BE49-F238E27FC236}">
              <a16:creationId xmlns:a16="http://schemas.microsoft.com/office/drawing/2014/main" id="{ECDFF6B2-BD1A-4139-B10F-3E82646FBDE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31" name="Text Box 1">
          <a:extLst>
            <a:ext uri="{FF2B5EF4-FFF2-40B4-BE49-F238E27FC236}">
              <a16:creationId xmlns:a16="http://schemas.microsoft.com/office/drawing/2014/main" id="{5831E772-4EBD-4FE0-8886-EAA42F7FA99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32" name="Text Box 1">
          <a:extLst>
            <a:ext uri="{FF2B5EF4-FFF2-40B4-BE49-F238E27FC236}">
              <a16:creationId xmlns:a16="http://schemas.microsoft.com/office/drawing/2014/main" id="{C6AD62A6-F936-46D6-AEBF-FA9B84BF556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33" name="Text Box 1">
          <a:extLst>
            <a:ext uri="{FF2B5EF4-FFF2-40B4-BE49-F238E27FC236}">
              <a16:creationId xmlns:a16="http://schemas.microsoft.com/office/drawing/2014/main" id="{F7731EB9-CCD3-4A18-A9E4-348C708B56D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34" name="Text Box 1">
          <a:extLst>
            <a:ext uri="{FF2B5EF4-FFF2-40B4-BE49-F238E27FC236}">
              <a16:creationId xmlns:a16="http://schemas.microsoft.com/office/drawing/2014/main" id="{1FD06502-99BD-4437-984D-B7C78C37C4A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35" name="Text Box 1">
          <a:extLst>
            <a:ext uri="{FF2B5EF4-FFF2-40B4-BE49-F238E27FC236}">
              <a16:creationId xmlns:a16="http://schemas.microsoft.com/office/drawing/2014/main" id="{D4AE65F6-6B28-4F2D-AD42-CC2A2EB23D0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36" name="Text Box 1">
          <a:extLst>
            <a:ext uri="{FF2B5EF4-FFF2-40B4-BE49-F238E27FC236}">
              <a16:creationId xmlns:a16="http://schemas.microsoft.com/office/drawing/2014/main" id="{0411D1D2-37E9-425B-AEB8-A8B927C010A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37" name="Text Box 1">
          <a:extLst>
            <a:ext uri="{FF2B5EF4-FFF2-40B4-BE49-F238E27FC236}">
              <a16:creationId xmlns:a16="http://schemas.microsoft.com/office/drawing/2014/main" id="{C3B3685E-6B7C-4F86-A17E-B413BE15337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38" name="Text Box 1">
          <a:extLst>
            <a:ext uri="{FF2B5EF4-FFF2-40B4-BE49-F238E27FC236}">
              <a16:creationId xmlns:a16="http://schemas.microsoft.com/office/drawing/2014/main" id="{3569F2F2-D6D7-41CF-A0FF-904AFFB66C2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39" name="Text Box 1">
          <a:extLst>
            <a:ext uri="{FF2B5EF4-FFF2-40B4-BE49-F238E27FC236}">
              <a16:creationId xmlns:a16="http://schemas.microsoft.com/office/drawing/2014/main" id="{56673535-F1CA-4D06-9EC5-C7F9972D63A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40" name="Text Box 1">
          <a:extLst>
            <a:ext uri="{FF2B5EF4-FFF2-40B4-BE49-F238E27FC236}">
              <a16:creationId xmlns:a16="http://schemas.microsoft.com/office/drawing/2014/main" id="{1C347975-8B0D-4D4E-B81C-8D298887E84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41" name="Text Box 1">
          <a:extLst>
            <a:ext uri="{FF2B5EF4-FFF2-40B4-BE49-F238E27FC236}">
              <a16:creationId xmlns:a16="http://schemas.microsoft.com/office/drawing/2014/main" id="{25B10ED1-8284-4021-B63C-BDA9D31514E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42" name="Text Box 1">
          <a:extLst>
            <a:ext uri="{FF2B5EF4-FFF2-40B4-BE49-F238E27FC236}">
              <a16:creationId xmlns:a16="http://schemas.microsoft.com/office/drawing/2014/main" id="{4BB7A685-596A-47BD-BE24-3D2462D2A0F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43" name="Text Box 1">
          <a:extLst>
            <a:ext uri="{FF2B5EF4-FFF2-40B4-BE49-F238E27FC236}">
              <a16:creationId xmlns:a16="http://schemas.microsoft.com/office/drawing/2014/main" id="{9B6DCFB5-0608-4B13-8447-9ACC53ED22D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44" name="Text Box 1">
          <a:extLst>
            <a:ext uri="{FF2B5EF4-FFF2-40B4-BE49-F238E27FC236}">
              <a16:creationId xmlns:a16="http://schemas.microsoft.com/office/drawing/2014/main" id="{AFA712FC-23A8-465C-AF55-F6F9C844EE5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45" name="Text Box 1">
          <a:extLst>
            <a:ext uri="{FF2B5EF4-FFF2-40B4-BE49-F238E27FC236}">
              <a16:creationId xmlns:a16="http://schemas.microsoft.com/office/drawing/2014/main" id="{503EC0DD-7807-4741-A52C-6B52A4E69A8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46" name="Text Box 1">
          <a:extLst>
            <a:ext uri="{FF2B5EF4-FFF2-40B4-BE49-F238E27FC236}">
              <a16:creationId xmlns:a16="http://schemas.microsoft.com/office/drawing/2014/main" id="{2E2B6959-E2EB-4F0A-B9D6-1F9DC5D26D1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47" name="Text Box 1">
          <a:extLst>
            <a:ext uri="{FF2B5EF4-FFF2-40B4-BE49-F238E27FC236}">
              <a16:creationId xmlns:a16="http://schemas.microsoft.com/office/drawing/2014/main" id="{690B2FFD-595D-497F-8F9F-D4B4AE2F021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48" name="Text Box 1">
          <a:extLst>
            <a:ext uri="{FF2B5EF4-FFF2-40B4-BE49-F238E27FC236}">
              <a16:creationId xmlns:a16="http://schemas.microsoft.com/office/drawing/2014/main" id="{DE62ECD2-639D-41AC-9135-5B5F4E06F7F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49" name="Text Box 1">
          <a:extLst>
            <a:ext uri="{FF2B5EF4-FFF2-40B4-BE49-F238E27FC236}">
              <a16:creationId xmlns:a16="http://schemas.microsoft.com/office/drawing/2014/main" id="{9C9CCDB0-3C80-4140-AA53-8A9422E6019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50" name="Text Box 1">
          <a:extLst>
            <a:ext uri="{FF2B5EF4-FFF2-40B4-BE49-F238E27FC236}">
              <a16:creationId xmlns:a16="http://schemas.microsoft.com/office/drawing/2014/main" id="{A6442E87-79FF-4614-A507-CA8B3B51678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51" name="Text Box 1">
          <a:extLst>
            <a:ext uri="{FF2B5EF4-FFF2-40B4-BE49-F238E27FC236}">
              <a16:creationId xmlns:a16="http://schemas.microsoft.com/office/drawing/2014/main" id="{710831D2-FA4C-4EC5-94BC-F423A865D27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52" name="Text Box 1">
          <a:extLst>
            <a:ext uri="{FF2B5EF4-FFF2-40B4-BE49-F238E27FC236}">
              <a16:creationId xmlns:a16="http://schemas.microsoft.com/office/drawing/2014/main" id="{ADD30ED9-9DA0-4EE5-B5E1-92663031585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53" name="Text Box 1">
          <a:extLst>
            <a:ext uri="{FF2B5EF4-FFF2-40B4-BE49-F238E27FC236}">
              <a16:creationId xmlns:a16="http://schemas.microsoft.com/office/drawing/2014/main" id="{9060A4F8-07CF-46A8-8C31-6D6A17645A1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54" name="Text Box 1">
          <a:extLst>
            <a:ext uri="{FF2B5EF4-FFF2-40B4-BE49-F238E27FC236}">
              <a16:creationId xmlns:a16="http://schemas.microsoft.com/office/drawing/2014/main" id="{370C0281-A9C2-4E84-83AE-3A64C97F035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55" name="Text Box 1">
          <a:extLst>
            <a:ext uri="{FF2B5EF4-FFF2-40B4-BE49-F238E27FC236}">
              <a16:creationId xmlns:a16="http://schemas.microsoft.com/office/drawing/2014/main" id="{9C8D844C-E0A1-44C8-B0BE-5921CD4E698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56" name="Text Box 1">
          <a:extLst>
            <a:ext uri="{FF2B5EF4-FFF2-40B4-BE49-F238E27FC236}">
              <a16:creationId xmlns:a16="http://schemas.microsoft.com/office/drawing/2014/main" id="{01DD8BC2-D13D-4A51-AF8E-4ECFC3F461D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57" name="Text Box 1">
          <a:extLst>
            <a:ext uri="{FF2B5EF4-FFF2-40B4-BE49-F238E27FC236}">
              <a16:creationId xmlns:a16="http://schemas.microsoft.com/office/drawing/2014/main" id="{5A0BB2CF-69C5-40FC-B0F5-9614FD632BE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58" name="Text Box 1">
          <a:extLst>
            <a:ext uri="{FF2B5EF4-FFF2-40B4-BE49-F238E27FC236}">
              <a16:creationId xmlns:a16="http://schemas.microsoft.com/office/drawing/2014/main" id="{A59EFB3C-1A13-4CB8-B7FB-243F56495A8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59" name="Text Box 1">
          <a:extLst>
            <a:ext uri="{FF2B5EF4-FFF2-40B4-BE49-F238E27FC236}">
              <a16:creationId xmlns:a16="http://schemas.microsoft.com/office/drawing/2014/main" id="{58A4A6BF-374A-42BC-BA18-12533BD51A0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60" name="Text Box 1">
          <a:extLst>
            <a:ext uri="{FF2B5EF4-FFF2-40B4-BE49-F238E27FC236}">
              <a16:creationId xmlns:a16="http://schemas.microsoft.com/office/drawing/2014/main" id="{47A67CBB-6F5E-453D-97B4-6D531BAC743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61" name="Text Box 1">
          <a:extLst>
            <a:ext uri="{FF2B5EF4-FFF2-40B4-BE49-F238E27FC236}">
              <a16:creationId xmlns:a16="http://schemas.microsoft.com/office/drawing/2014/main" id="{F3803D09-D3F4-4221-A036-691B40CDE72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62" name="Text Box 1">
          <a:extLst>
            <a:ext uri="{FF2B5EF4-FFF2-40B4-BE49-F238E27FC236}">
              <a16:creationId xmlns:a16="http://schemas.microsoft.com/office/drawing/2014/main" id="{1A5CFB8B-1968-4B8C-911A-9C44FC1A47D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63" name="Text Box 1">
          <a:extLst>
            <a:ext uri="{FF2B5EF4-FFF2-40B4-BE49-F238E27FC236}">
              <a16:creationId xmlns:a16="http://schemas.microsoft.com/office/drawing/2014/main" id="{B5F8B98D-25D0-4B5B-80BC-4A20EC97276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64" name="Text Box 1">
          <a:extLst>
            <a:ext uri="{FF2B5EF4-FFF2-40B4-BE49-F238E27FC236}">
              <a16:creationId xmlns:a16="http://schemas.microsoft.com/office/drawing/2014/main" id="{A3F2246A-0039-454B-8087-0F4FB88304A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65" name="Text Box 1">
          <a:extLst>
            <a:ext uri="{FF2B5EF4-FFF2-40B4-BE49-F238E27FC236}">
              <a16:creationId xmlns:a16="http://schemas.microsoft.com/office/drawing/2014/main" id="{BB7E1402-7F51-4F42-B093-20EF1594D77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66" name="Text Box 1">
          <a:extLst>
            <a:ext uri="{FF2B5EF4-FFF2-40B4-BE49-F238E27FC236}">
              <a16:creationId xmlns:a16="http://schemas.microsoft.com/office/drawing/2014/main" id="{E9515146-F969-4295-9C93-55488E6AE35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67" name="Text Box 1">
          <a:extLst>
            <a:ext uri="{FF2B5EF4-FFF2-40B4-BE49-F238E27FC236}">
              <a16:creationId xmlns:a16="http://schemas.microsoft.com/office/drawing/2014/main" id="{C8AD2C84-1E32-4485-8F24-73657D596EC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68" name="Text Box 1">
          <a:extLst>
            <a:ext uri="{FF2B5EF4-FFF2-40B4-BE49-F238E27FC236}">
              <a16:creationId xmlns:a16="http://schemas.microsoft.com/office/drawing/2014/main" id="{17406A54-C353-4836-9368-AEC0BD2A3F7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69" name="Text Box 1">
          <a:extLst>
            <a:ext uri="{FF2B5EF4-FFF2-40B4-BE49-F238E27FC236}">
              <a16:creationId xmlns:a16="http://schemas.microsoft.com/office/drawing/2014/main" id="{DC8C242F-F2A0-4AF7-959F-68BE20827FB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70" name="Text Box 1">
          <a:extLst>
            <a:ext uri="{FF2B5EF4-FFF2-40B4-BE49-F238E27FC236}">
              <a16:creationId xmlns:a16="http://schemas.microsoft.com/office/drawing/2014/main" id="{19366A42-BDDD-4426-A931-EEE9382D258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71" name="Text Box 1">
          <a:extLst>
            <a:ext uri="{FF2B5EF4-FFF2-40B4-BE49-F238E27FC236}">
              <a16:creationId xmlns:a16="http://schemas.microsoft.com/office/drawing/2014/main" id="{28A92BF4-910A-4B9A-BBB8-A14F781D2EB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72" name="Text Box 1">
          <a:extLst>
            <a:ext uri="{FF2B5EF4-FFF2-40B4-BE49-F238E27FC236}">
              <a16:creationId xmlns:a16="http://schemas.microsoft.com/office/drawing/2014/main" id="{6912AA1B-8181-4AE6-ABAD-AC7C20ECCEB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73" name="Text Box 1">
          <a:extLst>
            <a:ext uri="{FF2B5EF4-FFF2-40B4-BE49-F238E27FC236}">
              <a16:creationId xmlns:a16="http://schemas.microsoft.com/office/drawing/2014/main" id="{1591CBA8-E685-4AC6-97A2-5B5928EF8D9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74" name="Text Box 1">
          <a:extLst>
            <a:ext uri="{FF2B5EF4-FFF2-40B4-BE49-F238E27FC236}">
              <a16:creationId xmlns:a16="http://schemas.microsoft.com/office/drawing/2014/main" id="{1CDD8BF6-FA5E-4332-8E49-05D69AAD4FF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75" name="Text Box 1">
          <a:extLst>
            <a:ext uri="{FF2B5EF4-FFF2-40B4-BE49-F238E27FC236}">
              <a16:creationId xmlns:a16="http://schemas.microsoft.com/office/drawing/2014/main" id="{FF4DB39E-4CB8-458B-BEBC-0E1709AF3BD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76" name="Text Box 1">
          <a:extLst>
            <a:ext uri="{FF2B5EF4-FFF2-40B4-BE49-F238E27FC236}">
              <a16:creationId xmlns:a16="http://schemas.microsoft.com/office/drawing/2014/main" id="{62F817F2-063E-4B0E-893E-3FEA2698558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77" name="Text Box 1">
          <a:extLst>
            <a:ext uri="{FF2B5EF4-FFF2-40B4-BE49-F238E27FC236}">
              <a16:creationId xmlns:a16="http://schemas.microsoft.com/office/drawing/2014/main" id="{7F0E0C19-62DC-4AC6-9951-C04E9FB0A4E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78" name="Text Box 1">
          <a:extLst>
            <a:ext uri="{FF2B5EF4-FFF2-40B4-BE49-F238E27FC236}">
              <a16:creationId xmlns:a16="http://schemas.microsoft.com/office/drawing/2014/main" id="{81F5F2F2-2F98-4618-B493-CFB6C9C396B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79" name="Text Box 1">
          <a:extLst>
            <a:ext uri="{FF2B5EF4-FFF2-40B4-BE49-F238E27FC236}">
              <a16:creationId xmlns:a16="http://schemas.microsoft.com/office/drawing/2014/main" id="{EFC77EC2-8FF4-4B53-8F6E-DB9E06EF54A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80" name="Text Box 1">
          <a:extLst>
            <a:ext uri="{FF2B5EF4-FFF2-40B4-BE49-F238E27FC236}">
              <a16:creationId xmlns:a16="http://schemas.microsoft.com/office/drawing/2014/main" id="{BF6E38D9-05BA-470D-89C9-5CEECC417F2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81" name="Text Box 1">
          <a:extLst>
            <a:ext uri="{FF2B5EF4-FFF2-40B4-BE49-F238E27FC236}">
              <a16:creationId xmlns:a16="http://schemas.microsoft.com/office/drawing/2014/main" id="{00CAD845-3FD8-4363-BC83-1BB7042F46A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82" name="Text Box 1">
          <a:extLst>
            <a:ext uri="{FF2B5EF4-FFF2-40B4-BE49-F238E27FC236}">
              <a16:creationId xmlns:a16="http://schemas.microsoft.com/office/drawing/2014/main" id="{1B8FAF7D-583E-4A3F-A44E-F7B6272DE81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83" name="Text Box 1">
          <a:extLst>
            <a:ext uri="{FF2B5EF4-FFF2-40B4-BE49-F238E27FC236}">
              <a16:creationId xmlns:a16="http://schemas.microsoft.com/office/drawing/2014/main" id="{A63AFBFF-595B-433A-B63C-AD1ACF86DC8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84" name="Text Box 1">
          <a:extLst>
            <a:ext uri="{FF2B5EF4-FFF2-40B4-BE49-F238E27FC236}">
              <a16:creationId xmlns:a16="http://schemas.microsoft.com/office/drawing/2014/main" id="{CAF2325B-FCBC-46A8-AA01-410764E9999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85" name="Text Box 1">
          <a:extLst>
            <a:ext uri="{FF2B5EF4-FFF2-40B4-BE49-F238E27FC236}">
              <a16:creationId xmlns:a16="http://schemas.microsoft.com/office/drawing/2014/main" id="{5FEFFEE0-D817-4A30-8481-69E620AC447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86" name="Text Box 1">
          <a:extLst>
            <a:ext uri="{FF2B5EF4-FFF2-40B4-BE49-F238E27FC236}">
              <a16:creationId xmlns:a16="http://schemas.microsoft.com/office/drawing/2014/main" id="{C3611150-6590-4ABE-8362-0AA8370FE70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87" name="Text Box 1">
          <a:extLst>
            <a:ext uri="{FF2B5EF4-FFF2-40B4-BE49-F238E27FC236}">
              <a16:creationId xmlns:a16="http://schemas.microsoft.com/office/drawing/2014/main" id="{BB5F0387-7304-4A58-BD77-7C0857C6C53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88" name="Text Box 1">
          <a:extLst>
            <a:ext uri="{FF2B5EF4-FFF2-40B4-BE49-F238E27FC236}">
              <a16:creationId xmlns:a16="http://schemas.microsoft.com/office/drawing/2014/main" id="{70631743-B17D-4696-8B82-55D89489421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89" name="Text Box 1">
          <a:extLst>
            <a:ext uri="{FF2B5EF4-FFF2-40B4-BE49-F238E27FC236}">
              <a16:creationId xmlns:a16="http://schemas.microsoft.com/office/drawing/2014/main" id="{9938D0E6-CFCE-481B-9EB1-7608ACDE7A4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90" name="Text Box 1">
          <a:extLst>
            <a:ext uri="{FF2B5EF4-FFF2-40B4-BE49-F238E27FC236}">
              <a16:creationId xmlns:a16="http://schemas.microsoft.com/office/drawing/2014/main" id="{9BA2D758-1250-428C-86C5-3925D74D89B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91" name="Text Box 1">
          <a:extLst>
            <a:ext uri="{FF2B5EF4-FFF2-40B4-BE49-F238E27FC236}">
              <a16:creationId xmlns:a16="http://schemas.microsoft.com/office/drawing/2014/main" id="{55A780FD-E6EA-41E4-BB80-A748C322AEE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92" name="Text Box 1">
          <a:extLst>
            <a:ext uri="{FF2B5EF4-FFF2-40B4-BE49-F238E27FC236}">
              <a16:creationId xmlns:a16="http://schemas.microsoft.com/office/drawing/2014/main" id="{D18C387A-D28F-4837-9746-E15CF56F0FE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93" name="Text Box 1">
          <a:extLst>
            <a:ext uri="{FF2B5EF4-FFF2-40B4-BE49-F238E27FC236}">
              <a16:creationId xmlns:a16="http://schemas.microsoft.com/office/drawing/2014/main" id="{6D4324B4-AB38-4FDB-A58A-A70EFB19D2F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94" name="Text Box 1">
          <a:extLst>
            <a:ext uri="{FF2B5EF4-FFF2-40B4-BE49-F238E27FC236}">
              <a16:creationId xmlns:a16="http://schemas.microsoft.com/office/drawing/2014/main" id="{3EF4A867-6BFA-4137-8E3D-58931E3341C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95" name="Text Box 1">
          <a:extLst>
            <a:ext uri="{FF2B5EF4-FFF2-40B4-BE49-F238E27FC236}">
              <a16:creationId xmlns:a16="http://schemas.microsoft.com/office/drawing/2014/main" id="{330C57A4-9080-4014-94F7-F6FE755110C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96" name="Text Box 1">
          <a:extLst>
            <a:ext uri="{FF2B5EF4-FFF2-40B4-BE49-F238E27FC236}">
              <a16:creationId xmlns:a16="http://schemas.microsoft.com/office/drawing/2014/main" id="{C0A2F8AA-889F-4E97-B94D-D5739380D52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97" name="Text Box 1">
          <a:extLst>
            <a:ext uri="{FF2B5EF4-FFF2-40B4-BE49-F238E27FC236}">
              <a16:creationId xmlns:a16="http://schemas.microsoft.com/office/drawing/2014/main" id="{1A5638EE-DD52-4879-92C0-2BDFBDC76B7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98" name="Text Box 1">
          <a:extLst>
            <a:ext uri="{FF2B5EF4-FFF2-40B4-BE49-F238E27FC236}">
              <a16:creationId xmlns:a16="http://schemas.microsoft.com/office/drawing/2014/main" id="{25D1BB43-1AC8-4036-811E-4C6855B0B50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199" name="Text Box 1">
          <a:extLst>
            <a:ext uri="{FF2B5EF4-FFF2-40B4-BE49-F238E27FC236}">
              <a16:creationId xmlns:a16="http://schemas.microsoft.com/office/drawing/2014/main" id="{67C50496-50AF-4C9D-9F4A-6435CEB4D3F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00" name="Text Box 1">
          <a:extLst>
            <a:ext uri="{FF2B5EF4-FFF2-40B4-BE49-F238E27FC236}">
              <a16:creationId xmlns:a16="http://schemas.microsoft.com/office/drawing/2014/main" id="{DF2968A4-6248-44E0-BFDC-A3A6E2D2BD5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01" name="Text Box 1">
          <a:extLst>
            <a:ext uri="{FF2B5EF4-FFF2-40B4-BE49-F238E27FC236}">
              <a16:creationId xmlns:a16="http://schemas.microsoft.com/office/drawing/2014/main" id="{5D2B9E17-7687-4366-ABBD-FF1988070DF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02" name="Text Box 1">
          <a:extLst>
            <a:ext uri="{FF2B5EF4-FFF2-40B4-BE49-F238E27FC236}">
              <a16:creationId xmlns:a16="http://schemas.microsoft.com/office/drawing/2014/main" id="{50837CCE-9324-4579-80FE-F4D78FB1227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03" name="Text Box 1">
          <a:extLst>
            <a:ext uri="{FF2B5EF4-FFF2-40B4-BE49-F238E27FC236}">
              <a16:creationId xmlns:a16="http://schemas.microsoft.com/office/drawing/2014/main" id="{9ABE6D5F-66F2-49F7-ACC9-6C59A6DEC51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04" name="Text Box 1">
          <a:extLst>
            <a:ext uri="{FF2B5EF4-FFF2-40B4-BE49-F238E27FC236}">
              <a16:creationId xmlns:a16="http://schemas.microsoft.com/office/drawing/2014/main" id="{70651D15-39D6-4790-BD9C-2952DFCCB8F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05" name="Text Box 1">
          <a:extLst>
            <a:ext uri="{FF2B5EF4-FFF2-40B4-BE49-F238E27FC236}">
              <a16:creationId xmlns:a16="http://schemas.microsoft.com/office/drawing/2014/main" id="{E650BF36-9024-4BA8-AAD4-5C70E8ECDBF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06" name="Text Box 1">
          <a:extLst>
            <a:ext uri="{FF2B5EF4-FFF2-40B4-BE49-F238E27FC236}">
              <a16:creationId xmlns:a16="http://schemas.microsoft.com/office/drawing/2014/main" id="{3CD7ABE5-E822-4CF9-BD51-FF1644459A7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07" name="Text Box 1">
          <a:extLst>
            <a:ext uri="{FF2B5EF4-FFF2-40B4-BE49-F238E27FC236}">
              <a16:creationId xmlns:a16="http://schemas.microsoft.com/office/drawing/2014/main" id="{8E1B37B9-BF0F-451A-BA06-A55E7E5D77A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08" name="Text Box 1">
          <a:extLst>
            <a:ext uri="{FF2B5EF4-FFF2-40B4-BE49-F238E27FC236}">
              <a16:creationId xmlns:a16="http://schemas.microsoft.com/office/drawing/2014/main" id="{06DB83DA-12F2-49A9-B2C0-40CDB731C1C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09" name="Text Box 1">
          <a:extLst>
            <a:ext uri="{FF2B5EF4-FFF2-40B4-BE49-F238E27FC236}">
              <a16:creationId xmlns:a16="http://schemas.microsoft.com/office/drawing/2014/main" id="{A30F33E5-12FB-46D9-9DDF-0C5C3E0818A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10" name="Text Box 1">
          <a:extLst>
            <a:ext uri="{FF2B5EF4-FFF2-40B4-BE49-F238E27FC236}">
              <a16:creationId xmlns:a16="http://schemas.microsoft.com/office/drawing/2014/main" id="{3762759A-E5AC-426C-B93E-299564F9029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11" name="Text Box 1">
          <a:extLst>
            <a:ext uri="{FF2B5EF4-FFF2-40B4-BE49-F238E27FC236}">
              <a16:creationId xmlns:a16="http://schemas.microsoft.com/office/drawing/2014/main" id="{E5B4C49C-71B9-4779-9470-1040FF3A943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12" name="Text Box 1">
          <a:extLst>
            <a:ext uri="{FF2B5EF4-FFF2-40B4-BE49-F238E27FC236}">
              <a16:creationId xmlns:a16="http://schemas.microsoft.com/office/drawing/2014/main" id="{CEFE08EF-E3A2-4E93-988E-C3F420BC934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13" name="Text Box 1">
          <a:extLst>
            <a:ext uri="{FF2B5EF4-FFF2-40B4-BE49-F238E27FC236}">
              <a16:creationId xmlns:a16="http://schemas.microsoft.com/office/drawing/2014/main" id="{54833C4C-B3D7-46A2-8652-3010EFE9C90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14" name="Text Box 1">
          <a:extLst>
            <a:ext uri="{FF2B5EF4-FFF2-40B4-BE49-F238E27FC236}">
              <a16:creationId xmlns:a16="http://schemas.microsoft.com/office/drawing/2014/main" id="{E19E8566-101B-4DE2-97FF-62FABA9E026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15" name="Text Box 1">
          <a:extLst>
            <a:ext uri="{FF2B5EF4-FFF2-40B4-BE49-F238E27FC236}">
              <a16:creationId xmlns:a16="http://schemas.microsoft.com/office/drawing/2014/main" id="{05C06375-5AB4-47CD-A9C1-39B35427377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16" name="Text Box 1">
          <a:extLst>
            <a:ext uri="{FF2B5EF4-FFF2-40B4-BE49-F238E27FC236}">
              <a16:creationId xmlns:a16="http://schemas.microsoft.com/office/drawing/2014/main" id="{8DF550A9-4AD9-403C-B7DF-ED3CBCC5043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17" name="Text Box 1">
          <a:extLst>
            <a:ext uri="{FF2B5EF4-FFF2-40B4-BE49-F238E27FC236}">
              <a16:creationId xmlns:a16="http://schemas.microsoft.com/office/drawing/2014/main" id="{3ED11C73-8043-4BFA-A857-5539E6896B8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18" name="Text Box 1">
          <a:extLst>
            <a:ext uri="{FF2B5EF4-FFF2-40B4-BE49-F238E27FC236}">
              <a16:creationId xmlns:a16="http://schemas.microsoft.com/office/drawing/2014/main" id="{D65BF169-82F3-4ED4-B488-DF6E21E0AB4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19" name="Text Box 1">
          <a:extLst>
            <a:ext uri="{FF2B5EF4-FFF2-40B4-BE49-F238E27FC236}">
              <a16:creationId xmlns:a16="http://schemas.microsoft.com/office/drawing/2014/main" id="{F63C0EBF-5B01-4E3B-8DCD-6E8833741CA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20" name="Text Box 1">
          <a:extLst>
            <a:ext uri="{FF2B5EF4-FFF2-40B4-BE49-F238E27FC236}">
              <a16:creationId xmlns:a16="http://schemas.microsoft.com/office/drawing/2014/main" id="{72BE7CF1-D424-4329-AE6A-27F787C1F60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21" name="Text Box 1">
          <a:extLst>
            <a:ext uri="{FF2B5EF4-FFF2-40B4-BE49-F238E27FC236}">
              <a16:creationId xmlns:a16="http://schemas.microsoft.com/office/drawing/2014/main" id="{685BB622-7778-44B3-8184-FFB413ED1EC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22" name="Text Box 1">
          <a:extLst>
            <a:ext uri="{FF2B5EF4-FFF2-40B4-BE49-F238E27FC236}">
              <a16:creationId xmlns:a16="http://schemas.microsoft.com/office/drawing/2014/main" id="{15332F30-C0A5-42CD-A11B-B814560BB9A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23" name="Text Box 1">
          <a:extLst>
            <a:ext uri="{FF2B5EF4-FFF2-40B4-BE49-F238E27FC236}">
              <a16:creationId xmlns:a16="http://schemas.microsoft.com/office/drawing/2014/main" id="{5A1C4D3D-CAAF-464B-AB5C-8A69C2409DA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24" name="Text Box 1">
          <a:extLst>
            <a:ext uri="{FF2B5EF4-FFF2-40B4-BE49-F238E27FC236}">
              <a16:creationId xmlns:a16="http://schemas.microsoft.com/office/drawing/2014/main" id="{D274075F-359F-4EC8-A490-B3D68BAD432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25" name="Text Box 1">
          <a:extLst>
            <a:ext uri="{FF2B5EF4-FFF2-40B4-BE49-F238E27FC236}">
              <a16:creationId xmlns:a16="http://schemas.microsoft.com/office/drawing/2014/main" id="{BB7B0425-351A-45F1-84EC-0E1E7C54D6E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26" name="Text Box 1">
          <a:extLst>
            <a:ext uri="{FF2B5EF4-FFF2-40B4-BE49-F238E27FC236}">
              <a16:creationId xmlns:a16="http://schemas.microsoft.com/office/drawing/2014/main" id="{054281A7-6AF6-4ED2-8BD9-9FAE7169863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27" name="Text Box 1">
          <a:extLst>
            <a:ext uri="{FF2B5EF4-FFF2-40B4-BE49-F238E27FC236}">
              <a16:creationId xmlns:a16="http://schemas.microsoft.com/office/drawing/2014/main" id="{997401E4-A471-4423-B9D8-27684E87CFC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28" name="Text Box 1">
          <a:extLst>
            <a:ext uri="{FF2B5EF4-FFF2-40B4-BE49-F238E27FC236}">
              <a16:creationId xmlns:a16="http://schemas.microsoft.com/office/drawing/2014/main" id="{3B3A4F9F-A52A-4F37-9702-0F17A121A38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29" name="Text Box 1">
          <a:extLst>
            <a:ext uri="{FF2B5EF4-FFF2-40B4-BE49-F238E27FC236}">
              <a16:creationId xmlns:a16="http://schemas.microsoft.com/office/drawing/2014/main" id="{12E1A153-F858-40F3-9BB8-62EF396CEFC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30" name="Text Box 1">
          <a:extLst>
            <a:ext uri="{FF2B5EF4-FFF2-40B4-BE49-F238E27FC236}">
              <a16:creationId xmlns:a16="http://schemas.microsoft.com/office/drawing/2014/main" id="{43EB473B-679C-4432-9641-1909ED836BA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31" name="Text Box 1">
          <a:extLst>
            <a:ext uri="{FF2B5EF4-FFF2-40B4-BE49-F238E27FC236}">
              <a16:creationId xmlns:a16="http://schemas.microsoft.com/office/drawing/2014/main" id="{CF3C606B-90B4-494B-8370-12C76AA7A25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32" name="Text Box 1">
          <a:extLst>
            <a:ext uri="{FF2B5EF4-FFF2-40B4-BE49-F238E27FC236}">
              <a16:creationId xmlns:a16="http://schemas.microsoft.com/office/drawing/2014/main" id="{D5B6E5D5-CFE0-4F80-8BD4-4C1CE67CC1B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33" name="Text Box 1">
          <a:extLst>
            <a:ext uri="{FF2B5EF4-FFF2-40B4-BE49-F238E27FC236}">
              <a16:creationId xmlns:a16="http://schemas.microsoft.com/office/drawing/2014/main" id="{4BAF2ADF-3535-4092-AD39-2A617D2EBB9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34" name="Text Box 1">
          <a:extLst>
            <a:ext uri="{FF2B5EF4-FFF2-40B4-BE49-F238E27FC236}">
              <a16:creationId xmlns:a16="http://schemas.microsoft.com/office/drawing/2014/main" id="{E94142EE-DB54-4A4C-A5EF-22323C7D941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35" name="Text Box 1">
          <a:extLst>
            <a:ext uri="{FF2B5EF4-FFF2-40B4-BE49-F238E27FC236}">
              <a16:creationId xmlns:a16="http://schemas.microsoft.com/office/drawing/2014/main" id="{E9FC2DAF-3198-42D1-A42E-4F4FE86F855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36" name="Text Box 1">
          <a:extLst>
            <a:ext uri="{FF2B5EF4-FFF2-40B4-BE49-F238E27FC236}">
              <a16:creationId xmlns:a16="http://schemas.microsoft.com/office/drawing/2014/main" id="{5D2FDE17-C961-4BAA-AE60-7A2C74F504C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37" name="Text Box 1">
          <a:extLst>
            <a:ext uri="{FF2B5EF4-FFF2-40B4-BE49-F238E27FC236}">
              <a16:creationId xmlns:a16="http://schemas.microsoft.com/office/drawing/2014/main" id="{40EA78B2-F1F9-4C68-A541-47A1EA152E6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38" name="Text Box 1">
          <a:extLst>
            <a:ext uri="{FF2B5EF4-FFF2-40B4-BE49-F238E27FC236}">
              <a16:creationId xmlns:a16="http://schemas.microsoft.com/office/drawing/2014/main" id="{52D818B9-B698-4760-8134-622DCD41A71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39" name="Text Box 1">
          <a:extLst>
            <a:ext uri="{FF2B5EF4-FFF2-40B4-BE49-F238E27FC236}">
              <a16:creationId xmlns:a16="http://schemas.microsoft.com/office/drawing/2014/main" id="{F8F3A5BE-C5E6-4F85-8E94-327B01435B2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40" name="Text Box 1">
          <a:extLst>
            <a:ext uri="{FF2B5EF4-FFF2-40B4-BE49-F238E27FC236}">
              <a16:creationId xmlns:a16="http://schemas.microsoft.com/office/drawing/2014/main" id="{8802C41D-6059-49D9-B8FE-FE0891272E7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41" name="Text Box 1">
          <a:extLst>
            <a:ext uri="{FF2B5EF4-FFF2-40B4-BE49-F238E27FC236}">
              <a16:creationId xmlns:a16="http://schemas.microsoft.com/office/drawing/2014/main" id="{80CB82A2-6FE2-46F1-9D7D-2F817079812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42" name="Text Box 1">
          <a:extLst>
            <a:ext uri="{FF2B5EF4-FFF2-40B4-BE49-F238E27FC236}">
              <a16:creationId xmlns:a16="http://schemas.microsoft.com/office/drawing/2014/main" id="{C19BE5A7-28B2-49BF-9D56-1E17BB9BDFF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43" name="Text Box 1">
          <a:extLst>
            <a:ext uri="{FF2B5EF4-FFF2-40B4-BE49-F238E27FC236}">
              <a16:creationId xmlns:a16="http://schemas.microsoft.com/office/drawing/2014/main" id="{A01A71F8-22C6-4F64-A9AA-E8267A79EB5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44" name="Text Box 1">
          <a:extLst>
            <a:ext uri="{FF2B5EF4-FFF2-40B4-BE49-F238E27FC236}">
              <a16:creationId xmlns:a16="http://schemas.microsoft.com/office/drawing/2014/main" id="{7BFF5283-2445-46E2-A6A0-085E30B348B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45" name="Text Box 1">
          <a:extLst>
            <a:ext uri="{FF2B5EF4-FFF2-40B4-BE49-F238E27FC236}">
              <a16:creationId xmlns:a16="http://schemas.microsoft.com/office/drawing/2014/main" id="{F7BB61A1-7A6E-4DAC-AE85-230FC0917A6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46" name="Text Box 1">
          <a:extLst>
            <a:ext uri="{FF2B5EF4-FFF2-40B4-BE49-F238E27FC236}">
              <a16:creationId xmlns:a16="http://schemas.microsoft.com/office/drawing/2014/main" id="{9442114C-6C93-4E57-AD19-AE4E4B19EFD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47" name="Text Box 1">
          <a:extLst>
            <a:ext uri="{FF2B5EF4-FFF2-40B4-BE49-F238E27FC236}">
              <a16:creationId xmlns:a16="http://schemas.microsoft.com/office/drawing/2014/main" id="{BA2CF0C8-2362-4C5C-AF9D-3B76D7214AA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48" name="Text Box 1">
          <a:extLst>
            <a:ext uri="{FF2B5EF4-FFF2-40B4-BE49-F238E27FC236}">
              <a16:creationId xmlns:a16="http://schemas.microsoft.com/office/drawing/2014/main" id="{5F4BB058-3F4E-4E03-9AE1-EB871C38099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49" name="Text Box 1">
          <a:extLst>
            <a:ext uri="{FF2B5EF4-FFF2-40B4-BE49-F238E27FC236}">
              <a16:creationId xmlns:a16="http://schemas.microsoft.com/office/drawing/2014/main" id="{659C55E1-A834-445E-8632-05BCC3ACA75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50" name="Text Box 1">
          <a:extLst>
            <a:ext uri="{FF2B5EF4-FFF2-40B4-BE49-F238E27FC236}">
              <a16:creationId xmlns:a16="http://schemas.microsoft.com/office/drawing/2014/main" id="{2BDBA3BD-03EC-4AFB-A30E-E5E71D79541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51" name="Text Box 1">
          <a:extLst>
            <a:ext uri="{FF2B5EF4-FFF2-40B4-BE49-F238E27FC236}">
              <a16:creationId xmlns:a16="http://schemas.microsoft.com/office/drawing/2014/main" id="{14F1CBB7-32E1-4C76-B39E-7E8EABB1C8B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52" name="Text Box 1">
          <a:extLst>
            <a:ext uri="{FF2B5EF4-FFF2-40B4-BE49-F238E27FC236}">
              <a16:creationId xmlns:a16="http://schemas.microsoft.com/office/drawing/2014/main" id="{8D4B2C1B-B89E-4D4D-9137-BD9D2802EDB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53" name="Text Box 1">
          <a:extLst>
            <a:ext uri="{FF2B5EF4-FFF2-40B4-BE49-F238E27FC236}">
              <a16:creationId xmlns:a16="http://schemas.microsoft.com/office/drawing/2014/main" id="{19DFD8AE-49DF-45FF-80CC-69BC5F21CFB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54" name="Text Box 1">
          <a:extLst>
            <a:ext uri="{FF2B5EF4-FFF2-40B4-BE49-F238E27FC236}">
              <a16:creationId xmlns:a16="http://schemas.microsoft.com/office/drawing/2014/main" id="{7D3D753B-DFA7-4B8C-8984-368CC4DF491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55" name="Text Box 1">
          <a:extLst>
            <a:ext uri="{FF2B5EF4-FFF2-40B4-BE49-F238E27FC236}">
              <a16:creationId xmlns:a16="http://schemas.microsoft.com/office/drawing/2014/main" id="{EC0B0EA0-3F62-4979-A1E6-ACAB3DB3E80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56" name="Text Box 1">
          <a:extLst>
            <a:ext uri="{FF2B5EF4-FFF2-40B4-BE49-F238E27FC236}">
              <a16:creationId xmlns:a16="http://schemas.microsoft.com/office/drawing/2014/main" id="{2DFED717-963E-4B6A-AC19-1EACD3CA4CA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57" name="Text Box 1">
          <a:extLst>
            <a:ext uri="{FF2B5EF4-FFF2-40B4-BE49-F238E27FC236}">
              <a16:creationId xmlns:a16="http://schemas.microsoft.com/office/drawing/2014/main" id="{71242729-9426-459E-A0B8-7CA285DED4F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58" name="Text Box 1">
          <a:extLst>
            <a:ext uri="{FF2B5EF4-FFF2-40B4-BE49-F238E27FC236}">
              <a16:creationId xmlns:a16="http://schemas.microsoft.com/office/drawing/2014/main" id="{D1C57732-76BA-4F13-BD14-78058AA8973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59" name="Text Box 1">
          <a:extLst>
            <a:ext uri="{FF2B5EF4-FFF2-40B4-BE49-F238E27FC236}">
              <a16:creationId xmlns:a16="http://schemas.microsoft.com/office/drawing/2014/main" id="{E3DCFE53-C472-4365-AF83-1064ED949F7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60" name="Text Box 1">
          <a:extLst>
            <a:ext uri="{FF2B5EF4-FFF2-40B4-BE49-F238E27FC236}">
              <a16:creationId xmlns:a16="http://schemas.microsoft.com/office/drawing/2014/main" id="{66A5FF8E-DB38-4BB4-B1F1-DD92E0F08CC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61" name="Text Box 1">
          <a:extLst>
            <a:ext uri="{FF2B5EF4-FFF2-40B4-BE49-F238E27FC236}">
              <a16:creationId xmlns:a16="http://schemas.microsoft.com/office/drawing/2014/main" id="{40310BD7-31A9-49EF-B024-AC5CC299BF7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62" name="Text Box 1">
          <a:extLst>
            <a:ext uri="{FF2B5EF4-FFF2-40B4-BE49-F238E27FC236}">
              <a16:creationId xmlns:a16="http://schemas.microsoft.com/office/drawing/2014/main" id="{0B9C2EF8-0823-4932-A295-AFB3598657D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63" name="Text Box 1">
          <a:extLst>
            <a:ext uri="{FF2B5EF4-FFF2-40B4-BE49-F238E27FC236}">
              <a16:creationId xmlns:a16="http://schemas.microsoft.com/office/drawing/2014/main" id="{6A454007-BDDA-4373-8C07-AC175F6FABF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64" name="Text Box 1">
          <a:extLst>
            <a:ext uri="{FF2B5EF4-FFF2-40B4-BE49-F238E27FC236}">
              <a16:creationId xmlns:a16="http://schemas.microsoft.com/office/drawing/2014/main" id="{FC38FDE2-6B83-4BC4-AC26-A98F34E2AF8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65" name="Text Box 1">
          <a:extLst>
            <a:ext uri="{FF2B5EF4-FFF2-40B4-BE49-F238E27FC236}">
              <a16:creationId xmlns:a16="http://schemas.microsoft.com/office/drawing/2014/main" id="{F2814CAA-EC9B-41DC-BCEF-1123DB87EB3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66" name="Text Box 1">
          <a:extLst>
            <a:ext uri="{FF2B5EF4-FFF2-40B4-BE49-F238E27FC236}">
              <a16:creationId xmlns:a16="http://schemas.microsoft.com/office/drawing/2014/main" id="{9E073A4B-A8D2-4100-8F84-9EF191EC4B0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67" name="Text Box 1">
          <a:extLst>
            <a:ext uri="{FF2B5EF4-FFF2-40B4-BE49-F238E27FC236}">
              <a16:creationId xmlns:a16="http://schemas.microsoft.com/office/drawing/2014/main" id="{0C5D7788-AFE9-4F83-93E4-D85B952E31A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68" name="Text Box 1">
          <a:extLst>
            <a:ext uri="{FF2B5EF4-FFF2-40B4-BE49-F238E27FC236}">
              <a16:creationId xmlns:a16="http://schemas.microsoft.com/office/drawing/2014/main" id="{70C49F97-4F71-4F00-9274-94A88B28DC2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69" name="Text Box 1">
          <a:extLst>
            <a:ext uri="{FF2B5EF4-FFF2-40B4-BE49-F238E27FC236}">
              <a16:creationId xmlns:a16="http://schemas.microsoft.com/office/drawing/2014/main" id="{F6F7DCF1-25E6-4D29-A567-47CDFE8F760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70" name="Text Box 1">
          <a:extLst>
            <a:ext uri="{FF2B5EF4-FFF2-40B4-BE49-F238E27FC236}">
              <a16:creationId xmlns:a16="http://schemas.microsoft.com/office/drawing/2014/main" id="{57E098A3-51D3-46D3-A382-D36B3F855EC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71" name="Text Box 1">
          <a:extLst>
            <a:ext uri="{FF2B5EF4-FFF2-40B4-BE49-F238E27FC236}">
              <a16:creationId xmlns:a16="http://schemas.microsoft.com/office/drawing/2014/main" id="{B4E00B56-2FAE-4A5B-9769-6A23EF63804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72" name="Text Box 1">
          <a:extLst>
            <a:ext uri="{FF2B5EF4-FFF2-40B4-BE49-F238E27FC236}">
              <a16:creationId xmlns:a16="http://schemas.microsoft.com/office/drawing/2014/main" id="{FA1392CF-9434-420A-A106-261D177A9DE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73" name="Text Box 1">
          <a:extLst>
            <a:ext uri="{FF2B5EF4-FFF2-40B4-BE49-F238E27FC236}">
              <a16:creationId xmlns:a16="http://schemas.microsoft.com/office/drawing/2014/main" id="{185ED85E-FA7C-4456-B0DE-258B3FE0EDA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74" name="Text Box 1">
          <a:extLst>
            <a:ext uri="{FF2B5EF4-FFF2-40B4-BE49-F238E27FC236}">
              <a16:creationId xmlns:a16="http://schemas.microsoft.com/office/drawing/2014/main" id="{3E726A15-6C70-4523-AC72-0A4A2410FB3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75" name="Text Box 1">
          <a:extLst>
            <a:ext uri="{FF2B5EF4-FFF2-40B4-BE49-F238E27FC236}">
              <a16:creationId xmlns:a16="http://schemas.microsoft.com/office/drawing/2014/main" id="{FFE181F7-59E8-4651-A966-F051D11B137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76" name="Text Box 1">
          <a:extLst>
            <a:ext uri="{FF2B5EF4-FFF2-40B4-BE49-F238E27FC236}">
              <a16:creationId xmlns:a16="http://schemas.microsoft.com/office/drawing/2014/main" id="{8150C44D-A8B6-44F6-BFCE-93ACF676E28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77" name="Text Box 1">
          <a:extLst>
            <a:ext uri="{FF2B5EF4-FFF2-40B4-BE49-F238E27FC236}">
              <a16:creationId xmlns:a16="http://schemas.microsoft.com/office/drawing/2014/main" id="{27F6104F-2997-489C-A693-98A7DF70903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78" name="Text Box 1">
          <a:extLst>
            <a:ext uri="{FF2B5EF4-FFF2-40B4-BE49-F238E27FC236}">
              <a16:creationId xmlns:a16="http://schemas.microsoft.com/office/drawing/2014/main" id="{9E6660B3-04C3-4DF7-860A-1F1C8F4CCFB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79" name="Text Box 1">
          <a:extLst>
            <a:ext uri="{FF2B5EF4-FFF2-40B4-BE49-F238E27FC236}">
              <a16:creationId xmlns:a16="http://schemas.microsoft.com/office/drawing/2014/main" id="{067D054C-13CB-4511-95BA-271FFE41B96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80" name="Text Box 1">
          <a:extLst>
            <a:ext uri="{FF2B5EF4-FFF2-40B4-BE49-F238E27FC236}">
              <a16:creationId xmlns:a16="http://schemas.microsoft.com/office/drawing/2014/main" id="{F08355A2-A32E-419F-A6E5-67DE826D84F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81" name="Text Box 1">
          <a:extLst>
            <a:ext uri="{FF2B5EF4-FFF2-40B4-BE49-F238E27FC236}">
              <a16:creationId xmlns:a16="http://schemas.microsoft.com/office/drawing/2014/main" id="{B43E9103-9D59-4E5D-BDEA-2C4051F74C2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82" name="Text Box 1">
          <a:extLst>
            <a:ext uri="{FF2B5EF4-FFF2-40B4-BE49-F238E27FC236}">
              <a16:creationId xmlns:a16="http://schemas.microsoft.com/office/drawing/2014/main" id="{A64AC435-2A85-4FA6-A285-1BDCDE0FC58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83" name="Text Box 1">
          <a:extLst>
            <a:ext uri="{FF2B5EF4-FFF2-40B4-BE49-F238E27FC236}">
              <a16:creationId xmlns:a16="http://schemas.microsoft.com/office/drawing/2014/main" id="{09DFED81-1FE9-4277-8323-667FE2B5526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84" name="Text Box 1">
          <a:extLst>
            <a:ext uri="{FF2B5EF4-FFF2-40B4-BE49-F238E27FC236}">
              <a16:creationId xmlns:a16="http://schemas.microsoft.com/office/drawing/2014/main" id="{15A6CD33-A31B-4AB9-AAEB-1B19BE3E479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85" name="Text Box 1">
          <a:extLst>
            <a:ext uri="{FF2B5EF4-FFF2-40B4-BE49-F238E27FC236}">
              <a16:creationId xmlns:a16="http://schemas.microsoft.com/office/drawing/2014/main" id="{A03B099F-EC50-4A94-920F-C3CF7E9C481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86" name="Text Box 1">
          <a:extLst>
            <a:ext uri="{FF2B5EF4-FFF2-40B4-BE49-F238E27FC236}">
              <a16:creationId xmlns:a16="http://schemas.microsoft.com/office/drawing/2014/main" id="{1F11A67B-623B-4428-B1EC-6A64BEC22B5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87" name="Text Box 1">
          <a:extLst>
            <a:ext uri="{FF2B5EF4-FFF2-40B4-BE49-F238E27FC236}">
              <a16:creationId xmlns:a16="http://schemas.microsoft.com/office/drawing/2014/main" id="{8F384AB1-2E2A-4363-84BA-BC2C99DFB28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88" name="Text Box 1">
          <a:extLst>
            <a:ext uri="{FF2B5EF4-FFF2-40B4-BE49-F238E27FC236}">
              <a16:creationId xmlns:a16="http://schemas.microsoft.com/office/drawing/2014/main" id="{BBFB8CA8-C307-4C91-9D4C-DAE80EB3899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89" name="Text Box 1">
          <a:extLst>
            <a:ext uri="{FF2B5EF4-FFF2-40B4-BE49-F238E27FC236}">
              <a16:creationId xmlns:a16="http://schemas.microsoft.com/office/drawing/2014/main" id="{CF80C217-84E1-4E81-90D4-092B066BF97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90" name="Text Box 1">
          <a:extLst>
            <a:ext uri="{FF2B5EF4-FFF2-40B4-BE49-F238E27FC236}">
              <a16:creationId xmlns:a16="http://schemas.microsoft.com/office/drawing/2014/main" id="{A5647B21-CB19-48BD-97D4-1A48B0137ED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91" name="Text Box 1">
          <a:extLst>
            <a:ext uri="{FF2B5EF4-FFF2-40B4-BE49-F238E27FC236}">
              <a16:creationId xmlns:a16="http://schemas.microsoft.com/office/drawing/2014/main" id="{108A5E46-0054-4F51-B803-77060026D62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92" name="Text Box 1">
          <a:extLst>
            <a:ext uri="{FF2B5EF4-FFF2-40B4-BE49-F238E27FC236}">
              <a16:creationId xmlns:a16="http://schemas.microsoft.com/office/drawing/2014/main" id="{3630E21D-5A7C-47BE-B510-C2E67AAB84C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93" name="Text Box 1">
          <a:extLst>
            <a:ext uri="{FF2B5EF4-FFF2-40B4-BE49-F238E27FC236}">
              <a16:creationId xmlns:a16="http://schemas.microsoft.com/office/drawing/2014/main" id="{3AD971BC-01FE-4F5A-9689-797034BCB6D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94" name="Text Box 1">
          <a:extLst>
            <a:ext uri="{FF2B5EF4-FFF2-40B4-BE49-F238E27FC236}">
              <a16:creationId xmlns:a16="http://schemas.microsoft.com/office/drawing/2014/main" id="{BDE5CC4B-0C50-4692-B6E6-011405B8FC5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95" name="Text Box 1">
          <a:extLst>
            <a:ext uri="{FF2B5EF4-FFF2-40B4-BE49-F238E27FC236}">
              <a16:creationId xmlns:a16="http://schemas.microsoft.com/office/drawing/2014/main" id="{1F057481-9EAF-4053-9A21-1CC41ED440C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96" name="Text Box 1">
          <a:extLst>
            <a:ext uri="{FF2B5EF4-FFF2-40B4-BE49-F238E27FC236}">
              <a16:creationId xmlns:a16="http://schemas.microsoft.com/office/drawing/2014/main" id="{5D360CB2-E394-4BF2-9918-DA600C230F1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97" name="Text Box 1">
          <a:extLst>
            <a:ext uri="{FF2B5EF4-FFF2-40B4-BE49-F238E27FC236}">
              <a16:creationId xmlns:a16="http://schemas.microsoft.com/office/drawing/2014/main" id="{38522D8F-AABE-4ACA-8EA7-E1535F2A860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98" name="Text Box 1">
          <a:extLst>
            <a:ext uri="{FF2B5EF4-FFF2-40B4-BE49-F238E27FC236}">
              <a16:creationId xmlns:a16="http://schemas.microsoft.com/office/drawing/2014/main" id="{C8E34BF5-1F94-437C-96D2-C6F1D7E54BD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299" name="Text Box 1">
          <a:extLst>
            <a:ext uri="{FF2B5EF4-FFF2-40B4-BE49-F238E27FC236}">
              <a16:creationId xmlns:a16="http://schemas.microsoft.com/office/drawing/2014/main" id="{19CFD901-636D-4D2F-82E0-2FEDC6B0017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00" name="Text Box 1">
          <a:extLst>
            <a:ext uri="{FF2B5EF4-FFF2-40B4-BE49-F238E27FC236}">
              <a16:creationId xmlns:a16="http://schemas.microsoft.com/office/drawing/2014/main" id="{FE414391-BE22-4D27-9851-41767887CDE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01" name="Text Box 1">
          <a:extLst>
            <a:ext uri="{FF2B5EF4-FFF2-40B4-BE49-F238E27FC236}">
              <a16:creationId xmlns:a16="http://schemas.microsoft.com/office/drawing/2014/main" id="{480E35FA-2831-47D3-B759-841E616A31F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02" name="Text Box 1">
          <a:extLst>
            <a:ext uri="{FF2B5EF4-FFF2-40B4-BE49-F238E27FC236}">
              <a16:creationId xmlns:a16="http://schemas.microsoft.com/office/drawing/2014/main" id="{48BFEEF9-A724-46D8-B6A6-394BB37EA37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03" name="Text Box 1">
          <a:extLst>
            <a:ext uri="{FF2B5EF4-FFF2-40B4-BE49-F238E27FC236}">
              <a16:creationId xmlns:a16="http://schemas.microsoft.com/office/drawing/2014/main" id="{FF2D595D-B24A-44DB-B460-10A30F447A5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04" name="Text Box 1">
          <a:extLst>
            <a:ext uri="{FF2B5EF4-FFF2-40B4-BE49-F238E27FC236}">
              <a16:creationId xmlns:a16="http://schemas.microsoft.com/office/drawing/2014/main" id="{EA014CA1-49A7-4A87-951B-AE15DEBA158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05" name="Text Box 1">
          <a:extLst>
            <a:ext uri="{FF2B5EF4-FFF2-40B4-BE49-F238E27FC236}">
              <a16:creationId xmlns:a16="http://schemas.microsoft.com/office/drawing/2014/main" id="{D1D8EFA7-5111-4C87-B4D6-DD688950E23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06" name="Text Box 1">
          <a:extLst>
            <a:ext uri="{FF2B5EF4-FFF2-40B4-BE49-F238E27FC236}">
              <a16:creationId xmlns:a16="http://schemas.microsoft.com/office/drawing/2014/main" id="{3D44D1DC-CD3B-4433-B66A-441681AA66B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07" name="Text Box 1">
          <a:extLst>
            <a:ext uri="{FF2B5EF4-FFF2-40B4-BE49-F238E27FC236}">
              <a16:creationId xmlns:a16="http://schemas.microsoft.com/office/drawing/2014/main" id="{C6D096E1-9418-4E00-90DD-8045EC1CBA1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08" name="Text Box 1">
          <a:extLst>
            <a:ext uri="{FF2B5EF4-FFF2-40B4-BE49-F238E27FC236}">
              <a16:creationId xmlns:a16="http://schemas.microsoft.com/office/drawing/2014/main" id="{A8FCDC8E-FA40-48D8-A5E0-887A49774F5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09" name="Text Box 1">
          <a:extLst>
            <a:ext uri="{FF2B5EF4-FFF2-40B4-BE49-F238E27FC236}">
              <a16:creationId xmlns:a16="http://schemas.microsoft.com/office/drawing/2014/main" id="{79141486-C515-4ABA-BAF4-B4EF8F2EEEB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10" name="Text Box 1">
          <a:extLst>
            <a:ext uri="{FF2B5EF4-FFF2-40B4-BE49-F238E27FC236}">
              <a16:creationId xmlns:a16="http://schemas.microsoft.com/office/drawing/2014/main" id="{2732F106-C2A2-4D52-8AA2-AB24DE80AC7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11" name="Text Box 1">
          <a:extLst>
            <a:ext uri="{FF2B5EF4-FFF2-40B4-BE49-F238E27FC236}">
              <a16:creationId xmlns:a16="http://schemas.microsoft.com/office/drawing/2014/main" id="{D67124A2-BE17-47EC-9642-CE69185EA0C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12" name="Text Box 1">
          <a:extLst>
            <a:ext uri="{FF2B5EF4-FFF2-40B4-BE49-F238E27FC236}">
              <a16:creationId xmlns:a16="http://schemas.microsoft.com/office/drawing/2014/main" id="{09641950-59E1-44ED-A18B-3AF13E939D5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13" name="Text Box 1">
          <a:extLst>
            <a:ext uri="{FF2B5EF4-FFF2-40B4-BE49-F238E27FC236}">
              <a16:creationId xmlns:a16="http://schemas.microsoft.com/office/drawing/2014/main" id="{443A23EA-326D-416E-960C-F5EF7727272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14" name="Text Box 1">
          <a:extLst>
            <a:ext uri="{FF2B5EF4-FFF2-40B4-BE49-F238E27FC236}">
              <a16:creationId xmlns:a16="http://schemas.microsoft.com/office/drawing/2014/main" id="{5070C37B-F580-47E4-8408-EA30632F160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15" name="Text Box 1">
          <a:extLst>
            <a:ext uri="{FF2B5EF4-FFF2-40B4-BE49-F238E27FC236}">
              <a16:creationId xmlns:a16="http://schemas.microsoft.com/office/drawing/2014/main" id="{9F5B681C-C80A-4C49-902C-1E4583AF331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16" name="Text Box 1">
          <a:extLst>
            <a:ext uri="{FF2B5EF4-FFF2-40B4-BE49-F238E27FC236}">
              <a16:creationId xmlns:a16="http://schemas.microsoft.com/office/drawing/2014/main" id="{4259A30C-DF49-4486-8E8E-9C1B9CCEEFE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17" name="Text Box 1">
          <a:extLst>
            <a:ext uri="{FF2B5EF4-FFF2-40B4-BE49-F238E27FC236}">
              <a16:creationId xmlns:a16="http://schemas.microsoft.com/office/drawing/2014/main" id="{FBAFB704-9567-4A3F-9F16-C22F34C7639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18" name="Text Box 1">
          <a:extLst>
            <a:ext uri="{FF2B5EF4-FFF2-40B4-BE49-F238E27FC236}">
              <a16:creationId xmlns:a16="http://schemas.microsoft.com/office/drawing/2014/main" id="{95707D0E-5C56-485E-B67E-C40364D0912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19" name="Text Box 1">
          <a:extLst>
            <a:ext uri="{FF2B5EF4-FFF2-40B4-BE49-F238E27FC236}">
              <a16:creationId xmlns:a16="http://schemas.microsoft.com/office/drawing/2014/main" id="{0DC0A8D3-B8A6-4B67-8211-68DF8BF8974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20" name="Text Box 1">
          <a:extLst>
            <a:ext uri="{FF2B5EF4-FFF2-40B4-BE49-F238E27FC236}">
              <a16:creationId xmlns:a16="http://schemas.microsoft.com/office/drawing/2014/main" id="{141B0799-5061-40EF-9022-F51142CE768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21" name="Text Box 1">
          <a:extLst>
            <a:ext uri="{FF2B5EF4-FFF2-40B4-BE49-F238E27FC236}">
              <a16:creationId xmlns:a16="http://schemas.microsoft.com/office/drawing/2014/main" id="{4743F9D8-A5E8-467A-9396-13C61F6D64E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22" name="Text Box 1">
          <a:extLst>
            <a:ext uri="{FF2B5EF4-FFF2-40B4-BE49-F238E27FC236}">
              <a16:creationId xmlns:a16="http://schemas.microsoft.com/office/drawing/2014/main" id="{F76430A9-8FBE-438F-B7E6-3D852CF4FDF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23" name="Text Box 1">
          <a:extLst>
            <a:ext uri="{FF2B5EF4-FFF2-40B4-BE49-F238E27FC236}">
              <a16:creationId xmlns:a16="http://schemas.microsoft.com/office/drawing/2014/main" id="{4F3C9FBC-F806-42FE-84B9-C4A7973F302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24" name="Text Box 1">
          <a:extLst>
            <a:ext uri="{FF2B5EF4-FFF2-40B4-BE49-F238E27FC236}">
              <a16:creationId xmlns:a16="http://schemas.microsoft.com/office/drawing/2014/main" id="{9E4E4C3D-E72B-476A-A5C0-0BE556F6165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25" name="Text Box 1">
          <a:extLst>
            <a:ext uri="{FF2B5EF4-FFF2-40B4-BE49-F238E27FC236}">
              <a16:creationId xmlns:a16="http://schemas.microsoft.com/office/drawing/2014/main" id="{D87B96EA-30A0-4EB4-8DC0-472B7EABF07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26" name="Text Box 1">
          <a:extLst>
            <a:ext uri="{FF2B5EF4-FFF2-40B4-BE49-F238E27FC236}">
              <a16:creationId xmlns:a16="http://schemas.microsoft.com/office/drawing/2014/main" id="{49BC1002-12E3-4544-9897-1AB4A56641E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27" name="Text Box 1">
          <a:extLst>
            <a:ext uri="{FF2B5EF4-FFF2-40B4-BE49-F238E27FC236}">
              <a16:creationId xmlns:a16="http://schemas.microsoft.com/office/drawing/2014/main" id="{F978212C-8C33-4D92-BED2-63B53C56EC1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28" name="Text Box 1">
          <a:extLst>
            <a:ext uri="{FF2B5EF4-FFF2-40B4-BE49-F238E27FC236}">
              <a16:creationId xmlns:a16="http://schemas.microsoft.com/office/drawing/2014/main" id="{18603905-ED62-425A-8CDB-0BE9DD5925E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29" name="Text Box 1">
          <a:extLst>
            <a:ext uri="{FF2B5EF4-FFF2-40B4-BE49-F238E27FC236}">
              <a16:creationId xmlns:a16="http://schemas.microsoft.com/office/drawing/2014/main" id="{480C0245-D48C-4FDD-86AA-1552DA9BC5D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30" name="Text Box 1">
          <a:extLst>
            <a:ext uri="{FF2B5EF4-FFF2-40B4-BE49-F238E27FC236}">
              <a16:creationId xmlns:a16="http://schemas.microsoft.com/office/drawing/2014/main" id="{A567BFE0-27FD-4C50-8CCE-D14F257F2DE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31" name="Text Box 1">
          <a:extLst>
            <a:ext uri="{FF2B5EF4-FFF2-40B4-BE49-F238E27FC236}">
              <a16:creationId xmlns:a16="http://schemas.microsoft.com/office/drawing/2014/main" id="{5E37DDAD-C8D8-4DE3-B666-9275BB739A8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32" name="Text Box 1">
          <a:extLst>
            <a:ext uri="{FF2B5EF4-FFF2-40B4-BE49-F238E27FC236}">
              <a16:creationId xmlns:a16="http://schemas.microsoft.com/office/drawing/2014/main" id="{2449B5B8-5995-4486-BF50-08D37C7E937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33" name="Text Box 1">
          <a:extLst>
            <a:ext uri="{FF2B5EF4-FFF2-40B4-BE49-F238E27FC236}">
              <a16:creationId xmlns:a16="http://schemas.microsoft.com/office/drawing/2014/main" id="{F8EB09BB-DD38-4F10-AE9E-C7BC9AA97F6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34" name="Text Box 1">
          <a:extLst>
            <a:ext uri="{FF2B5EF4-FFF2-40B4-BE49-F238E27FC236}">
              <a16:creationId xmlns:a16="http://schemas.microsoft.com/office/drawing/2014/main" id="{A8220282-336A-438D-AA05-60CB4B4F29A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35" name="Text Box 1">
          <a:extLst>
            <a:ext uri="{FF2B5EF4-FFF2-40B4-BE49-F238E27FC236}">
              <a16:creationId xmlns:a16="http://schemas.microsoft.com/office/drawing/2014/main" id="{0BEAE46B-FD40-4535-93F9-50429461556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36" name="Text Box 1">
          <a:extLst>
            <a:ext uri="{FF2B5EF4-FFF2-40B4-BE49-F238E27FC236}">
              <a16:creationId xmlns:a16="http://schemas.microsoft.com/office/drawing/2014/main" id="{B6180592-9707-4827-987C-7A5F4AE38BF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37" name="Text Box 1">
          <a:extLst>
            <a:ext uri="{FF2B5EF4-FFF2-40B4-BE49-F238E27FC236}">
              <a16:creationId xmlns:a16="http://schemas.microsoft.com/office/drawing/2014/main" id="{B7AB64CF-D95D-4EE6-B5A3-58E17CBAEFC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38" name="Text Box 1">
          <a:extLst>
            <a:ext uri="{FF2B5EF4-FFF2-40B4-BE49-F238E27FC236}">
              <a16:creationId xmlns:a16="http://schemas.microsoft.com/office/drawing/2014/main" id="{18EC5081-FDF8-4660-A1AC-64A01A7E56E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39" name="Text Box 1">
          <a:extLst>
            <a:ext uri="{FF2B5EF4-FFF2-40B4-BE49-F238E27FC236}">
              <a16:creationId xmlns:a16="http://schemas.microsoft.com/office/drawing/2014/main" id="{75607ADE-9D04-4998-AAAF-766DF531C86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40" name="Text Box 1">
          <a:extLst>
            <a:ext uri="{FF2B5EF4-FFF2-40B4-BE49-F238E27FC236}">
              <a16:creationId xmlns:a16="http://schemas.microsoft.com/office/drawing/2014/main" id="{948E1956-13C8-450F-86F8-0FDC8DEB498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41" name="Text Box 1">
          <a:extLst>
            <a:ext uri="{FF2B5EF4-FFF2-40B4-BE49-F238E27FC236}">
              <a16:creationId xmlns:a16="http://schemas.microsoft.com/office/drawing/2014/main" id="{7FDA785D-C243-414C-B69C-4F57CB6799A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42" name="Text Box 1">
          <a:extLst>
            <a:ext uri="{FF2B5EF4-FFF2-40B4-BE49-F238E27FC236}">
              <a16:creationId xmlns:a16="http://schemas.microsoft.com/office/drawing/2014/main" id="{77911723-EE3F-4D24-8F55-9B56FA47475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43" name="Text Box 1">
          <a:extLst>
            <a:ext uri="{FF2B5EF4-FFF2-40B4-BE49-F238E27FC236}">
              <a16:creationId xmlns:a16="http://schemas.microsoft.com/office/drawing/2014/main" id="{CA84C0F5-AB0D-4C05-B5BD-B77114F15EA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44" name="Text Box 1">
          <a:extLst>
            <a:ext uri="{FF2B5EF4-FFF2-40B4-BE49-F238E27FC236}">
              <a16:creationId xmlns:a16="http://schemas.microsoft.com/office/drawing/2014/main" id="{1E950FAB-6888-4127-9DCA-FF0FD3FA8E0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45" name="Text Box 1">
          <a:extLst>
            <a:ext uri="{FF2B5EF4-FFF2-40B4-BE49-F238E27FC236}">
              <a16:creationId xmlns:a16="http://schemas.microsoft.com/office/drawing/2014/main" id="{FFD386E5-0220-4B24-911B-6994F34104F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46" name="Text Box 1">
          <a:extLst>
            <a:ext uri="{FF2B5EF4-FFF2-40B4-BE49-F238E27FC236}">
              <a16:creationId xmlns:a16="http://schemas.microsoft.com/office/drawing/2014/main" id="{C7D2312F-C7CA-4CE7-AECB-B86662DDBCB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47" name="Text Box 1">
          <a:extLst>
            <a:ext uri="{FF2B5EF4-FFF2-40B4-BE49-F238E27FC236}">
              <a16:creationId xmlns:a16="http://schemas.microsoft.com/office/drawing/2014/main" id="{EC10889A-8CC3-48B6-848F-6844042665E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48" name="Text Box 1">
          <a:extLst>
            <a:ext uri="{FF2B5EF4-FFF2-40B4-BE49-F238E27FC236}">
              <a16:creationId xmlns:a16="http://schemas.microsoft.com/office/drawing/2014/main" id="{35005478-AFAC-47CC-9ACE-1CB728CA010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49" name="Text Box 1">
          <a:extLst>
            <a:ext uri="{FF2B5EF4-FFF2-40B4-BE49-F238E27FC236}">
              <a16:creationId xmlns:a16="http://schemas.microsoft.com/office/drawing/2014/main" id="{BF1175F1-4A0D-4BF5-A847-AC77E4838EE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50" name="Text Box 1">
          <a:extLst>
            <a:ext uri="{FF2B5EF4-FFF2-40B4-BE49-F238E27FC236}">
              <a16:creationId xmlns:a16="http://schemas.microsoft.com/office/drawing/2014/main" id="{48A73BE7-F6B2-4339-8100-E06B848879F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51" name="Text Box 1">
          <a:extLst>
            <a:ext uri="{FF2B5EF4-FFF2-40B4-BE49-F238E27FC236}">
              <a16:creationId xmlns:a16="http://schemas.microsoft.com/office/drawing/2014/main" id="{644C8919-F7F9-413A-A3E1-8F057CCA798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52" name="Text Box 1">
          <a:extLst>
            <a:ext uri="{FF2B5EF4-FFF2-40B4-BE49-F238E27FC236}">
              <a16:creationId xmlns:a16="http://schemas.microsoft.com/office/drawing/2014/main" id="{A18277D0-30C3-4EBA-86D6-F816B06BA13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53" name="Text Box 1">
          <a:extLst>
            <a:ext uri="{FF2B5EF4-FFF2-40B4-BE49-F238E27FC236}">
              <a16:creationId xmlns:a16="http://schemas.microsoft.com/office/drawing/2014/main" id="{35933F93-4CFE-4A72-9FDB-0D84E4E7A4F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54" name="Text Box 1">
          <a:extLst>
            <a:ext uri="{FF2B5EF4-FFF2-40B4-BE49-F238E27FC236}">
              <a16:creationId xmlns:a16="http://schemas.microsoft.com/office/drawing/2014/main" id="{C41706DF-B3DE-4DBC-AB01-9C540C258F0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55" name="Text Box 1">
          <a:extLst>
            <a:ext uri="{FF2B5EF4-FFF2-40B4-BE49-F238E27FC236}">
              <a16:creationId xmlns:a16="http://schemas.microsoft.com/office/drawing/2014/main" id="{8AC56D6C-1F47-430C-8780-7F0E3A28928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56" name="Text Box 1">
          <a:extLst>
            <a:ext uri="{FF2B5EF4-FFF2-40B4-BE49-F238E27FC236}">
              <a16:creationId xmlns:a16="http://schemas.microsoft.com/office/drawing/2014/main" id="{CF4F37B6-20A1-4FCF-A023-6538500993E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57" name="Text Box 1">
          <a:extLst>
            <a:ext uri="{FF2B5EF4-FFF2-40B4-BE49-F238E27FC236}">
              <a16:creationId xmlns:a16="http://schemas.microsoft.com/office/drawing/2014/main" id="{22247816-8473-4AF1-8689-0BAA07D043B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58" name="Text Box 1">
          <a:extLst>
            <a:ext uri="{FF2B5EF4-FFF2-40B4-BE49-F238E27FC236}">
              <a16:creationId xmlns:a16="http://schemas.microsoft.com/office/drawing/2014/main" id="{D75F5F4D-46EB-4EEE-9E86-3C6E23FAF3F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59" name="Text Box 1">
          <a:extLst>
            <a:ext uri="{FF2B5EF4-FFF2-40B4-BE49-F238E27FC236}">
              <a16:creationId xmlns:a16="http://schemas.microsoft.com/office/drawing/2014/main" id="{A66CE246-9382-458F-A49B-C9DDE339420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60" name="Text Box 1">
          <a:extLst>
            <a:ext uri="{FF2B5EF4-FFF2-40B4-BE49-F238E27FC236}">
              <a16:creationId xmlns:a16="http://schemas.microsoft.com/office/drawing/2014/main" id="{0E0BF941-44DB-4283-A547-47323599DB7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61" name="Text Box 1">
          <a:extLst>
            <a:ext uri="{FF2B5EF4-FFF2-40B4-BE49-F238E27FC236}">
              <a16:creationId xmlns:a16="http://schemas.microsoft.com/office/drawing/2014/main" id="{C7F6005B-2247-4D8C-87DC-FDD43726C02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62" name="Text Box 1">
          <a:extLst>
            <a:ext uri="{FF2B5EF4-FFF2-40B4-BE49-F238E27FC236}">
              <a16:creationId xmlns:a16="http://schemas.microsoft.com/office/drawing/2014/main" id="{1A68E0AF-C34F-4614-85AE-16DF921298C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63" name="Text Box 1">
          <a:extLst>
            <a:ext uri="{FF2B5EF4-FFF2-40B4-BE49-F238E27FC236}">
              <a16:creationId xmlns:a16="http://schemas.microsoft.com/office/drawing/2014/main" id="{6BC03BBC-D5E3-4CBD-8FF5-92B0213DB77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64" name="Text Box 1">
          <a:extLst>
            <a:ext uri="{FF2B5EF4-FFF2-40B4-BE49-F238E27FC236}">
              <a16:creationId xmlns:a16="http://schemas.microsoft.com/office/drawing/2014/main" id="{7208D4C1-32E2-44C1-915D-1922F585532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65" name="Text Box 1">
          <a:extLst>
            <a:ext uri="{FF2B5EF4-FFF2-40B4-BE49-F238E27FC236}">
              <a16:creationId xmlns:a16="http://schemas.microsoft.com/office/drawing/2014/main" id="{6B32C8AA-45A2-4B59-9E3E-9113E437BFE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66" name="Text Box 1">
          <a:extLst>
            <a:ext uri="{FF2B5EF4-FFF2-40B4-BE49-F238E27FC236}">
              <a16:creationId xmlns:a16="http://schemas.microsoft.com/office/drawing/2014/main" id="{70C7ADA1-4650-4D5B-ABF4-02C83409A1C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67" name="Text Box 1">
          <a:extLst>
            <a:ext uri="{FF2B5EF4-FFF2-40B4-BE49-F238E27FC236}">
              <a16:creationId xmlns:a16="http://schemas.microsoft.com/office/drawing/2014/main" id="{04755841-473B-4911-9076-3171043BC2C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68" name="Text Box 1">
          <a:extLst>
            <a:ext uri="{FF2B5EF4-FFF2-40B4-BE49-F238E27FC236}">
              <a16:creationId xmlns:a16="http://schemas.microsoft.com/office/drawing/2014/main" id="{15260EBE-9DD2-413C-B46E-F803ADD2F01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69" name="Text Box 1">
          <a:extLst>
            <a:ext uri="{FF2B5EF4-FFF2-40B4-BE49-F238E27FC236}">
              <a16:creationId xmlns:a16="http://schemas.microsoft.com/office/drawing/2014/main" id="{E51F0781-020B-48DC-85E0-9064A049DB0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70" name="Text Box 1">
          <a:extLst>
            <a:ext uri="{FF2B5EF4-FFF2-40B4-BE49-F238E27FC236}">
              <a16:creationId xmlns:a16="http://schemas.microsoft.com/office/drawing/2014/main" id="{F1352057-418E-437D-8475-6BFA193E970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71" name="Text Box 1">
          <a:extLst>
            <a:ext uri="{FF2B5EF4-FFF2-40B4-BE49-F238E27FC236}">
              <a16:creationId xmlns:a16="http://schemas.microsoft.com/office/drawing/2014/main" id="{21A5B9CB-CB0E-4B6F-9C2D-24EE6AD37D6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72" name="Text Box 1">
          <a:extLst>
            <a:ext uri="{FF2B5EF4-FFF2-40B4-BE49-F238E27FC236}">
              <a16:creationId xmlns:a16="http://schemas.microsoft.com/office/drawing/2014/main" id="{1EF8B956-2B68-46EB-94BF-99D14827CB1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73" name="Text Box 1">
          <a:extLst>
            <a:ext uri="{FF2B5EF4-FFF2-40B4-BE49-F238E27FC236}">
              <a16:creationId xmlns:a16="http://schemas.microsoft.com/office/drawing/2014/main" id="{8C0AECE8-F5DF-416C-9E90-10845423259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74" name="Text Box 1">
          <a:extLst>
            <a:ext uri="{FF2B5EF4-FFF2-40B4-BE49-F238E27FC236}">
              <a16:creationId xmlns:a16="http://schemas.microsoft.com/office/drawing/2014/main" id="{F93F3279-E27B-46ED-B39F-CCEAC10B937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75" name="Text Box 1">
          <a:extLst>
            <a:ext uri="{FF2B5EF4-FFF2-40B4-BE49-F238E27FC236}">
              <a16:creationId xmlns:a16="http://schemas.microsoft.com/office/drawing/2014/main" id="{CE7CDC93-A3CD-47DF-807A-C4C241C16CB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76" name="Text Box 1">
          <a:extLst>
            <a:ext uri="{FF2B5EF4-FFF2-40B4-BE49-F238E27FC236}">
              <a16:creationId xmlns:a16="http://schemas.microsoft.com/office/drawing/2014/main" id="{A563A78B-1070-4227-945E-59D40C63C56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77" name="Text Box 1">
          <a:extLst>
            <a:ext uri="{FF2B5EF4-FFF2-40B4-BE49-F238E27FC236}">
              <a16:creationId xmlns:a16="http://schemas.microsoft.com/office/drawing/2014/main" id="{F2D74521-8955-4C88-8DC1-D2D49E9B774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78" name="Text Box 1">
          <a:extLst>
            <a:ext uri="{FF2B5EF4-FFF2-40B4-BE49-F238E27FC236}">
              <a16:creationId xmlns:a16="http://schemas.microsoft.com/office/drawing/2014/main" id="{EF98F187-A4FD-4B5F-B936-6C9E9D85124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79" name="Text Box 1">
          <a:extLst>
            <a:ext uri="{FF2B5EF4-FFF2-40B4-BE49-F238E27FC236}">
              <a16:creationId xmlns:a16="http://schemas.microsoft.com/office/drawing/2014/main" id="{C9EAAB23-5610-4223-A993-15AF093259E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80" name="Text Box 1">
          <a:extLst>
            <a:ext uri="{FF2B5EF4-FFF2-40B4-BE49-F238E27FC236}">
              <a16:creationId xmlns:a16="http://schemas.microsoft.com/office/drawing/2014/main" id="{38F8E4C5-46FB-448C-84B8-A6502237D1D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81" name="Text Box 1">
          <a:extLst>
            <a:ext uri="{FF2B5EF4-FFF2-40B4-BE49-F238E27FC236}">
              <a16:creationId xmlns:a16="http://schemas.microsoft.com/office/drawing/2014/main" id="{2811F877-24DD-4CAB-ACE8-0057467D6C8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82" name="Text Box 1">
          <a:extLst>
            <a:ext uri="{FF2B5EF4-FFF2-40B4-BE49-F238E27FC236}">
              <a16:creationId xmlns:a16="http://schemas.microsoft.com/office/drawing/2014/main" id="{FDAA4A04-A0C0-4BC4-87F3-22E01CF23A1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83" name="Text Box 1">
          <a:extLst>
            <a:ext uri="{FF2B5EF4-FFF2-40B4-BE49-F238E27FC236}">
              <a16:creationId xmlns:a16="http://schemas.microsoft.com/office/drawing/2014/main" id="{524D4E24-2E84-46DC-A9E9-4296AADD074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84" name="Text Box 1">
          <a:extLst>
            <a:ext uri="{FF2B5EF4-FFF2-40B4-BE49-F238E27FC236}">
              <a16:creationId xmlns:a16="http://schemas.microsoft.com/office/drawing/2014/main" id="{B0DCE96E-43C1-48B2-AF4C-F4D3D4213CA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85" name="Text Box 1">
          <a:extLst>
            <a:ext uri="{FF2B5EF4-FFF2-40B4-BE49-F238E27FC236}">
              <a16:creationId xmlns:a16="http://schemas.microsoft.com/office/drawing/2014/main" id="{31D88F7B-6839-4578-8644-98A6245E563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86" name="Text Box 1">
          <a:extLst>
            <a:ext uri="{FF2B5EF4-FFF2-40B4-BE49-F238E27FC236}">
              <a16:creationId xmlns:a16="http://schemas.microsoft.com/office/drawing/2014/main" id="{7D224924-B407-4CA6-86AE-07C973D54B7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87" name="Text Box 1">
          <a:extLst>
            <a:ext uri="{FF2B5EF4-FFF2-40B4-BE49-F238E27FC236}">
              <a16:creationId xmlns:a16="http://schemas.microsoft.com/office/drawing/2014/main" id="{8AE35434-7C69-4F9F-99C0-1F6101A2AB7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88" name="Text Box 1">
          <a:extLst>
            <a:ext uri="{FF2B5EF4-FFF2-40B4-BE49-F238E27FC236}">
              <a16:creationId xmlns:a16="http://schemas.microsoft.com/office/drawing/2014/main" id="{15B0B109-B6EC-419B-A48B-44067A4DC00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89" name="Text Box 1">
          <a:extLst>
            <a:ext uri="{FF2B5EF4-FFF2-40B4-BE49-F238E27FC236}">
              <a16:creationId xmlns:a16="http://schemas.microsoft.com/office/drawing/2014/main" id="{DC18CA44-DC0D-4930-B716-F155BE29AE4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90" name="Text Box 1">
          <a:extLst>
            <a:ext uri="{FF2B5EF4-FFF2-40B4-BE49-F238E27FC236}">
              <a16:creationId xmlns:a16="http://schemas.microsoft.com/office/drawing/2014/main" id="{A60CC0E1-B894-4338-A3F6-2303AF2E629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91" name="Text Box 1">
          <a:extLst>
            <a:ext uri="{FF2B5EF4-FFF2-40B4-BE49-F238E27FC236}">
              <a16:creationId xmlns:a16="http://schemas.microsoft.com/office/drawing/2014/main" id="{80952702-6439-4320-9298-19D2B3D3FA2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92" name="Text Box 1">
          <a:extLst>
            <a:ext uri="{FF2B5EF4-FFF2-40B4-BE49-F238E27FC236}">
              <a16:creationId xmlns:a16="http://schemas.microsoft.com/office/drawing/2014/main" id="{791CBECE-E6A5-4E8C-ACE4-CB09250EB0B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93" name="Text Box 1">
          <a:extLst>
            <a:ext uri="{FF2B5EF4-FFF2-40B4-BE49-F238E27FC236}">
              <a16:creationId xmlns:a16="http://schemas.microsoft.com/office/drawing/2014/main" id="{C6F24204-F8A5-4AEF-B2EC-B0EA4188F23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94" name="Text Box 1">
          <a:extLst>
            <a:ext uri="{FF2B5EF4-FFF2-40B4-BE49-F238E27FC236}">
              <a16:creationId xmlns:a16="http://schemas.microsoft.com/office/drawing/2014/main" id="{BAD227CD-A8AA-4294-A980-9C1EC66785A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95" name="Text Box 1">
          <a:extLst>
            <a:ext uri="{FF2B5EF4-FFF2-40B4-BE49-F238E27FC236}">
              <a16:creationId xmlns:a16="http://schemas.microsoft.com/office/drawing/2014/main" id="{ED275E0C-5175-43A2-8FED-2DC7FAF5CB4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96" name="Text Box 1">
          <a:extLst>
            <a:ext uri="{FF2B5EF4-FFF2-40B4-BE49-F238E27FC236}">
              <a16:creationId xmlns:a16="http://schemas.microsoft.com/office/drawing/2014/main" id="{CF9675B2-52C0-43A8-A711-7702FDBD5CD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97" name="Text Box 1">
          <a:extLst>
            <a:ext uri="{FF2B5EF4-FFF2-40B4-BE49-F238E27FC236}">
              <a16:creationId xmlns:a16="http://schemas.microsoft.com/office/drawing/2014/main" id="{BFA7327F-545C-4D79-BFE4-2B45D09D50F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98" name="Text Box 1">
          <a:extLst>
            <a:ext uri="{FF2B5EF4-FFF2-40B4-BE49-F238E27FC236}">
              <a16:creationId xmlns:a16="http://schemas.microsoft.com/office/drawing/2014/main" id="{402A2D5D-73CE-43A0-94E4-375BA9EA17B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399" name="Text Box 1">
          <a:extLst>
            <a:ext uri="{FF2B5EF4-FFF2-40B4-BE49-F238E27FC236}">
              <a16:creationId xmlns:a16="http://schemas.microsoft.com/office/drawing/2014/main" id="{B44236CB-936A-4284-9F2D-DC688F1365E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00" name="Text Box 1">
          <a:extLst>
            <a:ext uri="{FF2B5EF4-FFF2-40B4-BE49-F238E27FC236}">
              <a16:creationId xmlns:a16="http://schemas.microsoft.com/office/drawing/2014/main" id="{0B92754C-E9C0-460B-A66A-B8B5C946C1F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01" name="Text Box 1">
          <a:extLst>
            <a:ext uri="{FF2B5EF4-FFF2-40B4-BE49-F238E27FC236}">
              <a16:creationId xmlns:a16="http://schemas.microsoft.com/office/drawing/2014/main" id="{305A5CB0-8EA9-42B5-B942-AD3210519C3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02" name="Text Box 1">
          <a:extLst>
            <a:ext uri="{FF2B5EF4-FFF2-40B4-BE49-F238E27FC236}">
              <a16:creationId xmlns:a16="http://schemas.microsoft.com/office/drawing/2014/main" id="{456D3003-C31A-40B6-B476-4B06FF266D7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03" name="Text Box 1">
          <a:extLst>
            <a:ext uri="{FF2B5EF4-FFF2-40B4-BE49-F238E27FC236}">
              <a16:creationId xmlns:a16="http://schemas.microsoft.com/office/drawing/2014/main" id="{17A7D03F-1931-4F87-A35C-03EA16A3C01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04" name="Text Box 1">
          <a:extLst>
            <a:ext uri="{FF2B5EF4-FFF2-40B4-BE49-F238E27FC236}">
              <a16:creationId xmlns:a16="http://schemas.microsoft.com/office/drawing/2014/main" id="{30754859-1A29-4632-9774-A0BF53EA5F5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05" name="Text Box 1">
          <a:extLst>
            <a:ext uri="{FF2B5EF4-FFF2-40B4-BE49-F238E27FC236}">
              <a16:creationId xmlns:a16="http://schemas.microsoft.com/office/drawing/2014/main" id="{3E84F7F9-1FE6-4804-822A-78737D53447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06" name="Text Box 1">
          <a:extLst>
            <a:ext uri="{FF2B5EF4-FFF2-40B4-BE49-F238E27FC236}">
              <a16:creationId xmlns:a16="http://schemas.microsoft.com/office/drawing/2014/main" id="{545D982D-2D9E-4E16-A056-3393A3C6110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07" name="Text Box 1">
          <a:extLst>
            <a:ext uri="{FF2B5EF4-FFF2-40B4-BE49-F238E27FC236}">
              <a16:creationId xmlns:a16="http://schemas.microsoft.com/office/drawing/2014/main" id="{063CFFE2-9A67-4A27-9A0A-FC54230545A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08" name="Text Box 1">
          <a:extLst>
            <a:ext uri="{FF2B5EF4-FFF2-40B4-BE49-F238E27FC236}">
              <a16:creationId xmlns:a16="http://schemas.microsoft.com/office/drawing/2014/main" id="{A06628D4-91B6-43B5-93F8-ED4376CF460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09" name="Text Box 1">
          <a:extLst>
            <a:ext uri="{FF2B5EF4-FFF2-40B4-BE49-F238E27FC236}">
              <a16:creationId xmlns:a16="http://schemas.microsoft.com/office/drawing/2014/main" id="{62C6F866-20D3-4FB4-A83A-2BF856F6490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10" name="Text Box 1">
          <a:extLst>
            <a:ext uri="{FF2B5EF4-FFF2-40B4-BE49-F238E27FC236}">
              <a16:creationId xmlns:a16="http://schemas.microsoft.com/office/drawing/2014/main" id="{29112BA1-93DF-4C60-8979-60F6FFFCAB8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11" name="Text Box 1">
          <a:extLst>
            <a:ext uri="{FF2B5EF4-FFF2-40B4-BE49-F238E27FC236}">
              <a16:creationId xmlns:a16="http://schemas.microsoft.com/office/drawing/2014/main" id="{53C002BF-7C30-42CD-9FD0-6AA30334353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12" name="Text Box 1">
          <a:extLst>
            <a:ext uri="{FF2B5EF4-FFF2-40B4-BE49-F238E27FC236}">
              <a16:creationId xmlns:a16="http://schemas.microsoft.com/office/drawing/2014/main" id="{42438B97-BD20-437A-90C2-0E493323E73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13" name="Text Box 1">
          <a:extLst>
            <a:ext uri="{FF2B5EF4-FFF2-40B4-BE49-F238E27FC236}">
              <a16:creationId xmlns:a16="http://schemas.microsoft.com/office/drawing/2014/main" id="{BC5CF3B5-84B5-40A4-8D9D-BBF640181A2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14" name="Text Box 1">
          <a:extLst>
            <a:ext uri="{FF2B5EF4-FFF2-40B4-BE49-F238E27FC236}">
              <a16:creationId xmlns:a16="http://schemas.microsoft.com/office/drawing/2014/main" id="{999F105E-2122-4FEB-BF20-F4218FF1726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15" name="Text Box 1">
          <a:extLst>
            <a:ext uri="{FF2B5EF4-FFF2-40B4-BE49-F238E27FC236}">
              <a16:creationId xmlns:a16="http://schemas.microsoft.com/office/drawing/2014/main" id="{12B202AB-201A-4CB1-982B-B3E80573E55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16" name="Text Box 1">
          <a:extLst>
            <a:ext uri="{FF2B5EF4-FFF2-40B4-BE49-F238E27FC236}">
              <a16:creationId xmlns:a16="http://schemas.microsoft.com/office/drawing/2014/main" id="{AC00E0E9-3978-4560-BAC4-FE684144CF3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17" name="Text Box 1">
          <a:extLst>
            <a:ext uri="{FF2B5EF4-FFF2-40B4-BE49-F238E27FC236}">
              <a16:creationId xmlns:a16="http://schemas.microsoft.com/office/drawing/2014/main" id="{B7513F54-C42E-4CDD-8754-835582C6632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18" name="Text Box 1">
          <a:extLst>
            <a:ext uri="{FF2B5EF4-FFF2-40B4-BE49-F238E27FC236}">
              <a16:creationId xmlns:a16="http://schemas.microsoft.com/office/drawing/2014/main" id="{6DB8DDAB-7678-41D2-A7C6-B5275BE1CE4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19" name="Text Box 1">
          <a:extLst>
            <a:ext uri="{FF2B5EF4-FFF2-40B4-BE49-F238E27FC236}">
              <a16:creationId xmlns:a16="http://schemas.microsoft.com/office/drawing/2014/main" id="{861C18BD-4CCA-4322-8A8D-FF9CF971A84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20" name="Text Box 1">
          <a:extLst>
            <a:ext uri="{FF2B5EF4-FFF2-40B4-BE49-F238E27FC236}">
              <a16:creationId xmlns:a16="http://schemas.microsoft.com/office/drawing/2014/main" id="{DD835AC6-1D7C-4680-B476-468100E8BB4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21" name="Text Box 1">
          <a:extLst>
            <a:ext uri="{FF2B5EF4-FFF2-40B4-BE49-F238E27FC236}">
              <a16:creationId xmlns:a16="http://schemas.microsoft.com/office/drawing/2014/main" id="{E4E1309A-7B5A-4E96-9DD0-E141C23328B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22" name="Text Box 1">
          <a:extLst>
            <a:ext uri="{FF2B5EF4-FFF2-40B4-BE49-F238E27FC236}">
              <a16:creationId xmlns:a16="http://schemas.microsoft.com/office/drawing/2014/main" id="{F102551A-265B-4C6F-8A98-0EF0454DF6C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23" name="Text Box 1">
          <a:extLst>
            <a:ext uri="{FF2B5EF4-FFF2-40B4-BE49-F238E27FC236}">
              <a16:creationId xmlns:a16="http://schemas.microsoft.com/office/drawing/2014/main" id="{47E83866-5C4F-4AB1-8F6C-19C1D035183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24" name="Text Box 1">
          <a:extLst>
            <a:ext uri="{FF2B5EF4-FFF2-40B4-BE49-F238E27FC236}">
              <a16:creationId xmlns:a16="http://schemas.microsoft.com/office/drawing/2014/main" id="{B01DAFBB-B7CF-45C7-AA70-BCAF91C91F6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25" name="Text Box 1">
          <a:extLst>
            <a:ext uri="{FF2B5EF4-FFF2-40B4-BE49-F238E27FC236}">
              <a16:creationId xmlns:a16="http://schemas.microsoft.com/office/drawing/2014/main" id="{834EB6CC-020A-485A-B025-3C8A48C9C70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26" name="Text Box 1">
          <a:extLst>
            <a:ext uri="{FF2B5EF4-FFF2-40B4-BE49-F238E27FC236}">
              <a16:creationId xmlns:a16="http://schemas.microsoft.com/office/drawing/2014/main" id="{F03DD6D3-52FA-49DD-8AAB-901D4247A63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27" name="Text Box 1">
          <a:extLst>
            <a:ext uri="{FF2B5EF4-FFF2-40B4-BE49-F238E27FC236}">
              <a16:creationId xmlns:a16="http://schemas.microsoft.com/office/drawing/2014/main" id="{3803C729-BC22-4333-A122-EE01E61C1DA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28" name="Text Box 1">
          <a:extLst>
            <a:ext uri="{FF2B5EF4-FFF2-40B4-BE49-F238E27FC236}">
              <a16:creationId xmlns:a16="http://schemas.microsoft.com/office/drawing/2014/main" id="{2CCC089B-3622-4711-9669-41F2B5DF8AC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29" name="Text Box 1">
          <a:extLst>
            <a:ext uri="{FF2B5EF4-FFF2-40B4-BE49-F238E27FC236}">
              <a16:creationId xmlns:a16="http://schemas.microsoft.com/office/drawing/2014/main" id="{DC046B62-64C8-47BD-B248-E80603B58AE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30" name="Text Box 1">
          <a:extLst>
            <a:ext uri="{FF2B5EF4-FFF2-40B4-BE49-F238E27FC236}">
              <a16:creationId xmlns:a16="http://schemas.microsoft.com/office/drawing/2014/main" id="{6001C50A-533E-4ACB-ADD2-501EE7DDD95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31" name="Text Box 1">
          <a:extLst>
            <a:ext uri="{FF2B5EF4-FFF2-40B4-BE49-F238E27FC236}">
              <a16:creationId xmlns:a16="http://schemas.microsoft.com/office/drawing/2014/main" id="{73D0FEC4-4157-4CF0-9BB1-C53A0EE79B5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32" name="Text Box 1">
          <a:extLst>
            <a:ext uri="{FF2B5EF4-FFF2-40B4-BE49-F238E27FC236}">
              <a16:creationId xmlns:a16="http://schemas.microsoft.com/office/drawing/2014/main" id="{2DC2347F-2800-4ABF-B55D-3DBC79F3744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33" name="Text Box 1">
          <a:extLst>
            <a:ext uri="{FF2B5EF4-FFF2-40B4-BE49-F238E27FC236}">
              <a16:creationId xmlns:a16="http://schemas.microsoft.com/office/drawing/2014/main" id="{65A3992A-EEBE-48BD-BFF1-30A52AB2445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34" name="Text Box 1">
          <a:extLst>
            <a:ext uri="{FF2B5EF4-FFF2-40B4-BE49-F238E27FC236}">
              <a16:creationId xmlns:a16="http://schemas.microsoft.com/office/drawing/2014/main" id="{C5024472-B438-448D-AF92-B6BB87F50FB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35" name="Text Box 1">
          <a:extLst>
            <a:ext uri="{FF2B5EF4-FFF2-40B4-BE49-F238E27FC236}">
              <a16:creationId xmlns:a16="http://schemas.microsoft.com/office/drawing/2014/main" id="{B49DD8D9-DDB2-4502-9F26-1A1F9DC531B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36" name="Text Box 1">
          <a:extLst>
            <a:ext uri="{FF2B5EF4-FFF2-40B4-BE49-F238E27FC236}">
              <a16:creationId xmlns:a16="http://schemas.microsoft.com/office/drawing/2014/main" id="{7D51BB39-7A22-455C-8C1F-41587AB6105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37" name="Text Box 1">
          <a:extLst>
            <a:ext uri="{FF2B5EF4-FFF2-40B4-BE49-F238E27FC236}">
              <a16:creationId xmlns:a16="http://schemas.microsoft.com/office/drawing/2014/main" id="{0E47BC6C-8845-4E5D-8181-7FD29171DA2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38" name="Text Box 1">
          <a:extLst>
            <a:ext uri="{FF2B5EF4-FFF2-40B4-BE49-F238E27FC236}">
              <a16:creationId xmlns:a16="http://schemas.microsoft.com/office/drawing/2014/main" id="{64144560-4A24-473B-8E70-495E7FBAE34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39" name="Text Box 1">
          <a:extLst>
            <a:ext uri="{FF2B5EF4-FFF2-40B4-BE49-F238E27FC236}">
              <a16:creationId xmlns:a16="http://schemas.microsoft.com/office/drawing/2014/main" id="{87A5DE93-0ED3-48F8-B1AA-DE5C06DF2AC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40" name="Text Box 1">
          <a:extLst>
            <a:ext uri="{FF2B5EF4-FFF2-40B4-BE49-F238E27FC236}">
              <a16:creationId xmlns:a16="http://schemas.microsoft.com/office/drawing/2014/main" id="{06357E72-66A3-488A-A924-285F1DE64FA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41" name="Text Box 1">
          <a:extLst>
            <a:ext uri="{FF2B5EF4-FFF2-40B4-BE49-F238E27FC236}">
              <a16:creationId xmlns:a16="http://schemas.microsoft.com/office/drawing/2014/main" id="{B0B663E7-19A3-4940-8DF2-E9BAEBAE0B2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42" name="Text Box 1">
          <a:extLst>
            <a:ext uri="{FF2B5EF4-FFF2-40B4-BE49-F238E27FC236}">
              <a16:creationId xmlns:a16="http://schemas.microsoft.com/office/drawing/2014/main" id="{692FDEBE-71D9-422C-8B5A-6D1E617771A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43" name="Text Box 1">
          <a:extLst>
            <a:ext uri="{FF2B5EF4-FFF2-40B4-BE49-F238E27FC236}">
              <a16:creationId xmlns:a16="http://schemas.microsoft.com/office/drawing/2014/main" id="{8DF9624D-D7A8-48F5-B646-14C95481040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44" name="Text Box 1">
          <a:extLst>
            <a:ext uri="{FF2B5EF4-FFF2-40B4-BE49-F238E27FC236}">
              <a16:creationId xmlns:a16="http://schemas.microsoft.com/office/drawing/2014/main" id="{54103985-0E1C-46F4-A8AE-D3EC0016D06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45" name="Text Box 1">
          <a:extLst>
            <a:ext uri="{FF2B5EF4-FFF2-40B4-BE49-F238E27FC236}">
              <a16:creationId xmlns:a16="http://schemas.microsoft.com/office/drawing/2014/main" id="{AAC8EB50-82D4-45A8-B0B0-98815729147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46" name="Text Box 1">
          <a:extLst>
            <a:ext uri="{FF2B5EF4-FFF2-40B4-BE49-F238E27FC236}">
              <a16:creationId xmlns:a16="http://schemas.microsoft.com/office/drawing/2014/main" id="{76D10B2F-088B-45B0-9000-6CD776209FA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47" name="Text Box 1">
          <a:extLst>
            <a:ext uri="{FF2B5EF4-FFF2-40B4-BE49-F238E27FC236}">
              <a16:creationId xmlns:a16="http://schemas.microsoft.com/office/drawing/2014/main" id="{9CA8252E-73F9-4A6E-8784-F0C38C334E2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48" name="Text Box 1">
          <a:extLst>
            <a:ext uri="{FF2B5EF4-FFF2-40B4-BE49-F238E27FC236}">
              <a16:creationId xmlns:a16="http://schemas.microsoft.com/office/drawing/2014/main" id="{BBEC2DA9-441F-465D-9FAB-BD95FBE094E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49" name="Text Box 1">
          <a:extLst>
            <a:ext uri="{FF2B5EF4-FFF2-40B4-BE49-F238E27FC236}">
              <a16:creationId xmlns:a16="http://schemas.microsoft.com/office/drawing/2014/main" id="{DB1391A2-2C53-43AA-A015-209C532B40A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50" name="Text Box 1">
          <a:extLst>
            <a:ext uri="{FF2B5EF4-FFF2-40B4-BE49-F238E27FC236}">
              <a16:creationId xmlns:a16="http://schemas.microsoft.com/office/drawing/2014/main" id="{8C92B22F-736C-4F66-A97C-A9AFC7FD4C6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51" name="Text Box 1">
          <a:extLst>
            <a:ext uri="{FF2B5EF4-FFF2-40B4-BE49-F238E27FC236}">
              <a16:creationId xmlns:a16="http://schemas.microsoft.com/office/drawing/2014/main" id="{AC04C602-9AA0-421B-8718-6BB091B1031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52" name="Text Box 1">
          <a:extLst>
            <a:ext uri="{FF2B5EF4-FFF2-40B4-BE49-F238E27FC236}">
              <a16:creationId xmlns:a16="http://schemas.microsoft.com/office/drawing/2014/main" id="{BF9DEECB-F433-4457-876A-E5AFDAA1E2B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53" name="Text Box 1">
          <a:extLst>
            <a:ext uri="{FF2B5EF4-FFF2-40B4-BE49-F238E27FC236}">
              <a16:creationId xmlns:a16="http://schemas.microsoft.com/office/drawing/2014/main" id="{DF9DA771-8195-45F5-8417-9E97893B55B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54" name="Text Box 1">
          <a:extLst>
            <a:ext uri="{FF2B5EF4-FFF2-40B4-BE49-F238E27FC236}">
              <a16:creationId xmlns:a16="http://schemas.microsoft.com/office/drawing/2014/main" id="{869446E8-12BA-4CA2-8936-CAFF2A98153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55" name="Text Box 1">
          <a:extLst>
            <a:ext uri="{FF2B5EF4-FFF2-40B4-BE49-F238E27FC236}">
              <a16:creationId xmlns:a16="http://schemas.microsoft.com/office/drawing/2014/main" id="{FD1EEDA4-5FE6-47D6-A6E0-DE4B6AC1294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56" name="Text Box 1">
          <a:extLst>
            <a:ext uri="{FF2B5EF4-FFF2-40B4-BE49-F238E27FC236}">
              <a16:creationId xmlns:a16="http://schemas.microsoft.com/office/drawing/2014/main" id="{FA22405B-3AE2-413D-9C00-E12477FCA08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57" name="Text Box 1">
          <a:extLst>
            <a:ext uri="{FF2B5EF4-FFF2-40B4-BE49-F238E27FC236}">
              <a16:creationId xmlns:a16="http://schemas.microsoft.com/office/drawing/2014/main" id="{E6DC22B3-1812-4A71-A5C0-5C0D1CA6686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58" name="Text Box 1">
          <a:extLst>
            <a:ext uri="{FF2B5EF4-FFF2-40B4-BE49-F238E27FC236}">
              <a16:creationId xmlns:a16="http://schemas.microsoft.com/office/drawing/2014/main" id="{E20B274D-BE2C-4D13-8B1E-856E14303AF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59" name="Text Box 1">
          <a:extLst>
            <a:ext uri="{FF2B5EF4-FFF2-40B4-BE49-F238E27FC236}">
              <a16:creationId xmlns:a16="http://schemas.microsoft.com/office/drawing/2014/main" id="{1E98BF94-42B2-4B5C-897C-5E178D5A168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60" name="Text Box 1">
          <a:extLst>
            <a:ext uri="{FF2B5EF4-FFF2-40B4-BE49-F238E27FC236}">
              <a16:creationId xmlns:a16="http://schemas.microsoft.com/office/drawing/2014/main" id="{6F9B98F5-027D-4DFC-A0A0-66104E36EF5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61" name="Text Box 1">
          <a:extLst>
            <a:ext uri="{FF2B5EF4-FFF2-40B4-BE49-F238E27FC236}">
              <a16:creationId xmlns:a16="http://schemas.microsoft.com/office/drawing/2014/main" id="{36C3B830-EEF8-4BAE-A070-672750C021B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62" name="Text Box 1">
          <a:extLst>
            <a:ext uri="{FF2B5EF4-FFF2-40B4-BE49-F238E27FC236}">
              <a16:creationId xmlns:a16="http://schemas.microsoft.com/office/drawing/2014/main" id="{8B5DA938-2523-478F-BA24-244B6D74E4B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63" name="Text Box 1">
          <a:extLst>
            <a:ext uri="{FF2B5EF4-FFF2-40B4-BE49-F238E27FC236}">
              <a16:creationId xmlns:a16="http://schemas.microsoft.com/office/drawing/2014/main" id="{E1070417-49B2-4092-8F55-DBE1EB30714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64" name="Text Box 1">
          <a:extLst>
            <a:ext uri="{FF2B5EF4-FFF2-40B4-BE49-F238E27FC236}">
              <a16:creationId xmlns:a16="http://schemas.microsoft.com/office/drawing/2014/main" id="{5CFDC1AC-5620-4567-8066-0F297E9D3A3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65" name="Text Box 1">
          <a:extLst>
            <a:ext uri="{FF2B5EF4-FFF2-40B4-BE49-F238E27FC236}">
              <a16:creationId xmlns:a16="http://schemas.microsoft.com/office/drawing/2014/main" id="{3DC88605-AE1C-4206-8027-24E091485C3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66" name="Text Box 1">
          <a:extLst>
            <a:ext uri="{FF2B5EF4-FFF2-40B4-BE49-F238E27FC236}">
              <a16:creationId xmlns:a16="http://schemas.microsoft.com/office/drawing/2014/main" id="{DEDB83E1-D87F-40CE-A6D0-C5F7FD65A9E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67" name="Text Box 1">
          <a:extLst>
            <a:ext uri="{FF2B5EF4-FFF2-40B4-BE49-F238E27FC236}">
              <a16:creationId xmlns:a16="http://schemas.microsoft.com/office/drawing/2014/main" id="{42E83C3B-553B-4824-9116-F032B005E06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68" name="Text Box 1">
          <a:extLst>
            <a:ext uri="{FF2B5EF4-FFF2-40B4-BE49-F238E27FC236}">
              <a16:creationId xmlns:a16="http://schemas.microsoft.com/office/drawing/2014/main" id="{9055F62A-D93B-4934-A3AF-5D0F4BF39B2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69" name="Text Box 1">
          <a:extLst>
            <a:ext uri="{FF2B5EF4-FFF2-40B4-BE49-F238E27FC236}">
              <a16:creationId xmlns:a16="http://schemas.microsoft.com/office/drawing/2014/main" id="{E49B07B8-05D7-40B0-81DC-0434002D1E9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70" name="Text Box 1">
          <a:extLst>
            <a:ext uri="{FF2B5EF4-FFF2-40B4-BE49-F238E27FC236}">
              <a16:creationId xmlns:a16="http://schemas.microsoft.com/office/drawing/2014/main" id="{5BB8EB84-9FA5-4B02-8833-9980C3A316D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71" name="Text Box 1">
          <a:extLst>
            <a:ext uri="{FF2B5EF4-FFF2-40B4-BE49-F238E27FC236}">
              <a16:creationId xmlns:a16="http://schemas.microsoft.com/office/drawing/2014/main" id="{7D02EE36-5EFC-41C0-A4AA-3D480CEE9C3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72" name="Text Box 1">
          <a:extLst>
            <a:ext uri="{FF2B5EF4-FFF2-40B4-BE49-F238E27FC236}">
              <a16:creationId xmlns:a16="http://schemas.microsoft.com/office/drawing/2014/main" id="{E0D3AD0F-0A71-4502-89DA-AF46FCAF60C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73" name="Text Box 1">
          <a:extLst>
            <a:ext uri="{FF2B5EF4-FFF2-40B4-BE49-F238E27FC236}">
              <a16:creationId xmlns:a16="http://schemas.microsoft.com/office/drawing/2014/main" id="{FDE63E7C-0F50-4100-B564-54B9B7307A7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74" name="Text Box 1">
          <a:extLst>
            <a:ext uri="{FF2B5EF4-FFF2-40B4-BE49-F238E27FC236}">
              <a16:creationId xmlns:a16="http://schemas.microsoft.com/office/drawing/2014/main" id="{E03D9231-EA85-49F7-82D9-00D9AA8FB1B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75" name="Text Box 1">
          <a:extLst>
            <a:ext uri="{FF2B5EF4-FFF2-40B4-BE49-F238E27FC236}">
              <a16:creationId xmlns:a16="http://schemas.microsoft.com/office/drawing/2014/main" id="{83A1DE97-9B91-4992-B848-C771A42618B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76" name="Text Box 1">
          <a:extLst>
            <a:ext uri="{FF2B5EF4-FFF2-40B4-BE49-F238E27FC236}">
              <a16:creationId xmlns:a16="http://schemas.microsoft.com/office/drawing/2014/main" id="{F8573DE4-544C-498F-8363-52FE20AFBF7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77" name="Text Box 1">
          <a:extLst>
            <a:ext uri="{FF2B5EF4-FFF2-40B4-BE49-F238E27FC236}">
              <a16:creationId xmlns:a16="http://schemas.microsoft.com/office/drawing/2014/main" id="{69BAD943-8CDC-4B92-A9F6-E3E9F253191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78" name="Text Box 1">
          <a:extLst>
            <a:ext uri="{FF2B5EF4-FFF2-40B4-BE49-F238E27FC236}">
              <a16:creationId xmlns:a16="http://schemas.microsoft.com/office/drawing/2014/main" id="{F2C21D4E-068C-47A9-B26C-D46604BA98B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79" name="Text Box 1">
          <a:extLst>
            <a:ext uri="{FF2B5EF4-FFF2-40B4-BE49-F238E27FC236}">
              <a16:creationId xmlns:a16="http://schemas.microsoft.com/office/drawing/2014/main" id="{F600F199-45ED-4F8B-A64A-50245D2A0C0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80" name="Text Box 1">
          <a:extLst>
            <a:ext uri="{FF2B5EF4-FFF2-40B4-BE49-F238E27FC236}">
              <a16:creationId xmlns:a16="http://schemas.microsoft.com/office/drawing/2014/main" id="{7EA455C4-73E5-41EB-82E3-B6E77C946E7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81" name="Text Box 1">
          <a:extLst>
            <a:ext uri="{FF2B5EF4-FFF2-40B4-BE49-F238E27FC236}">
              <a16:creationId xmlns:a16="http://schemas.microsoft.com/office/drawing/2014/main" id="{0677E54A-F918-4172-9A44-3A9D7598C81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82" name="Text Box 1">
          <a:extLst>
            <a:ext uri="{FF2B5EF4-FFF2-40B4-BE49-F238E27FC236}">
              <a16:creationId xmlns:a16="http://schemas.microsoft.com/office/drawing/2014/main" id="{C8F55E57-0C1E-4D71-B2DB-796581BAE18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83" name="Text Box 1">
          <a:extLst>
            <a:ext uri="{FF2B5EF4-FFF2-40B4-BE49-F238E27FC236}">
              <a16:creationId xmlns:a16="http://schemas.microsoft.com/office/drawing/2014/main" id="{740A54FC-8356-413A-9ECB-6BD32633E4A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84" name="Text Box 1">
          <a:extLst>
            <a:ext uri="{FF2B5EF4-FFF2-40B4-BE49-F238E27FC236}">
              <a16:creationId xmlns:a16="http://schemas.microsoft.com/office/drawing/2014/main" id="{9F34BB9D-E914-41A7-8E7D-02279784FC4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85" name="Text Box 1">
          <a:extLst>
            <a:ext uri="{FF2B5EF4-FFF2-40B4-BE49-F238E27FC236}">
              <a16:creationId xmlns:a16="http://schemas.microsoft.com/office/drawing/2014/main" id="{0F630EF2-9712-45CC-B558-6664E8B666B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86" name="Text Box 1">
          <a:extLst>
            <a:ext uri="{FF2B5EF4-FFF2-40B4-BE49-F238E27FC236}">
              <a16:creationId xmlns:a16="http://schemas.microsoft.com/office/drawing/2014/main" id="{F36D2179-A312-48FF-9E2E-9FA86894AA0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87" name="Text Box 1">
          <a:extLst>
            <a:ext uri="{FF2B5EF4-FFF2-40B4-BE49-F238E27FC236}">
              <a16:creationId xmlns:a16="http://schemas.microsoft.com/office/drawing/2014/main" id="{FF2270A4-4B6B-42F2-AA45-84A6D95C9FD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88" name="Text Box 1">
          <a:extLst>
            <a:ext uri="{FF2B5EF4-FFF2-40B4-BE49-F238E27FC236}">
              <a16:creationId xmlns:a16="http://schemas.microsoft.com/office/drawing/2014/main" id="{AB57BE5D-D88E-4B69-AC5B-C870E6A0D65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89" name="Text Box 1">
          <a:extLst>
            <a:ext uri="{FF2B5EF4-FFF2-40B4-BE49-F238E27FC236}">
              <a16:creationId xmlns:a16="http://schemas.microsoft.com/office/drawing/2014/main" id="{6B10CB9A-A63B-4A00-AA52-BA053A4D270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90" name="Text Box 1">
          <a:extLst>
            <a:ext uri="{FF2B5EF4-FFF2-40B4-BE49-F238E27FC236}">
              <a16:creationId xmlns:a16="http://schemas.microsoft.com/office/drawing/2014/main" id="{2D610695-678A-41E9-A45C-DB7C18F7551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91" name="Text Box 1">
          <a:extLst>
            <a:ext uri="{FF2B5EF4-FFF2-40B4-BE49-F238E27FC236}">
              <a16:creationId xmlns:a16="http://schemas.microsoft.com/office/drawing/2014/main" id="{0E4909B8-91EE-4498-A73E-ADE093826D2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92" name="Text Box 1">
          <a:extLst>
            <a:ext uri="{FF2B5EF4-FFF2-40B4-BE49-F238E27FC236}">
              <a16:creationId xmlns:a16="http://schemas.microsoft.com/office/drawing/2014/main" id="{DE8C8781-165A-4F71-9F40-5D3401FA0DE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93" name="Text Box 1">
          <a:extLst>
            <a:ext uri="{FF2B5EF4-FFF2-40B4-BE49-F238E27FC236}">
              <a16:creationId xmlns:a16="http://schemas.microsoft.com/office/drawing/2014/main" id="{F1C4CB41-97F4-4D8D-B22E-3BE459E1C99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94" name="Text Box 1">
          <a:extLst>
            <a:ext uri="{FF2B5EF4-FFF2-40B4-BE49-F238E27FC236}">
              <a16:creationId xmlns:a16="http://schemas.microsoft.com/office/drawing/2014/main" id="{122EEBD5-B738-427C-A866-1ADD2FE14E9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95" name="Text Box 1">
          <a:extLst>
            <a:ext uri="{FF2B5EF4-FFF2-40B4-BE49-F238E27FC236}">
              <a16:creationId xmlns:a16="http://schemas.microsoft.com/office/drawing/2014/main" id="{28931BBB-DF98-431C-B55C-B071DBCA753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96" name="Text Box 1">
          <a:extLst>
            <a:ext uri="{FF2B5EF4-FFF2-40B4-BE49-F238E27FC236}">
              <a16:creationId xmlns:a16="http://schemas.microsoft.com/office/drawing/2014/main" id="{4169FB51-4A16-4E41-BEC0-7A3D9AD9984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97" name="Text Box 1">
          <a:extLst>
            <a:ext uri="{FF2B5EF4-FFF2-40B4-BE49-F238E27FC236}">
              <a16:creationId xmlns:a16="http://schemas.microsoft.com/office/drawing/2014/main" id="{DC954760-EC46-4B9B-BEB2-7E3317E027B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98" name="Text Box 1">
          <a:extLst>
            <a:ext uri="{FF2B5EF4-FFF2-40B4-BE49-F238E27FC236}">
              <a16:creationId xmlns:a16="http://schemas.microsoft.com/office/drawing/2014/main" id="{8B6441B2-64EA-4C79-881C-F283F66A97C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499" name="Text Box 1">
          <a:extLst>
            <a:ext uri="{FF2B5EF4-FFF2-40B4-BE49-F238E27FC236}">
              <a16:creationId xmlns:a16="http://schemas.microsoft.com/office/drawing/2014/main" id="{35A7EC4A-B2BE-4B0B-9C5B-8842E5EA8A1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00" name="Text Box 1">
          <a:extLst>
            <a:ext uri="{FF2B5EF4-FFF2-40B4-BE49-F238E27FC236}">
              <a16:creationId xmlns:a16="http://schemas.microsoft.com/office/drawing/2014/main" id="{85AE7628-99B9-45CE-AE8D-1DEFDAA2F6D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01" name="Text Box 1">
          <a:extLst>
            <a:ext uri="{FF2B5EF4-FFF2-40B4-BE49-F238E27FC236}">
              <a16:creationId xmlns:a16="http://schemas.microsoft.com/office/drawing/2014/main" id="{EBCBCBC7-817A-47C2-A94F-53175D7B709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02" name="Text Box 1">
          <a:extLst>
            <a:ext uri="{FF2B5EF4-FFF2-40B4-BE49-F238E27FC236}">
              <a16:creationId xmlns:a16="http://schemas.microsoft.com/office/drawing/2014/main" id="{FE88F737-F435-42AE-BEEB-87DC08190E7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03" name="Text Box 1">
          <a:extLst>
            <a:ext uri="{FF2B5EF4-FFF2-40B4-BE49-F238E27FC236}">
              <a16:creationId xmlns:a16="http://schemas.microsoft.com/office/drawing/2014/main" id="{71A087F0-3332-4F34-8D3C-8C5D625C41D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04" name="Text Box 1">
          <a:extLst>
            <a:ext uri="{FF2B5EF4-FFF2-40B4-BE49-F238E27FC236}">
              <a16:creationId xmlns:a16="http://schemas.microsoft.com/office/drawing/2014/main" id="{4148BA46-A251-4CDE-9DA9-A39BA14B8FD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05" name="Text Box 1">
          <a:extLst>
            <a:ext uri="{FF2B5EF4-FFF2-40B4-BE49-F238E27FC236}">
              <a16:creationId xmlns:a16="http://schemas.microsoft.com/office/drawing/2014/main" id="{E5CC9615-5A26-4DD0-ADE3-AEB85577442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06" name="Text Box 1">
          <a:extLst>
            <a:ext uri="{FF2B5EF4-FFF2-40B4-BE49-F238E27FC236}">
              <a16:creationId xmlns:a16="http://schemas.microsoft.com/office/drawing/2014/main" id="{D75FEC21-8B3E-42C1-AAA1-D5A6A59F6C7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07" name="Text Box 1">
          <a:extLst>
            <a:ext uri="{FF2B5EF4-FFF2-40B4-BE49-F238E27FC236}">
              <a16:creationId xmlns:a16="http://schemas.microsoft.com/office/drawing/2014/main" id="{37EFE6FD-C99C-4494-94A9-B5D7E99327A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08" name="Text Box 1">
          <a:extLst>
            <a:ext uri="{FF2B5EF4-FFF2-40B4-BE49-F238E27FC236}">
              <a16:creationId xmlns:a16="http://schemas.microsoft.com/office/drawing/2014/main" id="{FACAEF08-B481-412C-9CA2-B2518363CF4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09" name="Text Box 1">
          <a:extLst>
            <a:ext uri="{FF2B5EF4-FFF2-40B4-BE49-F238E27FC236}">
              <a16:creationId xmlns:a16="http://schemas.microsoft.com/office/drawing/2014/main" id="{96C75737-C61F-4B00-B0A7-1C56F581A28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10" name="Text Box 1">
          <a:extLst>
            <a:ext uri="{FF2B5EF4-FFF2-40B4-BE49-F238E27FC236}">
              <a16:creationId xmlns:a16="http://schemas.microsoft.com/office/drawing/2014/main" id="{FE5434D0-E76B-48E8-B6B4-C5BE677A8D9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11" name="Text Box 1">
          <a:extLst>
            <a:ext uri="{FF2B5EF4-FFF2-40B4-BE49-F238E27FC236}">
              <a16:creationId xmlns:a16="http://schemas.microsoft.com/office/drawing/2014/main" id="{52720A3C-95DD-4840-98E6-64DCADAA072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12" name="Text Box 1">
          <a:extLst>
            <a:ext uri="{FF2B5EF4-FFF2-40B4-BE49-F238E27FC236}">
              <a16:creationId xmlns:a16="http://schemas.microsoft.com/office/drawing/2014/main" id="{02B03B0D-C561-4F34-8411-6826F9C71EB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13" name="Text Box 1">
          <a:extLst>
            <a:ext uri="{FF2B5EF4-FFF2-40B4-BE49-F238E27FC236}">
              <a16:creationId xmlns:a16="http://schemas.microsoft.com/office/drawing/2014/main" id="{19D8E967-1A7C-4DC5-8D58-7B1C2805C50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14" name="Text Box 1">
          <a:extLst>
            <a:ext uri="{FF2B5EF4-FFF2-40B4-BE49-F238E27FC236}">
              <a16:creationId xmlns:a16="http://schemas.microsoft.com/office/drawing/2014/main" id="{D5699677-B3E3-4634-A932-190A2162F56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15" name="Text Box 1">
          <a:extLst>
            <a:ext uri="{FF2B5EF4-FFF2-40B4-BE49-F238E27FC236}">
              <a16:creationId xmlns:a16="http://schemas.microsoft.com/office/drawing/2014/main" id="{44A6DB89-AD0A-4B36-B211-A79431EFA84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16" name="Text Box 1">
          <a:extLst>
            <a:ext uri="{FF2B5EF4-FFF2-40B4-BE49-F238E27FC236}">
              <a16:creationId xmlns:a16="http://schemas.microsoft.com/office/drawing/2014/main" id="{26389F1D-9B4E-480A-8C40-42001985F80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17" name="Text Box 1">
          <a:extLst>
            <a:ext uri="{FF2B5EF4-FFF2-40B4-BE49-F238E27FC236}">
              <a16:creationId xmlns:a16="http://schemas.microsoft.com/office/drawing/2014/main" id="{7BECD624-C619-4025-809A-1698C68A0C2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18" name="Text Box 1">
          <a:extLst>
            <a:ext uri="{FF2B5EF4-FFF2-40B4-BE49-F238E27FC236}">
              <a16:creationId xmlns:a16="http://schemas.microsoft.com/office/drawing/2014/main" id="{A66C0298-64EA-46FB-87E6-21893FBBE0F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19" name="Text Box 1">
          <a:extLst>
            <a:ext uri="{FF2B5EF4-FFF2-40B4-BE49-F238E27FC236}">
              <a16:creationId xmlns:a16="http://schemas.microsoft.com/office/drawing/2014/main" id="{34DBE32B-6BC7-447E-801E-1C8B4C37C45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20" name="Text Box 1">
          <a:extLst>
            <a:ext uri="{FF2B5EF4-FFF2-40B4-BE49-F238E27FC236}">
              <a16:creationId xmlns:a16="http://schemas.microsoft.com/office/drawing/2014/main" id="{4C96BE08-DD7C-4FF8-8F16-6DD1627BDEA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21" name="Text Box 1">
          <a:extLst>
            <a:ext uri="{FF2B5EF4-FFF2-40B4-BE49-F238E27FC236}">
              <a16:creationId xmlns:a16="http://schemas.microsoft.com/office/drawing/2014/main" id="{BB2A1E68-E3E6-4F8A-ACD2-BCCC7ECE479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22" name="Text Box 1">
          <a:extLst>
            <a:ext uri="{FF2B5EF4-FFF2-40B4-BE49-F238E27FC236}">
              <a16:creationId xmlns:a16="http://schemas.microsoft.com/office/drawing/2014/main" id="{C9CD6125-CB95-4000-A02C-F1D154A587B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23" name="Text Box 1">
          <a:extLst>
            <a:ext uri="{FF2B5EF4-FFF2-40B4-BE49-F238E27FC236}">
              <a16:creationId xmlns:a16="http://schemas.microsoft.com/office/drawing/2014/main" id="{64F45E9C-DC00-4843-9178-23DCF4E700E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24" name="Text Box 1">
          <a:extLst>
            <a:ext uri="{FF2B5EF4-FFF2-40B4-BE49-F238E27FC236}">
              <a16:creationId xmlns:a16="http://schemas.microsoft.com/office/drawing/2014/main" id="{24F9787E-B4E6-4DE9-A8AC-81244FF41F7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25" name="Text Box 1">
          <a:extLst>
            <a:ext uri="{FF2B5EF4-FFF2-40B4-BE49-F238E27FC236}">
              <a16:creationId xmlns:a16="http://schemas.microsoft.com/office/drawing/2014/main" id="{16358A82-E4E6-4C87-A3CD-0AD9095EC79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26" name="Text Box 1">
          <a:extLst>
            <a:ext uri="{FF2B5EF4-FFF2-40B4-BE49-F238E27FC236}">
              <a16:creationId xmlns:a16="http://schemas.microsoft.com/office/drawing/2014/main" id="{4EA4DC6B-16A5-46FF-94BA-E8F0BCEBCE2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27" name="Text Box 1">
          <a:extLst>
            <a:ext uri="{FF2B5EF4-FFF2-40B4-BE49-F238E27FC236}">
              <a16:creationId xmlns:a16="http://schemas.microsoft.com/office/drawing/2014/main" id="{3898CC7A-ED33-4D10-B5F4-8171EA5E102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28" name="Text Box 1">
          <a:extLst>
            <a:ext uri="{FF2B5EF4-FFF2-40B4-BE49-F238E27FC236}">
              <a16:creationId xmlns:a16="http://schemas.microsoft.com/office/drawing/2014/main" id="{59E75D9E-ED0B-43FA-B6EF-8E5A6FD3FE3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29" name="Text Box 1">
          <a:extLst>
            <a:ext uri="{FF2B5EF4-FFF2-40B4-BE49-F238E27FC236}">
              <a16:creationId xmlns:a16="http://schemas.microsoft.com/office/drawing/2014/main" id="{82F39174-9156-48B9-BEF5-4B836898776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30" name="Text Box 1">
          <a:extLst>
            <a:ext uri="{FF2B5EF4-FFF2-40B4-BE49-F238E27FC236}">
              <a16:creationId xmlns:a16="http://schemas.microsoft.com/office/drawing/2014/main" id="{5D25DD93-A2B9-49B1-841C-4E3B06BF018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31" name="Text Box 1">
          <a:extLst>
            <a:ext uri="{FF2B5EF4-FFF2-40B4-BE49-F238E27FC236}">
              <a16:creationId xmlns:a16="http://schemas.microsoft.com/office/drawing/2014/main" id="{51A2D5C6-5E12-48F9-B679-64C039D9835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32" name="Text Box 1">
          <a:extLst>
            <a:ext uri="{FF2B5EF4-FFF2-40B4-BE49-F238E27FC236}">
              <a16:creationId xmlns:a16="http://schemas.microsoft.com/office/drawing/2014/main" id="{B09F8E79-E8EB-4743-B728-6102163AB43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33" name="Text Box 1">
          <a:extLst>
            <a:ext uri="{FF2B5EF4-FFF2-40B4-BE49-F238E27FC236}">
              <a16:creationId xmlns:a16="http://schemas.microsoft.com/office/drawing/2014/main" id="{E1D2E6C0-2F7B-4F13-A80E-C57FE52AE37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34" name="Text Box 1">
          <a:extLst>
            <a:ext uri="{FF2B5EF4-FFF2-40B4-BE49-F238E27FC236}">
              <a16:creationId xmlns:a16="http://schemas.microsoft.com/office/drawing/2014/main" id="{B742CE39-C295-4A32-8365-6197B68C138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35" name="Text Box 1">
          <a:extLst>
            <a:ext uri="{FF2B5EF4-FFF2-40B4-BE49-F238E27FC236}">
              <a16:creationId xmlns:a16="http://schemas.microsoft.com/office/drawing/2014/main" id="{0FA4615D-D56C-4B27-8189-82798B4AAE6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36" name="Text Box 1">
          <a:extLst>
            <a:ext uri="{FF2B5EF4-FFF2-40B4-BE49-F238E27FC236}">
              <a16:creationId xmlns:a16="http://schemas.microsoft.com/office/drawing/2014/main" id="{7071758A-75A7-4326-9A0F-4FE5C282AD4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37" name="Text Box 1">
          <a:extLst>
            <a:ext uri="{FF2B5EF4-FFF2-40B4-BE49-F238E27FC236}">
              <a16:creationId xmlns:a16="http://schemas.microsoft.com/office/drawing/2014/main" id="{F25F5C6E-32B5-40F2-B38A-62FC3259D8F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38" name="Text Box 1">
          <a:extLst>
            <a:ext uri="{FF2B5EF4-FFF2-40B4-BE49-F238E27FC236}">
              <a16:creationId xmlns:a16="http://schemas.microsoft.com/office/drawing/2014/main" id="{D704B2CE-67E0-4A9B-92A1-7B965998B4A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39" name="Text Box 1">
          <a:extLst>
            <a:ext uri="{FF2B5EF4-FFF2-40B4-BE49-F238E27FC236}">
              <a16:creationId xmlns:a16="http://schemas.microsoft.com/office/drawing/2014/main" id="{39C068D4-0842-4A95-B523-B0FAAA53EBB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40" name="Text Box 1">
          <a:extLst>
            <a:ext uri="{FF2B5EF4-FFF2-40B4-BE49-F238E27FC236}">
              <a16:creationId xmlns:a16="http://schemas.microsoft.com/office/drawing/2014/main" id="{B6DCEB57-4B58-48EE-B494-AEC4C67E7B2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41" name="Text Box 1">
          <a:extLst>
            <a:ext uri="{FF2B5EF4-FFF2-40B4-BE49-F238E27FC236}">
              <a16:creationId xmlns:a16="http://schemas.microsoft.com/office/drawing/2014/main" id="{BAC55CDD-8E41-4C9D-AD87-8E98B60A87D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42" name="Text Box 1">
          <a:extLst>
            <a:ext uri="{FF2B5EF4-FFF2-40B4-BE49-F238E27FC236}">
              <a16:creationId xmlns:a16="http://schemas.microsoft.com/office/drawing/2014/main" id="{A7728E93-B1F0-49F7-A2E9-9CA959A7E1C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43" name="Text Box 1">
          <a:extLst>
            <a:ext uri="{FF2B5EF4-FFF2-40B4-BE49-F238E27FC236}">
              <a16:creationId xmlns:a16="http://schemas.microsoft.com/office/drawing/2014/main" id="{527AE3B3-6CAE-4B6C-9BB7-8FA827710FA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44" name="Text Box 1">
          <a:extLst>
            <a:ext uri="{FF2B5EF4-FFF2-40B4-BE49-F238E27FC236}">
              <a16:creationId xmlns:a16="http://schemas.microsoft.com/office/drawing/2014/main" id="{63BE8794-10BF-4B85-8E0C-2AD3DABD57A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45" name="Text Box 1">
          <a:extLst>
            <a:ext uri="{FF2B5EF4-FFF2-40B4-BE49-F238E27FC236}">
              <a16:creationId xmlns:a16="http://schemas.microsoft.com/office/drawing/2014/main" id="{B9A04ED8-A221-4092-BFCA-5287A2B6B9F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46" name="Text Box 1">
          <a:extLst>
            <a:ext uri="{FF2B5EF4-FFF2-40B4-BE49-F238E27FC236}">
              <a16:creationId xmlns:a16="http://schemas.microsoft.com/office/drawing/2014/main" id="{39995735-7351-4C71-A6B5-30C2529200E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47" name="Text Box 1">
          <a:extLst>
            <a:ext uri="{FF2B5EF4-FFF2-40B4-BE49-F238E27FC236}">
              <a16:creationId xmlns:a16="http://schemas.microsoft.com/office/drawing/2014/main" id="{726803F8-E01E-47F1-896B-46F28FD5AE1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48" name="Text Box 1">
          <a:extLst>
            <a:ext uri="{FF2B5EF4-FFF2-40B4-BE49-F238E27FC236}">
              <a16:creationId xmlns:a16="http://schemas.microsoft.com/office/drawing/2014/main" id="{A59DA9E8-A019-4505-AE70-513C1D281C0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49" name="Text Box 1">
          <a:extLst>
            <a:ext uri="{FF2B5EF4-FFF2-40B4-BE49-F238E27FC236}">
              <a16:creationId xmlns:a16="http://schemas.microsoft.com/office/drawing/2014/main" id="{4F130DBE-2B07-4D44-A065-890E6B9470E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50" name="Text Box 1">
          <a:extLst>
            <a:ext uri="{FF2B5EF4-FFF2-40B4-BE49-F238E27FC236}">
              <a16:creationId xmlns:a16="http://schemas.microsoft.com/office/drawing/2014/main" id="{9365E466-DB13-45E1-9155-04BDD946BBC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51" name="Text Box 1">
          <a:extLst>
            <a:ext uri="{FF2B5EF4-FFF2-40B4-BE49-F238E27FC236}">
              <a16:creationId xmlns:a16="http://schemas.microsoft.com/office/drawing/2014/main" id="{3D53D8D4-9FF1-41B2-ABE0-110FA4A6056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52" name="Text Box 1">
          <a:extLst>
            <a:ext uri="{FF2B5EF4-FFF2-40B4-BE49-F238E27FC236}">
              <a16:creationId xmlns:a16="http://schemas.microsoft.com/office/drawing/2014/main" id="{4423B494-CBDB-4116-B714-C5A10642E98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53" name="Text Box 1">
          <a:extLst>
            <a:ext uri="{FF2B5EF4-FFF2-40B4-BE49-F238E27FC236}">
              <a16:creationId xmlns:a16="http://schemas.microsoft.com/office/drawing/2014/main" id="{FE56A629-9247-4B92-931F-0A288F42CB1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54" name="Text Box 1">
          <a:extLst>
            <a:ext uri="{FF2B5EF4-FFF2-40B4-BE49-F238E27FC236}">
              <a16:creationId xmlns:a16="http://schemas.microsoft.com/office/drawing/2014/main" id="{0F72AF6C-BBDC-4DA6-8970-E405EC1C235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55" name="Text Box 1">
          <a:extLst>
            <a:ext uri="{FF2B5EF4-FFF2-40B4-BE49-F238E27FC236}">
              <a16:creationId xmlns:a16="http://schemas.microsoft.com/office/drawing/2014/main" id="{675DA87F-30A8-48B1-B044-08AF64A20EA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56" name="Text Box 1">
          <a:extLst>
            <a:ext uri="{FF2B5EF4-FFF2-40B4-BE49-F238E27FC236}">
              <a16:creationId xmlns:a16="http://schemas.microsoft.com/office/drawing/2014/main" id="{68BA430F-1597-4378-B1DD-65B9086843F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57" name="Text Box 1">
          <a:extLst>
            <a:ext uri="{FF2B5EF4-FFF2-40B4-BE49-F238E27FC236}">
              <a16:creationId xmlns:a16="http://schemas.microsoft.com/office/drawing/2014/main" id="{1F7F3AE2-F644-4DA7-8CE0-56521167E25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58" name="Text Box 1">
          <a:extLst>
            <a:ext uri="{FF2B5EF4-FFF2-40B4-BE49-F238E27FC236}">
              <a16:creationId xmlns:a16="http://schemas.microsoft.com/office/drawing/2014/main" id="{B2066ABF-96C7-44C5-9C7D-79138EE1E26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59" name="Text Box 1">
          <a:extLst>
            <a:ext uri="{FF2B5EF4-FFF2-40B4-BE49-F238E27FC236}">
              <a16:creationId xmlns:a16="http://schemas.microsoft.com/office/drawing/2014/main" id="{4C72FFD2-4E28-4047-9355-BBE266D1E57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60" name="Text Box 1">
          <a:extLst>
            <a:ext uri="{FF2B5EF4-FFF2-40B4-BE49-F238E27FC236}">
              <a16:creationId xmlns:a16="http://schemas.microsoft.com/office/drawing/2014/main" id="{73C4A4A2-32FE-444E-9148-6E4F479FF6B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61" name="Text Box 1">
          <a:extLst>
            <a:ext uri="{FF2B5EF4-FFF2-40B4-BE49-F238E27FC236}">
              <a16:creationId xmlns:a16="http://schemas.microsoft.com/office/drawing/2014/main" id="{86BA4506-4A4F-4398-A66B-B68BD0FC33F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62" name="Text Box 1">
          <a:extLst>
            <a:ext uri="{FF2B5EF4-FFF2-40B4-BE49-F238E27FC236}">
              <a16:creationId xmlns:a16="http://schemas.microsoft.com/office/drawing/2014/main" id="{CB389502-CA70-457C-AA4B-57F9B84A53E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63" name="Text Box 1">
          <a:extLst>
            <a:ext uri="{FF2B5EF4-FFF2-40B4-BE49-F238E27FC236}">
              <a16:creationId xmlns:a16="http://schemas.microsoft.com/office/drawing/2014/main" id="{7B3B6470-EBD7-44F3-90D2-82FB4E13673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64" name="Text Box 1">
          <a:extLst>
            <a:ext uri="{FF2B5EF4-FFF2-40B4-BE49-F238E27FC236}">
              <a16:creationId xmlns:a16="http://schemas.microsoft.com/office/drawing/2014/main" id="{3EA1C780-2D63-423C-AB17-9B610B18D94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65" name="Text Box 1">
          <a:extLst>
            <a:ext uri="{FF2B5EF4-FFF2-40B4-BE49-F238E27FC236}">
              <a16:creationId xmlns:a16="http://schemas.microsoft.com/office/drawing/2014/main" id="{C82AD716-430B-4C06-828E-7EF205F1859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66" name="Text Box 1">
          <a:extLst>
            <a:ext uri="{FF2B5EF4-FFF2-40B4-BE49-F238E27FC236}">
              <a16:creationId xmlns:a16="http://schemas.microsoft.com/office/drawing/2014/main" id="{A3F89EAD-978C-4492-9FC0-CF15DE0DDAA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67" name="Text Box 1">
          <a:extLst>
            <a:ext uri="{FF2B5EF4-FFF2-40B4-BE49-F238E27FC236}">
              <a16:creationId xmlns:a16="http://schemas.microsoft.com/office/drawing/2014/main" id="{15588796-80DB-41A4-978E-84CE63B675A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68" name="Text Box 1">
          <a:extLst>
            <a:ext uri="{FF2B5EF4-FFF2-40B4-BE49-F238E27FC236}">
              <a16:creationId xmlns:a16="http://schemas.microsoft.com/office/drawing/2014/main" id="{90D4AD55-D4D0-4DD9-9C54-A0D123DDFA2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69" name="Text Box 1">
          <a:extLst>
            <a:ext uri="{FF2B5EF4-FFF2-40B4-BE49-F238E27FC236}">
              <a16:creationId xmlns:a16="http://schemas.microsoft.com/office/drawing/2014/main" id="{EEE922EE-FAA1-49C5-9F91-F2C7E6660EF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70" name="Text Box 1">
          <a:extLst>
            <a:ext uri="{FF2B5EF4-FFF2-40B4-BE49-F238E27FC236}">
              <a16:creationId xmlns:a16="http://schemas.microsoft.com/office/drawing/2014/main" id="{FE0650C7-3F56-469F-9870-2370777D55B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71" name="Text Box 1">
          <a:extLst>
            <a:ext uri="{FF2B5EF4-FFF2-40B4-BE49-F238E27FC236}">
              <a16:creationId xmlns:a16="http://schemas.microsoft.com/office/drawing/2014/main" id="{518C5DAB-CC21-4B15-B8CA-56AA8FEA2CC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72" name="Text Box 1">
          <a:extLst>
            <a:ext uri="{FF2B5EF4-FFF2-40B4-BE49-F238E27FC236}">
              <a16:creationId xmlns:a16="http://schemas.microsoft.com/office/drawing/2014/main" id="{2562FA4A-F1FE-4EA1-B28C-03C987824DE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73" name="Text Box 1">
          <a:extLst>
            <a:ext uri="{FF2B5EF4-FFF2-40B4-BE49-F238E27FC236}">
              <a16:creationId xmlns:a16="http://schemas.microsoft.com/office/drawing/2014/main" id="{ADD52DE0-717B-4344-A93A-1D2D16C2F31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74" name="Text Box 1">
          <a:extLst>
            <a:ext uri="{FF2B5EF4-FFF2-40B4-BE49-F238E27FC236}">
              <a16:creationId xmlns:a16="http://schemas.microsoft.com/office/drawing/2014/main" id="{F28ED766-9969-4358-AADC-C0E71FC7C00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75" name="Text Box 1">
          <a:extLst>
            <a:ext uri="{FF2B5EF4-FFF2-40B4-BE49-F238E27FC236}">
              <a16:creationId xmlns:a16="http://schemas.microsoft.com/office/drawing/2014/main" id="{ED2840A6-8194-44F1-86CC-E77CE252BA5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76" name="Text Box 1">
          <a:extLst>
            <a:ext uri="{FF2B5EF4-FFF2-40B4-BE49-F238E27FC236}">
              <a16:creationId xmlns:a16="http://schemas.microsoft.com/office/drawing/2014/main" id="{91657D71-94AD-4DCC-93C0-9D6C0514936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565150</xdr:colOff>
      <xdr:row>47</xdr:row>
      <xdr:rowOff>152400</xdr:rowOff>
    </xdr:from>
    <xdr:ext cx="247650" cy="85725"/>
    <xdr:sp macro="" textlink="">
      <xdr:nvSpPr>
        <xdr:cNvPr id="13577" name="Text Box 1">
          <a:extLst>
            <a:ext uri="{FF2B5EF4-FFF2-40B4-BE49-F238E27FC236}">
              <a16:creationId xmlns:a16="http://schemas.microsoft.com/office/drawing/2014/main" id="{99286ADB-CAB3-46FC-AC3E-C2FE7087978A}"/>
            </a:ext>
          </a:extLst>
        </xdr:cNvPr>
        <xdr:cNvSpPr txBox="1">
          <a:spLocks noChangeArrowheads="1"/>
        </xdr:cNvSpPr>
      </xdr:nvSpPr>
      <xdr:spPr bwMode="auto">
        <a:xfrm>
          <a:off x="15557500" y="13652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21</xdr:col>
      <xdr:colOff>565150</xdr:colOff>
      <xdr:row>47</xdr:row>
      <xdr:rowOff>152400</xdr:rowOff>
    </xdr:from>
    <xdr:ext cx="247650" cy="85725"/>
    <xdr:sp macro="" textlink="">
      <xdr:nvSpPr>
        <xdr:cNvPr id="13578" name="Text Box 1">
          <a:extLst>
            <a:ext uri="{FF2B5EF4-FFF2-40B4-BE49-F238E27FC236}">
              <a16:creationId xmlns:a16="http://schemas.microsoft.com/office/drawing/2014/main" id="{38044B32-50EB-4D1C-A8AE-16FBEB1B82CF}"/>
            </a:ext>
          </a:extLst>
        </xdr:cNvPr>
        <xdr:cNvSpPr txBox="1">
          <a:spLocks noChangeArrowheads="1"/>
        </xdr:cNvSpPr>
      </xdr:nvSpPr>
      <xdr:spPr bwMode="auto">
        <a:xfrm>
          <a:off x="15906750" y="13652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565150</xdr:colOff>
      <xdr:row>47</xdr:row>
      <xdr:rowOff>152400</xdr:rowOff>
    </xdr:from>
    <xdr:ext cx="247650" cy="85725"/>
    <xdr:sp macro="" textlink="">
      <xdr:nvSpPr>
        <xdr:cNvPr id="13579" name="Text Box 1">
          <a:extLst>
            <a:ext uri="{FF2B5EF4-FFF2-40B4-BE49-F238E27FC236}">
              <a16:creationId xmlns:a16="http://schemas.microsoft.com/office/drawing/2014/main" id="{C1DEF236-CF69-4B43-8E0F-18DA8C30A424}"/>
            </a:ext>
          </a:extLst>
        </xdr:cNvPr>
        <xdr:cNvSpPr txBox="1">
          <a:spLocks noChangeArrowheads="1"/>
        </xdr:cNvSpPr>
      </xdr:nvSpPr>
      <xdr:spPr bwMode="auto">
        <a:xfrm>
          <a:off x="17049750" y="13652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24</xdr:col>
      <xdr:colOff>565150</xdr:colOff>
      <xdr:row>47</xdr:row>
      <xdr:rowOff>152400</xdr:rowOff>
    </xdr:from>
    <xdr:ext cx="247650" cy="85725"/>
    <xdr:sp macro="" textlink="">
      <xdr:nvSpPr>
        <xdr:cNvPr id="13580" name="Text Box 1">
          <a:extLst>
            <a:ext uri="{FF2B5EF4-FFF2-40B4-BE49-F238E27FC236}">
              <a16:creationId xmlns:a16="http://schemas.microsoft.com/office/drawing/2014/main" id="{373C1040-EF9A-4758-8E52-CD4B379F4CCA}"/>
            </a:ext>
          </a:extLst>
        </xdr:cNvPr>
        <xdr:cNvSpPr txBox="1">
          <a:spLocks noChangeArrowheads="1"/>
        </xdr:cNvSpPr>
      </xdr:nvSpPr>
      <xdr:spPr bwMode="auto">
        <a:xfrm>
          <a:off x="17614900" y="13652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25</xdr:col>
      <xdr:colOff>565150</xdr:colOff>
      <xdr:row>47</xdr:row>
      <xdr:rowOff>152400</xdr:rowOff>
    </xdr:from>
    <xdr:ext cx="247650" cy="85725"/>
    <xdr:sp macro="" textlink="">
      <xdr:nvSpPr>
        <xdr:cNvPr id="13581" name="Text Box 1">
          <a:extLst>
            <a:ext uri="{FF2B5EF4-FFF2-40B4-BE49-F238E27FC236}">
              <a16:creationId xmlns:a16="http://schemas.microsoft.com/office/drawing/2014/main" id="{3BE74794-3AF2-46D6-99DA-F25647F626A3}"/>
            </a:ext>
          </a:extLst>
        </xdr:cNvPr>
        <xdr:cNvSpPr txBox="1">
          <a:spLocks noChangeArrowheads="1"/>
        </xdr:cNvSpPr>
      </xdr:nvSpPr>
      <xdr:spPr bwMode="auto">
        <a:xfrm>
          <a:off x="18243550" y="13652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26</xdr:col>
      <xdr:colOff>565150</xdr:colOff>
      <xdr:row>47</xdr:row>
      <xdr:rowOff>152400</xdr:rowOff>
    </xdr:from>
    <xdr:ext cx="247650" cy="85725"/>
    <xdr:sp macro="" textlink="">
      <xdr:nvSpPr>
        <xdr:cNvPr id="13582" name="Text Box 1">
          <a:extLst>
            <a:ext uri="{FF2B5EF4-FFF2-40B4-BE49-F238E27FC236}">
              <a16:creationId xmlns:a16="http://schemas.microsoft.com/office/drawing/2014/main" id="{FB0A7CCA-EE9B-4241-9CDE-F9BC48EDC198}"/>
            </a:ext>
          </a:extLst>
        </xdr:cNvPr>
        <xdr:cNvSpPr txBox="1">
          <a:spLocks noChangeArrowheads="1"/>
        </xdr:cNvSpPr>
      </xdr:nvSpPr>
      <xdr:spPr bwMode="auto">
        <a:xfrm>
          <a:off x="18764250" y="13652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565150</xdr:colOff>
      <xdr:row>47</xdr:row>
      <xdr:rowOff>152400</xdr:rowOff>
    </xdr:from>
    <xdr:ext cx="247650" cy="85725"/>
    <xdr:sp macro="" textlink="">
      <xdr:nvSpPr>
        <xdr:cNvPr id="13583" name="Text Box 1">
          <a:extLst>
            <a:ext uri="{FF2B5EF4-FFF2-40B4-BE49-F238E27FC236}">
              <a16:creationId xmlns:a16="http://schemas.microsoft.com/office/drawing/2014/main" id="{36AA36D0-AE7E-4163-8C32-32CB55388B34}"/>
            </a:ext>
          </a:extLst>
        </xdr:cNvPr>
        <xdr:cNvSpPr txBox="1">
          <a:spLocks noChangeArrowheads="1"/>
        </xdr:cNvSpPr>
      </xdr:nvSpPr>
      <xdr:spPr bwMode="auto">
        <a:xfrm>
          <a:off x="19304000" y="13652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565150</xdr:colOff>
      <xdr:row>47</xdr:row>
      <xdr:rowOff>152400</xdr:rowOff>
    </xdr:from>
    <xdr:ext cx="247650" cy="85725"/>
    <xdr:sp macro="" textlink="">
      <xdr:nvSpPr>
        <xdr:cNvPr id="13584" name="Text Box 1">
          <a:extLst>
            <a:ext uri="{FF2B5EF4-FFF2-40B4-BE49-F238E27FC236}">
              <a16:creationId xmlns:a16="http://schemas.microsoft.com/office/drawing/2014/main" id="{074F33AF-BD2D-4C06-9F4A-DF0729442C04}"/>
            </a:ext>
          </a:extLst>
        </xdr:cNvPr>
        <xdr:cNvSpPr txBox="1">
          <a:spLocks noChangeArrowheads="1"/>
        </xdr:cNvSpPr>
      </xdr:nvSpPr>
      <xdr:spPr bwMode="auto">
        <a:xfrm>
          <a:off x="20408900" y="13652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565150</xdr:colOff>
      <xdr:row>47</xdr:row>
      <xdr:rowOff>152400</xdr:rowOff>
    </xdr:from>
    <xdr:ext cx="247650" cy="85725"/>
    <xdr:sp macro="" textlink="">
      <xdr:nvSpPr>
        <xdr:cNvPr id="13585" name="Text Box 1">
          <a:extLst>
            <a:ext uri="{FF2B5EF4-FFF2-40B4-BE49-F238E27FC236}">
              <a16:creationId xmlns:a16="http://schemas.microsoft.com/office/drawing/2014/main" id="{95B6489A-C686-49B0-BEDC-98DDD87F5448}"/>
            </a:ext>
          </a:extLst>
        </xdr:cNvPr>
        <xdr:cNvSpPr txBox="1">
          <a:spLocks noChangeArrowheads="1"/>
        </xdr:cNvSpPr>
      </xdr:nvSpPr>
      <xdr:spPr bwMode="auto">
        <a:xfrm>
          <a:off x="21062950" y="13652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31</xdr:col>
      <xdr:colOff>565150</xdr:colOff>
      <xdr:row>47</xdr:row>
      <xdr:rowOff>152400</xdr:rowOff>
    </xdr:from>
    <xdr:ext cx="247650" cy="85725"/>
    <xdr:sp macro="" textlink="">
      <xdr:nvSpPr>
        <xdr:cNvPr id="13586" name="Text Box 1">
          <a:extLst>
            <a:ext uri="{FF2B5EF4-FFF2-40B4-BE49-F238E27FC236}">
              <a16:creationId xmlns:a16="http://schemas.microsoft.com/office/drawing/2014/main" id="{EF10292B-41A4-4E0D-B5D2-FDC474A1DFC0}"/>
            </a:ext>
          </a:extLst>
        </xdr:cNvPr>
        <xdr:cNvSpPr txBox="1">
          <a:spLocks noChangeArrowheads="1"/>
        </xdr:cNvSpPr>
      </xdr:nvSpPr>
      <xdr:spPr bwMode="auto">
        <a:xfrm>
          <a:off x="21678900" y="13652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32</xdr:col>
      <xdr:colOff>565150</xdr:colOff>
      <xdr:row>47</xdr:row>
      <xdr:rowOff>152400</xdr:rowOff>
    </xdr:from>
    <xdr:ext cx="247650" cy="85725"/>
    <xdr:sp macro="" textlink="">
      <xdr:nvSpPr>
        <xdr:cNvPr id="13587" name="Text Box 1">
          <a:extLst>
            <a:ext uri="{FF2B5EF4-FFF2-40B4-BE49-F238E27FC236}">
              <a16:creationId xmlns:a16="http://schemas.microsoft.com/office/drawing/2014/main" id="{55BC212B-61D6-42CB-BEB2-215A29AB2F07}"/>
            </a:ext>
          </a:extLst>
        </xdr:cNvPr>
        <xdr:cNvSpPr txBox="1">
          <a:spLocks noChangeArrowheads="1"/>
        </xdr:cNvSpPr>
      </xdr:nvSpPr>
      <xdr:spPr bwMode="auto">
        <a:xfrm>
          <a:off x="22332950" y="13652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33</xdr:col>
      <xdr:colOff>565150</xdr:colOff>
      <xdr:row>47</xdr:row>
      <xdr:rowOff>152400</xdr:rowOff>
    </xdr:from>
    <xdr:ext cx="247650" cy="85725"/>
    <xdr:sp macro="" textlink="">
      <xdr:nvSpPr>
        <xdr:cNvPr id="13588" name="Text Box 1">
          <a:extLst>
            <a:ext uri="{FF2B5EF4-FFF2-40B4-BE49-F238E27FC236}">
              <a16:creationId xmlns:a16="http://schemas.microsoft.com/office/drawing/2014/main" id="{1A5415BF-CBC7-4819-8EB8-6DA299903582}"/>
            </a:ext>
          </a:extLst>
        </xdr:cNvPr>
        <xdr:cNvSpPr txBox="1">
          <a:spLocks noChangeArrowheads="1"/>
        </xdr:cNvSpPr>
      </xdr:nvSpPr>
      <xdr:spPr bwMode="auto">
        <a:xfrm>
          <a:off x="22948900" y="13652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565150</xdr:colOff>
      <xdr:row>47</xdr:row>
      <xdr:rowOff>152400</xdr:rowOff>
    </xdr:from>
    <xdr:ext cx="247650" cy="85725"/>
    <xdr:sp macro="" textlink="">
      <xdr:nvSpPr>
        <xdr:cNvPr id="13589" name="Text Box 1">
          <a:extLst>
            <a:ext uri="{FF2B5EF4-FFF2-40B4-BE49-F238E27FC236}">
              <a16:creationId xmlns:a16="http://schemas.microsoft.com/office/drawing/2014/main" id="{9A64E464-8FEB-4003-8F32-C3C5E3E8458F}"/>
            </a:ext>
          </a:extLst>
        </xdr:cNvPr>
        <xdr:cNvSpPr txBox="1">
          <a:spLocks noChangeArrowheads="1"/>
        </xdr:cNvSpPr>
      </xdr:nvSpPr>
      <xdr:spPr bwMode="auto">
        <a:xfrm>
          <a:off x="23564850" y="13652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35</xdr:col>
      <xdr:colOff>565150</xdr:colOff>
      <xdr:row>47</xdr:row>
      <xdr:rowOff>152400</xdr:rowOff>
    </xdr:from>
    <xdr:ext cx="247650" cy="85725"/>
    <xdr:sp macro="" textlink="">
      <xdr:nvSpPr>
        <xdr:cNvPr id="13590" name="Text Box 1">
          <a:extLst>
            <a:ext uri="{FF2B5EF4-FFF2-40B4-BE49-F238E27FC236}">
              <a16:creationId xmlns:a16="http://schemas.microsoft.com/office/drawing/2014/main" id="{06212D8A-6FA2-46EE-97F0-6A9CC697E0E4}"/>
            </a:ext>
          </a:extLst>
        </xdr:cNvPr>
        <xdr:cNvSpPr txBox="1">
          <a:spLocks noChangeArrowheads="1"/>
        </xdr:cNvSpPr>
      </xdr:nvSpPr>
      <xdr:spPr bwMode="auto">
        <a:xfrm>
          <a:off x="24593550" y="13652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36</xdr:col>
      <xdr:colOff>565150</xdr:colOff>
      <xdr:row>47</xdr:row>
      <xdr:rowOff>152400</xdr:rowOff>
    </xdr:from>
    <xdr:ext cx="247650" cy="85725"/>
    <xdr:sp macro="" textlink="">
      <xdr:nvSpPr>
        <xdr:cNvPr id="13591" name="Text Box 1">
          <a:extLst>
            <a:ext uri="{FF2B5EF4-FFF2-40B4-BE49-F238E27FC236}">
              <a16:creationId xmlns:a16="http://schemas.microsoft.com/office/drawing/2014/main" id="{B8D6CEBF-E66B-4763-B16B-A16A05E41780}"/>
            </a:ext>
          </a:extLst>
        </xdr:cNvPr>
        <xdr:cNvSpPr txBox="1">
          <a:spLocks noChangeArrowheads="1"/>
        </xdr:cNvSpPr>
      </xdr:nvSpPr>
      <xdr:spPr bwMode="auto">
        <a:xfrm>
          <a:off x="25209500" y="13652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565150</xdr:colOff>
      <xdr:row>47</xdr:row>
      <xdr:rowOff>152400</xdr:rowOff>
    </xdr:from>
    <xdr:ext cx="247650" cy="85725"/>
    <xdr:sp macro="" textlink="">
      <xdr:nvSpPr>
        <xdr:cNvPr id="13592" name="Text Box 1">
          <a:extLst>
            <a:ext uri="{FF2B5EF4-FFF2-40B4-BE49-F238E27FC236}">
              <a16:creationId xmlns:a16="http://schemas.microsoft.com/office/drawing/2014/main" id="{141FE903-6E15-4D67-B16C-E5F8255042E9}"/>
            </a:ext>
          </a:extLst>
        </xdr:cNvPr>
        <xdr:cNvSpPr txBox="1">
          <a:spLocks noChangeArrowheads="1"/>
        </xdr:cNvSpPr>
      </xdr:nvSpPr>
      <xdr:spPr bwMode="auto">
        <a:xfrm>
          <a:off x="26441400" y="13652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565150</xdr:colOff>
      <xdr:row>47</xdr:row>
      <xdr:rowOff>152400</xdr:rowOff>
    </xdr:from>
    <xdr:ext cx="247650" cy="85725"/>
    <xdr:sp macro="" textlink="">
      <xdr:nvSpPr>
        <xdr:cNvPr id="13593" name="Text Box 1">
          <a:extLst>
            <a:ext uri="{FF2B5EF4-FFF2-40B4-BE49-F238E27FC236}">
              <a16:creationId xmlns:a16="http://schemas.microsoft.com/office/drawing/2014/main" id="{2C765A4F-EE32-46DA-9869-E35255BD1A49}"/>
            </a:ext>
          </a:extLst>
        </xdr:cNvPr>
        <xdr:cNvSpPr txBox="1">
          <a:spLocks noChangeArrowheads="1"/>
        </xdr:cNvSpPr>
      </xdr:nvSpPr>
      <xdr:spPr bwMode="auto">
        <a:xfrm>
          <a:off x="27095450" y="13652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94" name="Text Box 1">
          <a:extLst>
            <a:ext uri="{FF2B5EF4-FFF2-40B4-BE49-F238E27FC236}">
              <a16:creationId xmlns:a16="http://schemas.microsoft.com/office/drawing/2014/main" id="{F5DB3693-2C76-4329-B546-38C46223EAE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95" name="Text Box 1">
          <a:extLst>
            <a:ext uri="{FF2B5EF4-FFF2-40B4-BE49-F238E27FC236}">
              <a16:creationId xmlns:a16="http://schemas.microsoft.com/office/drawing/2014/main" id="{872F283C-11DD-4DE4-9319-93788234535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96" name="Text Box 1">
          <a:extLst>
            <a:ext uri="{FF2B5EF4-FFF2-40B4-BE49-F238E27FC236}">
              <a16:creationId xmlns:a16="http://schemas.microsoft.com/office/drawing/2014/main" id="{D1F9F853-3732-49A4-A5CB-88E8959F5AE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97" name="Text Box 1">
          <a:extLst>
            <a:ext uri="{FF2B5EF4-FFF2-40B4-BE49-F238E27FC236}">
              <a16:creationId xmlns:a16="http://schemas.microsoft.com/office/drawing/2014/main" id="{3D20DE3E-4A7B-430E-9A95-EB730F532F9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98" name="Text Box 1">
          <a:extLst>
            <a:ext uri="{FF2B5EF4-FFF2-40B4-BE49-F238E27FC236}">
              <a16:creationId xmlns:a16="http://schemas.microsoft.com/office/drawing/2014/main" id="{618849F1-DC5E-4029-944A-3C51169AB58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599" name="Text Box 1">
          <a:extLst>
            <a:ext uri="{FF2B5EF4-FFF2-40B4-BE49-F238E27FC236}">
              <a16:creationId xmlns:a16="http://schemas.microsoft.com/office/drawing/2014/main" id="{F36340D9-AAAD-43B1-9C90-361AE2537DB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00" name="Text Box 1">
          <a:extLst>
            <a:ext uri="{FF2B5EF4-FFF2-40B4-BE49-F238E27FC236}">
              <a16:creationId xmlns:a16="http://schemas.microsoft.com/office/drawing/2014/main" id="{B46BFFB4-92CB-4575-A935-31E362E125B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01" name="Text Box 1">
          <a:extLst>
            <a:ext uri="{FF2B5EF4-FFF2-40B4-BE49-F238E27FC236}">
              <a16:creationId xmlns:a16="http://schemas.microsoft.com/office/drawing/2014/main" id="{04C8723D-8F29-4D94-8B5C-CC2084D0619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02" name="Text Box 1">
          <a:extLst>
            <a:ext uri="{FF2B5EF4-FFF2-40B4-BE49-F238E27FC236}">
              <a16:creationId xmlns:a16="http://schemas.microsoft.com/office/drawing/2014/main" id="{77152C07-102C-466C-9470-A132218889E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03" name="Text Box 1">
          <a:extLst>
            <a:ext uri="{FF2B5EF4-FFF2-40B4-BE49-F238E27FC236}">
              <a16:creationId xmlns:a16="http://schemas.microsoft.com/office/drawing/2014/main" id="{B4392D5E-3944-401D-8A28-81A215C465B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04" name="Text Box 1">
          <a:extLst>
            <a:ext uri="{FF2B5EF4-FFF2-40B4-BE49-F238E27FC236}">
              <a16:creationId xmlns:a16="http://schemas.microsoft.com/office/drawing/2014/main" id="{02B56E54-D9DB-451B-82EB-7FBAB6489E9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05" name="Text Box 1">
          <a:extLst>
            <a:ext uri="{FF2B5EF4-FFF2-40B4-BE49-F238E27FC236}">
              <a16:creationId xmlns:a16="http://schemas.microsoft.com/office/drawing/2014/main" id="{28E73D85-32DE-4C6C-9E4E-3D7B3F2B5E5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06" name="Text Box 1">
          <a:extLst>
            <a:ext uri="{FF2B5EF4-FFF2-40B4-BE49-F238E27FC236}">
              <a16:creationId xmlns:a16="http://schemas.microsoft.com/office/drawing/2014/main" id="{6CBC95F5-FEC0-44AD-92F3-52F71AA2A9F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07" name="Text Box 1">
          <a:extLst>
            <a:ext uri="{FF2B5EF4-FFF2-40B4-BE49-F238E27FC236}">
              <a16:creationId xmlns:a16="http://schemas.microsoft.com/office/drawing/2014/main" id="{48D558D1-39EE-4E0F-A0F3-FEF602AC185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08" name="Text Box 1">
          <a:extLst>
            <a:ext uri="{FF2B5EF4-FFF2-40B4-BE49-F238E27FC236}">
              <a16:creationId xmlns:a16="http://schemas.microsoft.com/office/drawing/2014/main" id="{55126098-4FC8-4F36-88C9-9EB34CE921C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09" name="Text Box 1">
          <a:extLst>
            <a:ext uri="{FF2B5EF4-FFF2-40B4-BE49-F238E27FC236}">
              <a16:creationId xmlns:a16="http://schemas.microsoft.com/office/drawing/2014/main" id="{CA1BFC51-527F-4C44-ACF5-5980D289648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10" name="Text Box 1">
          <a:extLst>
            <a:ext uri="{FF2B5EF4-FFF2-40B4-BE49-F238E27FC236}">
              <a16:creationId xmlns:a16="http://schemas.microsoft.com/office/drawing/2014/main" id="{C24547D6-0F60-4E86-B4C8-A1BC356D4AE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11" name="Text Box 1">
          <a:extLst>
            <a:ext uri="{FF2B5EF4-FFF2-40B4-BE49-F238E27FC236}">
              <a16:creationId xmlns:a16="http://schemas.microsoft.com/office/drawing/2014/main" id="{4C7AFDF3-09E1-4B61-BC1A-BE8FEEF0D1E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12" name="Text Box 1">
          <a:extLst>
            <a:ext uri="{FF2B5EF4-FFF2-40B4-BE49-F238E27FC236}">
              <a16:creationId xmlns:a16="http://schemas.microsoft.com/office/drawing/2014/main" id="{28AE88BC-ABB2-4807-9DE2-0CE2E2A9E3B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13" name="Text Box 1">
          <a:extLst>
            <a:ext uri="{FF2B5EF4-FFF2-40B4-BE49-F238E27FC236}">
              <a16:creationId xmlns:a16="http://schemas.microsoft.com/office/drawing/2014/main" id="{A1F10F35-79AF-4281-8D1D-2A55B702B9A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14" name="Text Box 1">
          <a:extLst>
            <a:ext uri="{FF2B5EF4-FFF2-40B4-BE49-F238E27FC236}">
              <a16:creationId xmlns:a16="http://schemas.microsoft.com/office/drawing/2014/main" id="{15DC174E-C245-418E-A80C-60780D6BECD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15" name="Text Box 1">
          <a:extLst>
            <a:ext uri="{FF2B5EF4-FFF2-40B4-BE49-F238E27FC236}">
              <a16:creationId xmlns:a16="http://schemas.microsoft.com/office/drawing/2014/main" id="{49E20DB8-ABD6-47D8-A412-68FE571DE4D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16" name="Text Box 1">
          <a:extLst>
            <a:ext uri="{FF2B5EF4-FFF2-40B4-BE49-F238E27FC236}">
              <a16:creationId xmlns:a16="http://schemas.microsoft.com/office/drawing/2014/main" id="{A17F4AE5-7739-4793-BC7D-B7A406405D8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17" name="Text Box 1">
          <a:extLst>
            <a:ext uri="{FF2B5EF4-FFF2-40B4-BE49-F238E27FC236}">
              <a16:creationId xmlns:a16="http://schemas.microsoft.com/office/drawing/2014/main" id="{F1F81C76-1942-4C08-B9CC-09D249067DB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18" name="Text Box 1">
          <a:extLst>
            <a:ext uri="{FF2B5EF4-FFF2-40B4-BE49-F238E27FC236}">
              <a16:creationId xmlns:a16="http://schemas.microsoft.com/office/drawing/2014/main" id="{63B9B88D-3054-4817-A0CD-14B668E7689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19" name="Text Box 1">
          <a:extLst>
            <a:ext uri="{FF2B5EF4-FFF2-40B4-BE49-F238E27FC236}">
              <a16:creationId xmlns:a16="http://schemas.microsoft.com/office/drawing/2014/main" id="{79E7FCFD-195C-48E6-A94E-F79DF3493B4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20" name="Text Box 1">
          <a:extLst>
            <a:ext uri="{FF2B5EF4-FFF2-40B4-BE49-F238E27FC236}">
              <a16:creationId xmlns:a16="http://schemas.microsoft.com/office/drawing/2014/main" id="{D0120A6E-E8C7-4D9B-9E57-ACDCB3CA545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21" name="Text Box 1">
          <a:extLst>
            <a:ext uri="{FF2B5EF4-FFF2-40B4-BE49-F238E27FC236}">
              <a16:creationId xmlns:a16="http://schemas.microsoft.com/office/drawing/2014/main" id="{E51226E5-C621-4F35-A729-63713E9381E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22" name="Text Box 1">
          <a:extLst>
            <a:ext uri="{FF2B5EF4-FFF2-40B4-BE49-F238E27FC236}">
              <a16:creationId xmlns:a16="http://schemas.microsoft.com/office/drawing/2014/main" id="{BB4B1819-8A44-44D2-90D5-924F2495D71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23" name="Text Box 1">
          <a:extLst>
            <a:ext uri="{FF2B5EF4-FFF2-40B4-BE49-F238E27FC236}">
              <a16:creationId xmlns:a16="http://schemas.microsoft.com/office/drawing/2014/main" id="{92ECAA06-5144-4C5E-9C56-0BDCC488CC5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24" name="Text Box 1">
          <a:extLst>
            <a:ext uri="{FF2B5EF4-FFF2-40B4-BE49-F238E27FC236}">
              <a16:creationId xmlns:a16="http://schemas.microsoft.com/office/drawing/2014/main" id="{25C094A6-3224-413B-83C0-BE32B54C521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25" name="Text Box 1">
          <a:extLst>
            <a:ext uri="{FF2B5EF4-FFF2-40B4-BE49-F238E27FC236}">
              <a16:creationId xmlns:a16="http://schemas.microsoft.com/office/drawing/2014/main" id="{EA91C689-5240-4B2B-AADA-F68C39FC9CE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26" name="Text Box 1">
          <a:extLst>
            <a:ext uri="{FF2B5EF4-FFF2-40B4-BE49-F238E27FC236}">
              <a16:creationId xmlns:a16="http://schemas.microsoft.com/office/drawing/2014/main" id="{D2D2735C-A29C-44E0-B95F-EDBF529C40B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27" name="Text Box 1">
          <a:extLst>
            <a:ext uri="{FF2B5EF4-FFF2-40B4-BE49-F238E27FC236}">
              <a16:creationId xmlns:a16="http://schemas.microsoft.com/office/drawing/2014/main" id="{1212F56D-73D6-4B1C-B858-A9B2A394085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28" name="Text Box 1">
          <a:extLst>
            <a:ext uri="{FF2B5EF4-FFF2-40B4-BE49-F238E27FC236}">
              <a16:creationId xmlns:a16="http://schemas.microsoft.com/office/drawing/2014/main" id="{B6469ECA-6D0E-464B-8D73-9790D0E7880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29" name="Text Box 1">
          <a:extLst>
            <a:ext uri="{FF2B5EF4-FFF2-40B4-BE49-F238E27FC236}">
              <a16:creationId xmlns:a16="http://schemas.microsoft.com/office/drawing/2014/main" id="{FAADE41D-EAB7-4919-8E60-B86B5F13204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30" name="Text Box 1">
          <a:extLst>
            <a:ext uri="{FF2B5EF4-FFF2-40B4-BE49-F238E27FC236}">
              <a16:creationId xmlns:a16="http://schemas.microsoft.com/office/drawing/2014/main" id="{984535C1-042B-43E4-BC51-D68F2C5F99E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31" name="Text Box 1">
          <a:extLst>
            <a:ext uri="{FF2B5EF4-FFF2-40B4-BE49-F238E27FC236}">
              <a16:creationId xmlns:a16="http://schemas.microsoft.com/office/drawing/2014/main" id="{C6C83812-F6D5-4F0B-B6E0-ADCE1DF3BE7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32" name="Text Box 1">
          <a:extLst>
            <a:ext uri="{FF2B5EF4-FFF2-40B4-BE49-F238E27FC236}">
              <a16:creationId xmlns:a16="http://schemas.microsoft.com/office/drawing/2014/main" id="{AD396566-A514-428C-B750-EB8BAA4459F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33" name="Text Box 1">
          <a:extLst>
            <a:ext uri="{FF2B5EF4-FFF2-40B4-BE49-F238E27FC236}">
              <a16:creationId xmlns:a16="http://schemas.microsoft.com/office/drawing/2014/main" id="{D9D967DA-1746-4CCE-8673-86E86A428A1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34" name="Text Box 1">
          <a:extLst>
            <a:ext uri="{FF2B5EF4-FFF2-40B4-BE49-F238E27FC236}">
              <a16:creationId xmlns:a16="http://schemas.microsoft.com/office/drawing/2014/main" id="{00EAEB23-D22F-416A-9DDC-AE9521BAE9A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35" name="Text Box 1">
          <a:extLst>
            <a:ext uri="{FF2B5EF4-FFF2-40B4-BE49-F238E27FC236}">
              <a16:creationId xmlns:a16="http://schemas.microsoft.com/office/drawing/2014/main" id="{86B91736-18F6-498D-BE02-3E1EBCFBA9B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36" name="Text Box 1">
          <a:extLst>
            <a:ext uri="{FF2B5EF4-FFF2-40B4-BE49-F238E27FC236}">
              <a16:creationId xmlns:a16="http://schemas.microsoft.com/office/drawing/2014/main" id="{1C8119D1-E37F-4394-856A-927A6AD330C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37" name="Text Box 1">
          <a:extLst>
            <a:ext uri="{FF2B5EF4-FFF2-40B4-BE49-F238E27FC236}">
              <a16:creationId xmlns:a16="http://schemas.microsoft.com/office/drawing/2014/main" id="{1E487F29-6D30-4DDF-AA6F-3DDE35F596C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38" name="Text Box 1">
          <a:extLst>
            <a:ext uri="{FF2B5EF4-FFF2-40B4-BE49-F238E27FC236}">
              <a16:creationId xmlns:a16="http://schemas.microsoft.com/office/drawing/2014/main" id="{0CB05C76-F538-43BB-9DDA-B97CC6AAE49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39" name="Text Box 1">
          <a:extLst>
            <a:ext uri="{FF2B5EF4-FFF2-40B4-BE49-F238E27FC236}">
              <a16:creationId xmlns:a16="http://schemas.microsoft.com/office/drawing/2014/main" id="{EEE7FA33-1D94-49E6-9672-1E6803CDE22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40" name="Text Box 1">
          <a:extLst>
            <a:ext uri="{FF2B5EF4-FFF2-40B4-BE49-F238E27FC236}">
              <a16:creationId xmlns:a16="http://schemas.microsoft.com/office/drawing/2014/main" id="{EC890F4C-30C8-4DD3-8121-242CBCEFD33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41" name="Text Box 1">
          <a:extLst>
            <a:ext uri="{FF2B5EF4-FFF2-40B4-BE49-F238E27FC236}">
              <a16:creationId xmlns:a16="http://schemas.microsoft.com/office/drawing/2014/main" id="{74C49271-BABB-492D-8600-F40035FC94D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42" name="Text Box 1">
          <a:extLst>
            <a:ext uri="{FF2B5EF4-FFF2-40B4-BE49-F238E27FC236}">
              <a16:creationId xmlns:a16="http://schemas.microsoft.com/office/drawing/2014/main" id="{26255FDE-3383-4CC4-8302-2939672F285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43" name="Text Box 1">
          <a:extLst>
            <a:ext uri="{FF2B5EF4-FFF2-40B4-BE49-F238E27FC236}">
              <a16:creationId xmlns:a16="http://schemas.microsoft.com/office/drawing/2014/main" id="{0359EF60-D7FB-4C52-9404-DC6C1CEB0D8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44" name="Text Box 1">
          <a:extLst>
            <a:ext uri="{FF2B5EF4-FFF2-40B4-BE49-F238E27FC236}">
              <a16:creationId xmlns:a16="http://schemas.microsoft.com/office/drawing/2014/main" id="{05291C5E-C772-46AF-A475-5EE733EED82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45" name="Text Box 1">
          <a:extLst>
            <a:ext uri="{FF2B5EF4-FFF2-40B4-BE49-F238E27FC236}">
              <a16:creationId xmlns:a16="http://schemas.microsoft.com/office/drawing/2014/main" id="{68205FBE-23A2-4F89-9FB6-76114FD5630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46" name="Text Box 1">
          <a:extLst>
            <a:ext uri="{FF2B5EF4-FFF2-40B4-BE49-F238E27FC236}">
              <a16:creationId xmlns:a16="http://schemas.microsoft.com/office/drawing/2014/main" id="{8E10F4F5-FCD8-4467-AFEE-73B41759BA2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47" name="Text Box 1">
          <a:extLst>
            <a:ext uri="{FF2B5EF4-FFF2-40B4-BE49-F238E27FC236}">
              <a16:creationId xmlns:a16="http://schemas.microsoft.com/office/drawing/2014/main" id="{A45912FE-9B5D-4D4D-B057-CED1EB79D2F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48" name="Text Box 1">
          <a:extLst>
            <a:ext uri="{FF2B5EF4-FFF2-40B4-BE49-F238E27FC236}">
              <a16:creationId xmlns:a16="http://schemas.microsoft.com/office/drawing/2014/main" id="{1840A8CD-5210-4D29-9684-61DC49B4FAA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49" name="Text Box 1">
          <a:extLst>
            <a:ext uri="{FF2B5EF4-FFF2-40B4-BE49-F238E27FC236}">
              <a16:creationId xmlns:a16="http://schemas.microsoft.com/office/drawing/2014/main" id="{3F3A7AEC-11DC-44FA-BA8D-041C4EFAE56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50" name="Text Box 1">
          <a:extLst>
            <a:ext uri="{FF2B5EF4-FFF2-40B4-BE49-F238E27FC236}">
              <a16:creationId xmlns:a16="http://schemas.microsoft.com/office/drawing/2014/main" id="{11519610-DEC3-49F3-93D0-B381CCE6E34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51" name="Text Box 1">
          <a:extLst>
            <a:ext uri="{FF2B5EF4-FFF2-40B4-BE49-F238E27FC236}">
              <a16:creationId xmlns:a16="http://schemas.microsoft.com/office/drawing/2014/main" id="{A79875A8-71B6-40A2-9EDE-A1B6106DA68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52" name="Text Box 1">
          <a:extLst>
            <a:ext uri="{FF2B5EF4-FFF2-40B4-BE49-F238E27FC236}">
              <a16:creationId xmlns:a16="http://schemas.microsoft.com/office/drawing/2014/main" id="{42E6F271-BF31-4EF6-B90D-15CDBD9850F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53" name="Text Box 1">
          <a:extLst>
            <a:ext uri="{FF2B5EF4-FFF2-40B4-BE49-F238E27FC236}">
              <a16:creationId xmlns:a16="http://schemas.microsoft.com/office/drawing/2014/main" id="{47B06788-6423-4ADC-BA1A-4A51C0E1C42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54" name="Text Box 1">
          <a:extLst>
            <a:ext uri="{FF2B5EF4-FFF2-40B4-BE49-F238E27FC236}">
              <a16:creationId xmlns:a16="http://schemas.microsoft.com/office/drawing/2014/main" id="{4D515B37-27D2-4EE5-8238-2C6AF081188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55" name="Text Box 1">
          <a:extLst>
            <a:ext uri="{FF2B5EF4-FFF2-40B4-BE49-F238E27FC236}">
              <a16:creationId xmlns:a16="http://schemas.microsoft.com/office/drawing/2014/main" id="{0AFE3633-A952-403A-B09D-77AC3674D8A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56" name="Text Box 1">
          <a:extLst>
            <a:ext uri="{FF2B5EF4-FFF2-40B4-BE49-F238E27FC236}">
              <a16:creationId xmlns:a16="http://schemas.microsoft.com/office/drawing/2014/main" id="{4DDF09F1-D535-48D5-B26B-3433B31E10D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57" name="Text Box 1">
          <a:extLst>
            <a:ext uri="{FF2B5EF4-FFF2-40B4-BE49-F238E27FC236}">
              <a16:creationId xmlns:a16="http://schemas.microsoft.com/office/drawing/2014/main" id="{D9482438-F284-496C-8A04-60345138967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58" name="Text Box 1">
          <a:extLst>
            <a:ext uri="{FF2B5EF4-FFF2-40B4-BE49-F238E27FC236}">
              <a16:creationId xmlns:a16="http://schemas.microsoft.com/office/drawing/2014/main" id="{F94B8257-E7F9-429D-AC75-3B2A2AF100F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59" name="Text Box 1">
          <a:extLst>
            <a:ext uri="{FF2B5EF4-FFF2-40B4-BE49-F238E27FC236}">
              <a16:creationId xmlns:a16="http://schemas.microsoft.com/office/drawing/2014/main" id="{BA31B268-F53A-4D95-8E14-05E7F66A64A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60" name="Text Box 1">
          <a:extLst>
            <a:ext uri="{FF2B5EF4-FFF2-40B4-BE49-F238E27FC236}">
              <a16:creationId xmlns:a16="http://schemas.microsoft.com/office/drawing/2014/main" id="{0E29B14A-49C3-47D9-AB0F-2398B3ADF30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61" name="Text Box 1">
          <a:extLst>
            <a:ext uri="{FF2B5EF4-FFF2-40B4-BE49-F238E27FC236}">
              <a16:creationId xmlns:a16="http://schemas.microsoft.com/office/drawing/2014/main" id="{050805AF-AA76-4BA3-9161-0A9E43F0D9E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62" name="Text Box 1">
          <a:extLst>
            <a:ext uri="{FF2B5EF4-FFF2-40B4-BE49-F238E27FC236}">
              <a16:creationId xmlns:a16="http://schemas.microsoft.com/office/drawing/2014/main" id="{A1BD53F7-7455-46B3-A5C1-4F676D91872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63" name="Text Box 1">
          <a:extLst>
            <a:ext uri="{FF2B5EF4-FFF2-40B4-BE49-F238E27FC236}">
              <a16:creationId xmlns:a16="http://schemas.microsoft.com/office/drawing/2014/main" id="{CFFC815F-400B-4257-A6DF-3A5B9F953C5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64" name="Text Box 1">
          <a:extLst>
            <a:ext uri="{FF2B5EF4-FFF2-40B4-BE49-F238E27FC236}">
              <a16:creationId xmlns:a16="http://schemas.microsoft.com/office/drawing/2014/main" id="{A5C65C40-6F6D-4F59-94AB-5DC7652FB4E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65" name="Text Box 1">
          <a:extLst>
            <a:ext uri="{FF2B5EF4-FFF2-40B4-BE49-F238E27FC236}">
              <a16:creationId xmlns:a16="http://schemas.microsoft.com/office/drawing/2014/main" id="{1619CA76-C661-4EFD-B359-6E11D252FB1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66" name="Text Box 1">
          <a:extLst>
            <a:ext uri="{FF2B5EF4-FFF2-40B4-BE49-F238E27FC236}">
              <a16:creationId xmlns:a16="http://schemas.microsoft.com/office/drawing/2014/main" id="{89656C11-6AE0-4FF5-87EA-8E3E7A69F71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67" name="Text Box 1">
          <a:extLst>
            <a:ext uri="{FF2B5EF4-FFF2-40B4-BE49-F238E27FC236}">
              <a16:creationId xmlns:a16="http://schemas.microsoft.com/office/drawing/2014/main" id="{F1D2B51B-D2BF-461E-A1EB-168B78D1881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68" name="Text Box 1">
          <a:extLst>
            <a:ext uri="{FF2B5EF4-FFF2-40B4-BE49-F238E27FC236}">
              <a16:creationId xmlns:a16="http://schemas.microsoft.com/office/drawing/2014/main" id="{AF15B021-25E5-433E-A91B-3CEB1A7B324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69" name="Text Box 1">
          <a:extLst>
            <a:ext uri="{FF2B5EF4-FFF2-40B4-BE49-F238E27FC236}">
              <a16:creationId xmlns:a16="http://schemas.microsoft.com/office/drawing/2014/main" id="{1F917CF5-F7ED-4F5D-A70D-3024D7A7DB1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70" name="Text Box 1">
          <a:extLst>
            <a:ext uri="{FF2B5EF4-FFF2-40B4-BE49-F238E27FC236}">
              <a16:creationId xmlns:a16="http://schemas.microsoft.com/office/drawing/2014/main" id="{A2A81B16-076F-462B-93A0-4D2B9B6CC26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71" name="Text Box 1">
          <a:extLst>
            <a:ext uri="{FF2B5EF4-FFF2-40B4-BE49-F238E27FC236}">
              <a16:creationId xmlns:a16="http://schemas.microsoft.com/office/drawing/2014/main" id="{312D200F-4E31-4417-A175-803EDF78AE9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72" name="Text Box 1">
          <a:extLst>
            <a:ext uri="{FF2B5EF4-FFF2-40B4-BE49-F238E27FC236}">
              <a16:creationId xmlns:a16="http://schemas.microsoft.com/office/drawing/2014/main" id="{7BB5C835-B650-47AB-86D9-37B99EB83FC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73" name="Text Box 1">
          <a:extLst>
            <a:ext uri="{FF2B5EF4-FFF2-40B4-BE49-F238E27FC236}">
              <a16:creationId xmlns:a16="http://schemas.microsoft.com/office/drawing/2014/main" id="{9B8ECF5F-4EB9-4CE8-8DCA-FCB3025817D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74" name="Text Box 1">
          <a:extLst>
            <a:ext uri="{FF2B5EF4-FFF2-40B4-BE49-F238E27FC236}">
              <a16:creationId xmlns:a16="http://schemas.microsoft.com/office/drawing/2014/main" id="{602D9DC1-B24E-42E2-A787-3D1AA0A881A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75" name="Text Box 1">
          <a:extLst>
            <a:ext uri="{FF2B5EF4-FFF2-40B4-BE49-F238E27FC236}">
              <a16:creationId xmlns:a16="http://schemas.microsoft.com/office/drawing/2014/main" id="{A12747E0-D9FB-404B-8B69-3694CA1ABDD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76" name="Text Box 1">
          <a:extLst>
            <a:ext uri="{FF2B5EF4-FFF2-40B4-BE49-F238E27FC236}">
              <a16:creationId xmlns:a16="http://schemas.microsoft.com/office/drawing/2014/main" id="{0F508807-5174-4D51-A6CC-1AD5F257E3A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77" name="Text Box 1">
          <a:extLst>
            <a:ext uri="{FF2B5EF4-FFF2-40B4-BE49-F238E27FC236}">
              <a16:creationId xmlns:a16="http://schemas.microsoft.com/office/drawing/2014/main" id="{4F7553B9-5F00-466A-BEB3-ED7B21BF2A5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78" name="Text Box 1">
          <a:extLst>
            <a:ext uri="{FF2B5EF4-FFF2-40B4-BE49-F238E27FC236}">
              <a16:creationId xmlns:a16="http://schemas.microsoft.com/office/drawing/2014/main" id="{1005B43A-8D35-4DDD-9535-D61E2E89F63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79" name="Text Box 1">
          <a:extLst>
            <a:ext uri="{FF2B5EF4-FFF2-40B4-BE49-F238E27FC236}">
              <a16:creationId xmlns:a16="http://schemas.microsoft.com/office/drawing/2014/main" id="{3698C574-7576-4BF7-AB9C-64A0C8B045C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80" name="Text Box 1">
          <a:extLst>
            <a:ext uri="{FF2B5EF4-FFF2-40B4-BE49-F238E27FC236}">
              <a16:creationId xmlns:a16="http://schemas.microsoft.com/office/drawing/2014/main" id="{243AA11E-8441-4C63-8DC8-911E38618AB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81" name="Text Box 1">
          <a:extLst>
            <a:ext uri="{FF2B5EF4-FFF2-40B4-BE49-F238E27FC236}">
              <a16:creationId xmlns:a16="http://schemas.microsoft.com/office/drawing/2014/main" id="{BA945421-B200-43C9-86AD-497B0505BA4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82" name="Text Box 1">
          <a:extLst>
            <a:ext uri="{FF2B5EF4-FFF2-40B4-BE49-F238E27FC236}">
              <a16:creationId xmlns:a16="http://schemas.microsoft.com/office/drawing/2014/main" id="{0FA33DA2-9B0F-4227-90BC-5EA10DCB140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83" name="Text Box 1">
          <a:extLst>
            <a:ext uri="{FF2B5EF4-FFF2-40B4-BE49-F238E27FC236}">
              <a16:creationId xmlns:a16="http://schemas.microsoft.com/office/drawing/2014/main" id="{B3B385BD-EC67-4B25-92F7-D446DA95A20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84" name="Text Box 1">
          <a:extLst>
            <a:ext uri="{FF2B5EF4-FFF2-40B4-BE49-F238E27FC236}">
              <a16:creationId xmlns:a16="http://schemas.microsoft.com/office/drawing/2014/main" id="{F221ABFC-FE7E-476D-A585-2D9DDDBCCDD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85" name="Text Box 1">
          <a:extLst>
            <a:ext uri="{FF2B5EF4-FFF2-40B4-BE49-F238E27FC236}">
              <a16:creationId xmlns:a16="http://schemas.microsoft.com/office/drawing/2014/main" id="{19670CDA-44CA-4B91-9F93-A749C02F270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86" name="Text Box 1">
          <a:extLst>
            <a:ext uri="{FF2B5EF4-FFF2-40B4-BE49-F238E27FC236}">
              <a16:creationId xmlns:a16="http://schemas.microsoft.com/office/drawing/2014/main" id="{714911D3-EF19-4BBB-92A0-DD9F63806FE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87" name="Text Box 1">
          <a:extLst>
            <a:ext uri="{FF2B5EF4-FFF2-40B4-BE49-F238E27FC236}">
              <a16:creationId xmlns:a16="http://schemas.microsoft.com/office/drawing/2014/main" id="{5591C285-06E5-42E1-A45F-6B89EB1064B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88" name="Text Box 1">
          <a:extLst>
            <a:ext uri="{FF2B5EF4-FFF2-40B4-BE49-F238E27FC236}">
              <a16:creationId xmlns:a16="http://schemas.microsoft.com/office/drawing/2014/main" id="{792944B4-DDA5-4262-931B-312823B98A1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89" name="Text Box 1">
          <a:extLst>
            <a:ext uri="{FF2B5EF4-FFF2-40B4-BE49-F238E27FC236}">
              <a16:creationId xmlns:a16="http://schemas.microsoft.com/office/drawing/2014/main" id="{D2F468E4-80F8-4309-B98C-B7FE61E7CD5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90" name="Text Box 1">
          <a:extLst>
            <a:ext uri="{FF2B5EF4-FFF2-40B4-BE49-F238E27FC236}">
              <a16:creationId xmlns:a16="http://schemas.microsoft.com/office/drawing/2014/main" id="{B46B4B58-CA2D-4C55-96E9-5FA10F98562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91" name="Text Box 1">
          <a:extLst>
            <a:ext uri="{FF2B5EF4-FFF2-40B4-BE49-F238E27FC236}">
              <a16:creationId xmlns:a16="http://schemas.microsoft.com/office/drawing/2014/main" id="{6C83F69D-A8FA-4C28-B00C-BE3248A9AA8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92" name="Text Box 1">
          <a:extLst>
            <a:ext uri="{FF2B5EF4-FFF2-40B4-BE49-F238E27FC236}">
              <a16:creationId xmlns:a16="http://schemas.microsoft.com/office/drawing/2014/main" id="{746A8A2B-B098-4EC8-B8D0-72EF75A70DA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93" name="Text Box 1">
          <a:extLst>
            <a:ext uri="{FF2B5EF4-FFF2-40B4-BE49-F238E27FC236}">
              <a16:creationId xmlns:a16="http://schemas.microsoft.com/office/drawing/2014/main" id="{732C08C8-BD94-4D47-99BC-DA662B673CC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94" name="Text Box 1">
          <a:extLst>
            <a:ext uri="{FF2B5EF4-FFF2-40B4-BE49-F238E27FC236}">
              <a16:creationId xmlns:a16="http://schemas.microsoft.com/office/drawing/2014/main" id="{D7FC7BBE-D8BF-49BB-8582-577EB85FB0C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95" name="Text Box 1">
          <a:extLst>
            <a:ext uri="{FF2B5EF4-FFF2-40B4-BE49-F238E27FC236}">
              <a16:creationId xmlns:a16="http://schemas.microsoft.com/office/drawing/2014/main" id="{F1B9E396-790F-418F-8BBD-E1FCE90A466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96" name="Text Box 1">
          <a:extLst>
            <a:ext uri="{FF2B5EF4-FFF2-40B4-BE49-F238E27FC236}">
              <a16:creationId xmlns:a16="http://schemas.microsoft.com/office/drawing/2014/main" id="{89F64C5E-5EFD-4C6B-8C12-63FF48AFA0E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97" name="Text Box 1">
          <a:extLst>
            <a:ext uri="{FF2B5EF4-FFF2-40B4-BE49-F238E27FC236}">
              <a16:creationId xmlns:a16="http://schemas.microsoft.com/office/drawing/2014/main" id="{784B42F8-D034-4309-A718-746AFB7B55A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98" name="Text Box 1">
          <a:extLst>
            <a:ext uri="{FF2B5EF4-FFF2-40B4-BE49-F238E27FC236}">
              <a16:creationId xmlns:a16="http://schemas.microsoft.com/office/drawing/2014/main" id="{2E44EDAE-DDEB-4B21-BEA4-9E4F03E0CF6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699" name="Text Box 1">
          <a:extLst>
            <a:ext uri="{FF2B5EF4-FFF2-40B4-BE49-F238E27FC236}">
              <a16:creationId xmlns:a16="http://schemas.microsoft.com/office/drawing/2014/main" id="{135A03C4-8229-4309-A69A-BA740F0F48C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00" name="Text Box 1">
          <a:extLst>
            <a:ext uri="{FF2B5EF4-FFF2-40B4-BE49-F238E27FC236}">
              <a16:creationId xmlns:a16="http://schemas.microsoft.com/office/drawing/2014/main" id="{628C45C9-1448-4E08-9E09-8D48C23C0EB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01" name="Text Box 1">
          <a:extLst>
            <a:ext uri="{FF2B5EF4-FFF2-40B4-BE49-F238E27FC236}">
              <a16:creationId xmlns:a16="http://schemas.microsoft.com/office/drawing/2014/main" id="{FA1754FE-033D-40BC-9486-25AB5C26469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02" name="Text Box 1">
          <a:extLst>
            <a:ext uri="{FF2B5EF4-FFF2-40B4-BE49-F238E27FC236}">
              <a16:creationId xmlns:a16="http://schemas.microsoft.com/office/drawing/2014/main" id="{F7E4C29F-581C-448D-A5EC-87AAA480752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03" name="Text Box 1">
          <a:extLst>
            <a:ext uri="{FF2B5EF4-FFF2-40B4-BE49-F238E27FC236}">
              <a16:creationId xmlns:a16="http://schemas.microsoft.com/office/drawing/2014/main" id="{341E77F2-B0E8-410B-993F-83CCAB88A75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04" name="Text Box 1">
          <a:extLst>
            <a:ext uri="{FF2B5EF4-FFF2-40B4-BE49-F238E27FC236}">
              <a16:creationId xmlns:a16="http://schemas.microsoft.com/office/drawing/2014/main" id="{97227B34-6A84-4540-BFC4-EA62219BD4B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05" name="Text Box 1">
          <a:extLst>
            <a:ext uri="{FF2B5EF4-FFF2-40B4-BE49-F238E27FC236}">
              <a16:creationId xmlns:a16="http://schemas.microsoft.com/office/drawing/2014/main" id="{341FD6D0-2C78-496D-A570-E76360ADCD3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06" name="Text Box 1">
          <a:extLst>
            <a:ext uri="{FF2B5EF4-FFF2-40B4-BE49-F238E27FC236}">
              <a16:creationId xmlns:a16="http://schemas.microsoft.com/office/drawing/2014/main" id="{0257D8DD-C1E7-4CBE-A6E8-8C100BE424C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07" name="Text Box 1">
          <a:extLst>
            <a:ext uri="{FF2B5EF4-FFF2-40B4-BE49-F238E27FC236}">
              <a16:creationId xmlns:a16="http://schemas.microsoft.com/office/drawing/2014/main" id="{EEAEC10E-9AD4-4229-BAFC-1EB8FCEE34C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08" name="Text Box 1">
          <a:extLst>
            <a:ext uri="{FF2B5EF4-FFF2-40B4-BE49-F238E27FC236}">
              <a16:creationId xmlns:a16="http://schemas.microsoft.com/office/drawing/2014/main" id="{6F694A5A-6E41-439A-9224-7AEE3D1C0D5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09" name="Text Box 1">
          <a:extLst>
            <a:ext uri="{FF2B5EF4-FFF2-40B4-BE49-F238E27FC236}">
              <a16:creationId xmlns:a16="http://schemas.microsoft.com/office/drawing/2014/main" id="{0C51ACCE-FDDF-4C7B-8C97-23003CE5516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10" name="Text Box 1">
          <a:extLst>
            <a:ext uri="{FF2B5EF4-FFF2-40B4-BE49-F238E27FC236}">
              <a16:creationId xmlns:a16="http://schemas.microsoft.com/office/drawing/2014/main" id="{615E1770-804E-475A-A507-E2787664DF6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11" name="Text Box 1">
          <a:extLst>
            <a:ext uri="{FF2B5EF4-FFF2-40B4-BE49-F238E27FC236}">
              <a16:creationId xmlns:a16="http://schemas.microsoft.com/office/drawing/2014/main" id="{14A88D25-4059-4CB5-91AA-1C75FF96029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12" name="Text Box 1">
          <a:extLst>
            <a:ext uri="{FF2B5EF4-FFF2-40B4-BE49-F238E27FC236}">
              <a16:creationId xmlns:a16="http://schemas.microsoft.com/office/drawing/2014/main" id="{AEE83798-F99B-4921-A2D5-C9EEAFC3249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13" name="Text Box 1">
          <a:extLst>
            <a:ext uri="{FF2B5EF4-FFF2-40B4-BE49-F238E27FC236}">
              <a16:creationId xmlns:a16="http://schemas.microsoft.com/office/drawing/2014/main" id="{7EB3B574-1E15-4AF0-AF5F-A21A2F2623F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14" name="Text Box 1">
          <a:extLst>
            <a:ext uri="{FF2B5EF4-FFF2-40B4-BE49-F238E27FC236}">
              <a16:creationId xmlns:a16="http://schemas.microsoft.com/office/drawing/2014/main" id="{B8A1DD7E-185C-46FA-A2E2-294DA53B515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15" name="Text Box 1">
          <a:extLst>
            <a:ext uri="{FF2B5EF4-FFF2-40B4-BE49-F238E27FC236}">
              <a16:creationId xmlns:a16="http://schemas.microsoft.com/office/drawing/2014/main" id="{AA7CBC36-03AB-472B-B1FB-F5C87EAAA36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16" name="Text Box 1">
          <a:extLst>
            <a:ext uri="{FF2B5EF4-FFF2-40B4-BE49-F238E27FC236}">
              <a16:creationId xmlns:a16="http://schemas.microsoft.com/office/drawing/2014/main" id="{18ADF23D-2CFC-455B-AD9A-7414EFCC7CB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17" name="Text Box 1">
          <a:extLst>
            <a:ext uri="{FF2B5EF4-FFF2-40B4-BE49-F238E27FC236}">
              <a16:creationId xmlns:a16="http://schemas.microsoft.com/office/drawing/2014/main" id="{6E9CD2E0-C48A-47F1-8A7A-C152EDD8D3F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18" name="Text Box 1">
          <a:extLst>
            <a:ext uri="{FF2B5EF4-FFF2-40B4-BE49-F238E27FC236}">
              <a16:creationId xmlns:a16="http://schemas.microsoft.com/office/drawing/2014/main" id="{219B895F-619B-40F2-AEDA-D6C251BC773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19" name="Text Box 1">
          <a:extLst>
            <a:ext uri="{FF2B5EF4-FFF2-40B4-BE49-F238E27FC236}">
              <a16:creationId xmlns:a16="http://schemas.microsoft.com/office/drawing/2014/main" id="{9AA29519-908A-4531-834A-9280F8A744B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20" name="Text Box 1">
          <a:extLst>
            <a:ext uri="{FF2B5EF4-FFF2-40B4-BE49-F238E27FC236}">
              <a16:creationId xmlns:a16="http://schemas.microsoft.com/office/drawing/2014/main" id="{9BCB77A5-9482-42DE-B04F-9A5F234AADC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21" name="Text Box 1">
          <a:extLst>
            <a:ext uri="{FF2B5EF4-FFF2-40B4-BE49-F238E27FC236}">
              <a16:creationId xmlns:a16="http://schemas.microsoft.com/office/drawing/2014/main" id="{C1339818-E463-4FFC-830C-87DC4FC4DE4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22" name="Text Box 1">
          <a:extLst>
            <a:ext uri="{FF2B5EF4-FFF2-40B4-BE49-F238E27FC236}">
              <a16:creationId xmlns:a16="http://schemas.microsoft.com/office/drawing/2014/main" id="{13D6844D-C839-45B5-BD52-1E8AED37A94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23" name="Text Box 1">
          <a:extLst>
            <a:ext uri="{FF2B5EF4-FFF2-40B4-BE49-F238E27FC236}">
              <a16:creationId xmlns:a16="http://schemas.microsoft.com/office/drawing/2014/main" id="{8A587397-124C-4A81-BFF8-B0CD296F15F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24" name="Text Box 1">
          <a:extLst>
            <a:ext uri="{FF2B5EF4-FFF2-40B4-BE49-F238E27FC236}">
              <a16:creationId xmlns:a16="http://schemas.microsoft.com/office/drawing/2014/main" id="{E152E6D8-C61E-4594-BD17-B253E287D7C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25" name="Text Box 1">
          <a:extLst>
            <a:ext uri="{FF2B5EF4-FFF2-40B4-BE49-F238E27FC236}">
              <a16:creationId xmlns:a16="http://schemas.microsoft.com/office/drawing/2014/main" id="{3599F562-92E2-4A68-B4B0-8A681380590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26" name="Text Box 1">
          <a:extLst>
            <a:ext uri="{FF2B5EF4-FFF2-40B4-BE49-F238E27FC236}">
              <a16:creationId xmlns:a16="http://schemas.microsoft.com/office/drawing/2014/main" id="{8FBCD8DD-B1FF-4C30-9576-42411C08A11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27" name="Text Box 1">
          <a:extLst>
            <a:ext uri="{FF2B5EF4-FFF2-40B4-BE49-F238E27FC236}">
              <a16:creationId xmlns:a16="http://schemas.microsoft.com/office/drawing/2014/main" id="{B7432A2C-2930-402B-ACD2-E18C04B5C44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28" name="Text Box 1">
          <a:extLst>
            <a:ext uri="{FF2B5EF4-FFF2-40B4-BE49-F238E27FC236}">
              <a16:creationId xmlns:a16="http://schemas.microsoft.com/office/drawing/2014/main" id="{452E0723-2F68-43D4-BBF2-91071937E73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29" name="Text Box 1">
          <a:extLst>
            <a:ext uri="{FF2B5EF4-FFF2-40B4-BE49-F238E27FC236}">
              <a16:creationId xmlns:a16="http://schemas.microsoft.com/office/drawing/2014/main" id="{4495BA0E-E499-4F7E-B359-796E8203DEB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30" name="Text Box 1">
          <a:extLst>
            <a:ext uri="{FF2B5EF4-FFF2-40B4-BE49-F238E27FC236}">
              <a16:creationId xmlns:a16="http://schemas.microsoft.com/office/drawing/2014/main" id="{BDC8A4B2-F9E2-432B-A50D-74070B58FC8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31" name="Text Box 1">
          <a:extLst>
            <a:ext uri="{FF2B5EF4-FFF2-40B4-BE49-F238E27FC236}">
              <a16:creationId xmlns:a16="http://schemas.microsoft.com/office/drawing/2014/main" id="{806A1A0D-C87C-4867-A6B5-BEAFCBF9591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32" name="Text Box 1">
          <a:extLst>
            <a:ext uri="{FF2B5EF4-FFF2-40B4-BE49-F238E27FC236}">
              <a16:creationId xmlns:a16="http://schemas.microsoft.com/office/drawing/2014/main" id="{AE393565-B2AF-4418-B5FF-3F59432A46B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33" name="Text Box 1">
          <a:extLst>
            <a:ext uri="{FF2B5EF4-FFF2-40B4-BE49-F238E27FC236}">
              <a16:creationId xmlns:a16="http://schemas.microsoft.com/office/drawing/2014/main" id="{AED6F4E0-0819-4CF5-BA72-1E7A0EEF153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34" name="Text Box 1">
          <a:extLst>
            <a:ext uri="{FF2B5EF4-FFF2-40B4-BE49-F238E27FC236}">
              <a16:creationId xmlns:a16="http://schemas.microsoft.com/office/drawing/2014/main" id="{BB36F14F-D0F1-4602-A641-9A6316E280E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35" name="Text Box 1">
          <a:extLst>
            <a:ext uri="{FF2B5EF4-FFF2-40B4-BE49-F238E27FC236}">
              <a16:creationId xmlns:a16="http://schemas.microsoft.com/office/drawing/2014/main" id="{7A5D4CAA-59EA-43D0-B831-2E59FE8ABE3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36" name="Text Box 1">
          <a:extLst>
            <a:ext uri="{FF2B5EF4-FFF2-40B4-BE49-F238E27FC236}">
              <a16:creationId xmlns:a16="http://schemas.microsoft.com/office/drawing/2014/main" id="{0012A8E4-83F5-4522-9C2B-A935E48F97A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37" name="Text Box 1">
          <a:extLst>
            <a:ext uri="{FF2B5EF4-FFF2-40B4-BE49-F238E27FC236}">
              <a16:creationId xmlns:a16="http://schemas.microsoft.com/office/drawing/2014/main" id="{F377E9BA-DDB4-4D2C-98C1-4EA1F60E8C0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38" name="Text Box 1">
          <a:extLst>
            <a:ext uri="{FF2B5EF4-FFF2-40B4-BE49-F238E27FC236}">
              <a16:creationId xmlns:a16="http://schemas.microsoft.com/office/drawing/2014/main" id="{466982A7-9796-4511-B29E-E9F74E08870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39" name="Text Box 1">
          <a:extLst>
            <a:ext uri="{FF2B5EF4-FFF2-40B4-BE49-F238E27FC236}">
              <a16:creationId xmlns:a16="http://schemas.microsoft.com/office/drawing/2014/main" id="{0F146AE6-ED5A-452F-A8C0-A0456CEE32D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40" name="Text Box 1">
          <a:extLst>
            <a:ext uri="{FF2B5EF4-FFF2-40B4-BE49-F238E27FC236}">
              <a16:creationId xmlns:a16="http://schemas.microsoft.com/office/drawing/2014/main" id="{C776478C-5597-4161-AA58-58FF0EFF0D4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41" name="Text Box 1">
          <a:extLst>
            <a:ext uri="{FF2B5EF4-FFF2-40B4-BE49-F238E27FC236}">
              <a16:creationId xmlns:a16="http://schemas.microsoft.com/office/drawing/2014/main" id="{D03238F4-2192-4AFB-ADFE-E28690001E5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42" name="Text Box 1">
          <a:extLst>
            <a:ext uri="{FF2B5EF4-FFF2-40B4-BE49-F238E27FC236}">
              <a16:creationId xmlns:a16="http://schemas.microsoft.com/office/drawing/2014/main" id="{3D56FAEF-D72D-4AED-9B14-78D742A72EC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43" name="Text Box 1">
          <a:extLst>
            <a:ext uri="{FF2B5EF4-FFF2-40B4-BE49-F238E27FC236}">
              <a16:creationId xmlns:a16="http://schemas.microsoft.com/office/drawing/2014/main" id="{6F921B0D-7A2A-41B9-9F7A-CA87B198E27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44" name="Text Box 1">
          <a:extLst>
            <a:ext uri="{FF2B5EF4-FFF2-40B4-BE49-F238E27FC236}">
              <a16:creationId xmlns:a16="http://schemas.microsoft.com/office/drawing/2014/main" id="{A05E2E9E-71FD-4A6B-A6DC-4BA29D9A561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45" name="Text Box 1">
          <a:extLst>
            <a:ext uri="{FF2B5EF4-FFF2-40B4-BE49-F238E27FC236}">
              <a16:creationId xmlns:a16="http://schemas.microsoft.com/office/drawing/2014/main" id="{DEE812C6-D170-468C-A334-68029629F3E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46" name="Text Box 1">
          <a:extLst>
            <a:ext uri="{FF2B5EF4-FFF2-40B4-BE49-F238E27FC236}">
              <a16:creationId xmlns:a16="http://schemas.microsoft.com/office/drawing/2014/main" id="{88A9AD7C-73AF-4E7C-9264-7CA890B52AB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47" name="Text Box 1">
          <a:extLst>
            <a:ext uri="{FF2B5EF4-FFF2-40B4-BE49-F238E27FC236}">
              <a16:creationId xmlns:a16="http://schemas.microsoft.com/office/drawing/2014/main" id="{B153C4BD-0511-41E7-9939-5E982FE0565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48" name="Text Box 1">
          <a:extLst>
            <a:ext uri="{FF2B5EF4-FFF2-40B4-BE49-F238E27FC236}">
              <a16:creationId xmlns:a16="http://schemas.microsoft.com/office/drawing/2014/main" id="{9D984592-93FB-4EB5-8106-83121C12865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49" name="Text Box 1">
          <a:extLst>
            <a:ext uri="{FF2B5EF4-FFF2-40B4-BE49-F238E27FC236}">
              <a16:creationId xmlns:a16="http://schemas.microsoft.com/office/drawing/2014/main" id="{1B2635A5-1586-4D5E-AF2A-A961CE8AA20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50" name="Text Box 1">
          <a:extLst>
            <a:ext uri="{FF2B5EF4-FFF2-40B4-BE49-F238E27FC236}">
              <a16:creationId xmlns:a16="http://schemas.microsoft.com/office/drawing/2014/main" id="{71E659DC-B718-41A3-BF87-1245B3A8BE3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51" name="Text Box 1">
          <a:extLst>
            <a:ext uri="{FF2B5EF4-FFF2-40B4-BE49-F238E27FC236}">
              <a16:creationId xmlns:a16="http://schemas.microsoft.com/office/drawing/2014/main" id="{9E163331-15AC-4FE4-BD59-63D8C10D8E7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52" name="Text Box 1">
          <a:extLst>
            <a:ext uri="{FF2B5EF4-FFF2-40B4-BE49-F238E27FC236}">
              <a16:creationId xmlns:a16="http://schemas.microsoft.com/office/drawing/2014/main" id="{81324387-8AC3-4710-AC05-EC91ED33CAA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53" name="Text Box 1">
          <a:extLst>
            <a:ext uri="{FF2B5EF4-FFF2-40B4-BE49-F238E27FC236}">
              <a16:creationId xmlns:a16="http://schemas.microsoft.com/office/drawing/2014/main" id="{63BBBB0B-CDDD-47BA-A9E4-2B84BF04CA1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54" name="Text Box 1">
          <a:extLst>
            <a:ext uri="{FF2B5EF4-FFF2-40B4-BE49-F238E27FC236}">
              <a16:creationId xmlns:a16="http://schemas.microsoft.com/office/drawing/2014/main" id="{8CB5C97B-96B4-46EC-892F-03F7ED0634D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55" name="Text Box 1">
          <a:extLst>
            <a:ext uri="{FF2B5EF4-FFF2-40B4-BE49-F238E27FC236}">
              <a16:creationId xmlns:a16="http://schemas.microsoft.com/office/drawing/2014/main" id="{3FCCBF7F-1363-49D8-B85F-364BEAA3AB7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56" name="Text Box 1">
          <a:extLst>
            <a:ext uri="{FF2B5EF4-FFF2-40B4-BE49-F238E27FC236}">
              <a16:creationId xmlns:a16="http://schemas.microsoft.com/office/drawing/2014/main" id="{AF5D4B09-73E5-4336-8724-D35CCF2C4E3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57" name="Text Box 1">
          <a:extLst>
            <a:ext uri="{FF2B5EF4-FFF2-40B4-BE49-F238E27FC236}">
              <a16:creationId xmlns:a16="http://schemas.microsoft.com/office/drawing/2014/main" id="{45839A44-6D00-4713-B9B5-EDF39821E1A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58" name="Text Box 1">
          <a:extLst>
            <a:ext uri="{FF2B5EF4-FFF2-40B4-BE49-F238E27FC236}">
              <a16:creationId xmlns:a16="http://schemas.microsoft.com/office/drawing/2014/main" id="{3B6F12DE-733D-40EA-B623-0E9A5FD1D98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59" name="Text Box 1">
          <a:extLst>
            <a:ext uri="{FF2B5EF4-FFF2-40B4-BE49-F238E27FC236}">
              <a16:creationId xmlns:a16="http://schemas.microsoft.com/office/drawing/2014/main" id="{7A6C975D-F3BE-4C85-855B-222657249B0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60" name="Text Box 1">
          <a:extLst>
            <a:ext uri="{FF2B5EF4-FFF2-40B4-BE49-F238E27FC236}">
              <a16:creationId xmlns:a16="http://schemas.microsoft.com/office/drawing/2014/main" id="{AC2C3085-C25D-4AA3-A94D-8EA4190E9FE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61" name="Text Box 1">
          <a:extLst>
            <a:ext uri="{FF2B5EF4-FFF2-40B4-BE49-F238E27FC236}">
              <a16:creationId xmlns:a16="http://schemas.microsoft.com/office/drawing/2014/main" id="{C720820A-ECF9-4A7B-8857-FFAB33A9057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62" name="Text Box 1">
          <a:extLst>
            <a:ext uri="{FF2B5EF4-FFF2-40B4-BE49-F238E27FC236}">
              <a16:creationId xmlns:a16="http://schemas.microsoft.com/office/drawing/2014/main" id="{02FBCC5A-FB3D-4D52-9B28-AD75EDEEE81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63" name="Text Box 1">
          <a:extLst>
            <a:ext uri="{FF2B5EF4-FFF2-40B4-BE49-F238E27FC236}">
              <a16:creationId xmlns:a16="http://schemas.microsoft.com/office/drawing/2014/main" id="{32EF4F94-D69A-4963-9A92-02A10C7AE39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64" name="Text Box 1">
          <a:extLst>
            <a:ext uri="{FF2B5EF4-FFF2-40B4-BE49-F238E27FC236}">
              <a16:creationId xmlns:a16="http://schemas.microsoft.com/office/drawing/2014/main" id="{C773B2AA-CD27-4A50-9BF6-4BE5EDD2AF0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65" name="Text Box 1">
          <a:extLst>
            <a:ext uri="{FF2B5EF4-FFF2-40B4-BE49-F238E27FC236}">
              <a16:creationId xmlns:a16="http://schemas.microsoft.com/office/drawing/2014/main" id="{C61D9BF6-FB1F-4233-9C1E-A78BAECABB9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66" name="Text Box 1">
          <a:extLst>
            <a:ext uri="{FF2B5EF4-FFF2-40B4-BE49-F238E27FC236}">
              <a16:creationId xmlns:a16="http://schemas.microsoft.com/office/drawing/2014/main" id="{19E0BAD0-A2BB-437B-AAA5-CF5FA6A4F1C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67" name="Text Box 1">
          <a:extLst>
            <a:ext uri="{FF2B5EF4-FFF2-40B4-BE49-F238E27FC236}">
              <a16:creationId xmlns:a16="http://schemas.microsoft.com/office/drawing/2014/main" id="{7CC1394B-64C5-4B9B-B427-3ABC2AD61D1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68" name="Text Box 1">
          <a:extLst>
            <a:ext uri="{FF2B5EF4-FFF2-40B4-BE49-F238E27FC236}">
              <a16:creationId xmlns:a16="http://schemas.microsoft.com/office/drawing/2014/main" id="{E7CA018A-D2F0-42F5-B105-A0769D60ADB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69" name="Text Box 1">
          <a:extLst>
            <a:ext uri="{FF2B5EF4-FFF2-40B4-BE49-F238E27FC236}">
              <a16:creationId xmlns:a16="http://schemas.microsoft.com/office/drawing/2014/main" id="{CD3A1DB5-AA0C-4656-820E-AE75F238AA5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70" name="Text Box 1">
          <a:extLst>
            <a:ext uri="{FF2B5EF4-FFF2-40B4-BE49-F238E27FC236}">
              <a16:creationId xmlns:a16="http://schemas.microsoft.com/office/drawing/2014/main" id="{2F58AEA7-4E51-4CD2-889B-4AF7D2081E0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71" name="Text Box 1">
          <a:extLst>
            <a:ext uri="{FF2B5EF4-FFF2-40B4-BE49-F238E27FC236}">
              <a16:creationId xmlns:a16="http://schemas.microsoft.com/office/drawing/2014/main" id="{B69B5141-3EE3-4511-98C7-641C1B0F552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72" name="Text Box 1">
          <a:extLst>
            <a:ext uri="{FF2B5EF4-FFF2-40B4-BE49-F238E27FC236}">
              <a16:creationId xmlns:a16="http://schemas.microsoft.com/office/drawing/2014/main" id="{140C1CC6-17D0-4296-B00E-BEEA1A9AF7B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73" name="Text Box 1">
          <a:extLst>
            <a:ext uri="{FF2B5EF4-FFF2-40B4-BE49-F238E27FC236}">
              <a16:creationId xmlns:a16="http://schemas.microsoft.com/office/drawing/2014/main" id="{4A8792E8-88DC-4642-87DF-30C6E74F571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74" name="Text Box 1">
          <a:extLst>
            <a:ext uri="{FF2B5EF4-FFF2-40B4-BE49-F238E27FC236}">
              <a16:creationId xmlns:a16="http://schemas.microsoft.com/office/drawing/2014/main" id="{DB665330-37EC-4DB8-96F3-91AF06B2120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75" name="Text Box 1">
          <a:extLst>
            <a:ext uri="{FF2B5EF4-FFF2-40B4-BE49-F238E27FC236}">
              <a16:creationId xmlns:a16="http://schemas.microsoft.com/office/drawing/2014/main" id="{4FABA1A0-C0AF-460D-A91F-6DBAE5A0CFB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76" name="Text Box 1">
          <a:extLst>
            <a:ext uri="{FF2B5EF4-FFF2-40B4-BE49-F238E27FC236}">
              <a16:creationId xmlns:a16="http://schemas.microsoft.com/office/drawing/2014/main" id="{C02E87D1-4FD6-452C-B102-404A65D00EA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77" name="Text Box 1">
          <a:extLst>
            <a:ext uri="{FF2B5EF4-FFF2-40B4-BE49-F238E27FC236}">
              <a16:creationId xmlns:a16="http://schemas.microsoft.com/office/drawing/2014/main" id="{5497C9D0-9442-43AF-B75E-AA23D56C51A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78" name="Text Box 1">
          <a:extLst>
            <a:ext uri="{FF2B5EF4-FFF2-40B4-BE49-F238E27FC236}">
              <a16:creationId xmlns:a16="http://schemas.microsoft.com/office/drawing/2014/main" id="{422D861D-5533-4B4F-AC59-E01C31D43F9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79" name="Text Box 1">
          <a:extLst>
            <a:ext uri="{FF2B5EF4-FFF2-40B4-BE49-F238E27FC236}">
              <a16:creationId xmlns:a16="http://schemas.microsoft.com/office/drawing/2014/main" id="{7685ADBC-66EF-4262-B6E4-EBD53EA4623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80" name="Text Box 1">
          <a:extLst>
            <a:ext uri="{FF2B5EF4-FFF2-40B4-BE49-F238E27FC236}">
              <a16:creationId xmlns:a16="http://schemas.microsoft.com/office/drawing/2014/main" id="{D595FA9E-D9E3-4A8E-BF5A-95AD03CE650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81" name="Text Box 1">
          <a:extLst>
            <a:ext uri="{FF2B5EF4-FFF2-40B4-BE49-F238E27FC236}">
              <a16:creationId xmlns:a16="http://schemas.microsoft.com/office/drawing/2014/main" id="{A0625AC4-9108-4488-8018-5C2F8291E73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82" name="Text Box 1">
          <a:extLst>
            <a:ext uri="{FF2B5EF4-FFF2-40B4-BE49-F238E27FC236}">
              <a16:creationId xmlns:a16="http://schemas.microsoft.com/office/drawing/2014/main" id="{9901C5F6-ADD4-4FEA-8888-4B16D314DA9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83" name="Text Box 1">
          <a:extLst>
            <a:ext uri="{FF2B5EF4-FFF2-40B4-BE49-F238E27FC236}">
              <a16:creationId xmlns:a16="http://schemas.microsoft.com/office/drawing/2014/main" id="{C7D6B9A3-8A5A-4E02-ABE6-FB608DAF6EA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84" name="Text Box 1">
          <a:extLst>
            <a:ext uri="{FF2B5EF4-FFF2-40B4-BE49-F238E27FC236}">
              <a16:creationId xmlns:a16="http://schemas.microsoft.com/office/drawing/2014/main" id="{37BD614C-A838-4812-9F25-09F33E2BDE5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85" name="Text Box 1">
          <a:extLst>
            <a:ext uri="{FF2B5EF4-FFF2-40B4-BE49-F238E27FC236}">
              <a16:creationId xmlns:a16="http://schemas.microsoft.com/office/drawing/2014/main" id="{C03D2842-19A0-4369-8643-D0AB7788B74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86" name="Text Box 1">
          <a:extLst>
            <a:ext uri="{FF2B5EF4-FFF2-40B4-BE49-F238E27FC236}">
              <a16:creationId xmlns:a16="http://schemas.microsoft.com/office/drawing/2014/main" id="{A2BB276D-DA00-452C-B2DD-F690DBE2869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87" name="Text Box 1">
          <a:extLst>
            <a:ext uri="{FF2B5EF4-FFF2-40B4-BE49-F238E27FC236}">
              <a16:creationId xmlns:a16="http://schemas.microsoft.com/office/drawing/2014/main" id="{61258D83-7CA9-4080-B1EC-E48A8F504D2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88" name="Text Box 1">
          <a:extLst>
            <a:ext uri="{FF2B5EF4-FFF2-40B4-BE49-F238E27FC236}">
              <a16:creationId xmlns:a16="http://schemas.microsoft.com/office/drawing/2014/main" id="{386A5707-E7AD-4359-88C4-4FBF4676DAB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89" name="Text Box 1">
          <a:extLst>
            <a:ext uri="{FF2B5EF4-FFF2-40B4-BE49-F238E27FC236}">
              <a16:creationId xmlns:a16="http://schemas.microsoft.com/office/drawing/2014/main" id="{861FCA94-E2A2-451C-87AF-C739F64AF3A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90" name="Text Box 1">
          <a:extLst>
            <a:ext uri="{FF2B5EF4-FFF2-40B4-BE49-F238E27FC236}">
              <a16:creationId xmlns:a16="http://schemas.microsoft.com/office/drawing/2014/main" id="{4AEE659D-B859-4323-9F89-AC0B14926FA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91" name="Text Box 1">
          <a:extLst>
            <a:ext uri="{FF2B5EF4-FFF2-40B4-BE49-F238E27FC236}">
              <a16:creationId xmlns:a16="http://schemas.microsoft.com/office/drawing/2014/main" id="{A184D85E-5648-40AD-ABA1-1E71044FFB8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92" name="Text Box 1">
          <a:extLst>
            <a:ext uri="{FF2B5EF4-FFF2-40B4-BE49-F238E27FC236}">
              <a16:creationId xmlns:a16="http://schemas.microsoft.com/office/drawing/2014/main" id="{85E0E0F8-7664-46C1-B2BC-F9279C5E768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93" name="Text Box 1">
          <a:extLst>
            <a:ext uri="{FF2B5EF4-FFF2-40B4-BE49-F238E27FC236}">
              <a16:creationId xmlns:a16="http://schemas.microsoft.com/office/drawing/2014/main" id="{B4709D50-0758-41F0-9ABF-F8B20CDA66C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94" name="Text Box 1">
          <a:extLst>
            <a:ext uri="{FF2B5EF4-FFF2-40B4-BE49-F238E27FC236}">
              <a16:creationId xmlns:a16="http://schemas.microsoft.com/office/drawing/2014/main" id="{108990DF-54C2-4EB5-B3F9-0BE991FB9CB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95" name="Text Box 1">
          <a:extLst>
            <a:ext uri="{FF2B5EF4-FFF2-40B4-BE49-F238E27FC236}">
              <a16:creationId xmlns:a16="http://schemas.microsoft.com/office/drawing/2014/main" id="{9D97B967-ABE4-455C-AD9B-9966E7961D7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96" name="Text Box 1">
          <a:extLst>
            <a:ext uri="{FF2B5EF4-FFF2-40B4-BE49-F238E27FC236}">
              <a16:creationId xmlns:a16="http://schemas.microsoft.com/office/drawing/2014/main" id="{D52C20F4-C26B-4928-8E0C-52A60E1C8ED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97" name="Text Box 1">
          <a:extLst>
            <a:ext uri="{FF2B5EF4-FFF2-40B4-BE49-F238E27FC236}">
              <a16:creationId xmlns:a16="http://schemas.microsoft.com/office/drawing/2014/main" id="{35DD40E9-0B5D-4C58-9327-6F5835AD016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98" name="Text Box 1">
          <a:extLst>
            <a:ext uri="{FF2B5EF4-FFF2-40B4-BE49-F238E27FC236}">
              <a16:creationId xmlns:a16="http://schemas.microsoft.com/office/drawing/2014/main" id="{DCC99B62-4CB1-4839-8FC3-6F92C9D54F4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799" name="Text Box 1">
          <a:extLst>
            <a:ext uri="{FF2B5EF4-FFF2-40B4-BE49-F238E27FC236}">
              <a16:creationId xmlns:a16="http://schemas.microsoft.com/office/drawing/2014/main" id="{145A3F3F-3792-44AB-8B36-40534E3EADF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00" name="Text Box 1">
          <a:extLst>
            <a:ext uri="{FF2B5EF4-FFF2-40B4-BE49-F238E27FC236}">
              <a16:creationId xmlns:a16="http://schemas.microsoft.com/office/drawing/2014/main" id="{42D7F10A-5577-4401-9B1E-F5D51A208D9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01" name="Text Box 1">
          <a:extLst>
            <a:ext uri="{FF2B5EF4-FFF2-40B4-BE49-F238E27FC236}">
              <a16:creationId xmlns:a16="http://schemas.microsoft.com/office/drawing/2014/main" id="{E2264748-8E34-4E8E-9E16-3F4FF53815B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02" name="Text Box 1">
          <a:extLst>
            <a:ext uri="{FF2B5EF4-FFF2-40B4-BE49-F238E27FC236}">
              <a16:creationId xmlns:a16="http://schemas.microsoft.com/office/drawing/2014/main" id="{E7C15154-A8E7-4DA2-A47C-1CDF4DB48BE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03" name="Text Box 1">
          <a:extLst>
            <a:ext uri="{FF2B5EF4-FFF2-40B4-BE49-F238E27FC236}">
              <a16:creationId xmlns:a16="http://schemas.microsoft.com/office/drawing/2014/main" id="{AC3998CC-0550-4CA1-9F98-D8C3C7B4910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04" name="Text Box 1">
          <a:extLst>
            <a:ext uri="{FF2B5EF4-FFF2-40B4-BE49-F238E27FC236}">
              <a16:creationId xmlns:a16="http://schemas.microsoft.com/office/drawing/2014/main" id="{EC653295-0D44-4937-BF82-4D63EC7E546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05" name="Text Box 1">
          <a:extLst>
            <a:ext uri="{FF2B5EF4-FFF2-40B4-BE49-F238E27FC236}">
              <a16:creationId xmlns:a16="http://schemas.microsoft.com/office/drawing/2014/main" id="{97771349-E4F1-43E4-AD5E-39256E4F777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06" name="Text Box 1">
          <a:extLst>
            <a:ext uri="{FF2B5EF4-FFF2-40B4-BE49-F238E27FC236}">
              <a16:creationId xmlns:a16="http://schemas.microsoft.com/office/drawing/2014/main" id="{40CA4BF1-6268-47D3-8791-D8FECFA9CCE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07" name="Text Box 1">
          <a:extLst>
            <a:ext uri="{FF2B5EF4-FFF2-40B4-BE49-F238E27FC236}">
              <a16:creationId xmlns:a16="http://schemas.microsoft.com/office/drawing/2014/main" id="{ADB072F6-219D-40A2-91B8-4B1A5A9F162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08" name="Text Box 1">
          <a:extLst>
            <a:ext uri="{FF2B5EF4-FFF2-40B4-BE49-F238E27FC236}">
              <a16:creationId xmlns:a16="http://schemas.microsoft.com/office/drawing/2014/main" id="{E68A20B4-5D51-44FC-85E1-3587223A887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09" name="Text Box 1">
          <a:extLst>
            <a:ext uri="{FF2B5EF4-FFF2-40B4-BE49-F238E27FC236}">
              <a16:creationId xmlns:a16="http://schemas.microsoft.com/office/drawing/2014/main" id="{B6B3FB7E-D366-405C-8A64-839B5031E36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10" name="Text Box 1">
          <a:extLst>
            <a:ext uri="{FF2B5EF4-FFF2-40B4-BE49-F238E27FC236}">
              <a16:creationId xmlns:a16="http://schemas.microsoft.com/office/drawing/2014/main" id="{7CD61851-DC06-4296-AB36-5C8A4B0DC61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11" name="Text Box 1">
          <a:extLst>
            <a:ext uri="{FF2B5EF4-FFF2-40B4-BE49-F238E27FC236}">
              <a16:creationId xmlns:a16="http://schemas.microsoft.com/office/drawing/2014/main" id="{C20DF66A-CB3E-440A-97B9-B48082765F8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12" name="Text Box 1">
          <a:extLst>
            <a:ext uri="{FF2B5EF4-FFF2-40B4-BE49-F238E27FC236}">
              <a16:creationId xmlns:a16="http://schemas.microsoft.com/office/drawing/2014/main" id="{1C861628-9790-42D4-B045-C0DEFB6165C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13" name="Text Box 1">
          <a:extLst>
            <a:ext uri="{FF2B5EF4-FFF2-40B4-BE49-F238E27FC236}">
              <a16:creationId xmlns:a16="http://schemas.microsoft.com/office/drawing/2014/main" id="{358468EA-C4B5-456E-B095-0C08E8ED22F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14" name="Text Box 1">
          <a:extLst>
            <a:ext uri="{FF2B5EF4-FFF2-40B4-BE49-F238E27FC236}">
              <a16:creationId xmlns:a16="http://schemas.microsoft.com/office/drawing/2014/main" id="{B80DD598-090E-414A-98FD-01954583233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15" name="Text Box 1">
          <a:extLst>
            <a:ext uri="{FF2B5EF4-FFF2-40B4-BE49-F238E27FC236}">
              <a16:creationId xmlns:a16="http://schemas.microsoft.com/office/drawing/2014/main" id="{06F8D246-5C58-461E-A0B4-EA7C3A9C1C0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16" name="Text Box 1">
          <a:extLst>
            <a:ext uri="{FF2B5EF4-FFF2-40B4-BE49-F238E27FC236}">
              <a16:creationId xmlns:a16="http://schemas.microsoft.com/office/drawing/2014/main" id="{915239DD-38BD-4187-9220-1B932862D0F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17" name="Text Box 1">
          <a:extLst>
            <a:ext uri="{FF2B5EF4-FFF2-40B4-BE49-F238E27FC236}">
              <a16:creationId xmlns:a16="http://schemas.microsoft.com/office/drawing/2014/main" id="{A2BA0C79-E159-4FED-BEAA-007108C4E3A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18" name="Text Box 1">
          <a:extLst>
            <a:ext uri="{FF2B5EF4-FFF2-40B4-BE49-F238E27FC236}">
              <a16:creationId xmlns:a16="http://schemas.microsoft.com/office/drawing/2014/main" id="{2E1AD694-A90B-4981-9B37-E0DA0E73DEA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19" name="Text Box 1">
          <a:extLst>
            <a:ext uri="{FF2B5EF4-FFF2-40B4-BE49-F238E27FC236}">
              <a16:creationId xmlns:a16="http://schemas.microsoft.com/office/drawing/2014/main" id="{279C7FC6-43EC-425B-B216-A83BBFD050D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20" name="Text Box 1">
          <a:extLst>
            <a:ext uri="{FF2B5EF4-FFF2-40B4-BE49-F238E27FC236}">
              <a16:creationId xmlns:a16="http://schemas.microsoft.com/office/drawing/2014/main" id="{72373672-5F19-4905-894E-EC1249548F6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21" name="Text Box 1">
          <a:extLst>
            <a:ext uri="{FF2B5EF4-FFF2-40B4-BE49-F238E27FC236}">
              <a16:creationId xmlns:a16="http://schemas.microsoft.com/office/drawing/2014/main" id="{458D9E6A-BDF6-4EF8-AEC7-634FBDC191E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22" name="Text Box 1">
          <a:extLst>
            <a:ext uri="{FF2B5EF4-FFF2-40B4-BE49-F238E27FC236}">
              <a16:creationId xmlns:a16="http://schemas.microsoft.com/office/drawing/2014/main" id="{E134725F-3C99-421B-9D74-EFA22888B9F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23" name="Text Box 1">
          <a:extLst>
            <a:ext uri="{FF2B5EF4-FFF2-40B4-BE49-F238E27FC236}">
              <a16:creationId xmlns:a16="http://schemas.microsoft.com/office/drawing/2014/main" id="{52851B93-F535-4227-9B87-16096B4C490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24" name="Text Box 1">
          <a:extLst>
            <a:ext uri="{FF2B5EF4-FFF2-40B4-BE49-F238E27FC236}">
              <a16:creationId xmlns:a16="http://schemas.microsoft.com/office/drawing/2014/main" id="{AA6C61CC-E23D-40CE-A9C5-F0B110F7A4F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25" name="Text Box 1">
          <a:extLst>
            <a:ext uri="{FF2B5EF4-FFF2-40B4-BE49-F238E27FC236}">
              <a16:creationId xmlns:a16="http://schemas.microsoft.com/office/drawing/2014/main" id="{B76AFD6D-4525-4113-B0B7-1B6103A2E9E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26" name="Text Box 1">
          <a:extLst>
            <a:ext uri="{FF2B5EF4-FFF2-40B4-BE49-F238E27FC236}">
              <a16:creationId xmlns:a16="http://schemas.microsoft.com/office/drawing/2014/main" id="{6150C2DE-10AD-40E4-8379-ABC9D71B31C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27" name="Text Box 1">
          <a:extLst>
            <a:ext uri="{FF2B5EF4-FFF2-40B4-BE49-F238E27FC236}">
              <a16:creationId xmlns:a16="http://schemas.microsoft.com/office/drawing/2014/main" id="{0EA3C970-3BC5-4B88-81C3-75F1EEF5785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28" name="Text Box 1">
          <a:extLst>
            <a:ext uri="{FF2B5EF4-FFF2-40B4-BE49-F238E27FC236}">
              <a16:creationId xmlns:a16="http://schemas.microsoft.com/office/drawing/2014/main" id="{BB9AB2C2-6093-4F90-A624-C8105971EFC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29" name="Text Box 1">
          <a:extLst>
            <a:ext uri="{FF2B5EF4-FFF2-40B4-BE49-F238E27FC236}">
              <a16:creationId xmlns:a16="http://schemas.microsoft.com/office/drawing/2014/main" id="{9FACDE04-8AB9-44B9-B66B-77B386CD3ED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30" name="Text Box 1">
          <a:extLst>
            <a:ext uri="{FF2B5EF4-FFF2-40B4-BE49-F238E27FC236}">
              <a16:creationId xmlns:a16="http://schemas.microsoft.com/office/drawing/2014/main" id="{0CDA5EDD-E21F-4EBF-868C-271DDB5B2B2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31" name="Text Box 1">
          <a:extLst>
            <a:ext uri="{FF2B5EF4-FFF2-40B4-BE49-F238E27FC236}">
              <a16:creationId xmlns:a16="http://schemas.microsoft.com/office/drawing/2014/main" id="{10F1986F-8F81-48E1-9E69-854A7C038D8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32" name="Text Box 1">
          <a:extLst>
            <a:ext uri="{FF2B5EF4-FFF2-40B4-BE49-F238E27FC236}">
              <a16:creationId xmlns:a16="http://schemas.microsoft.com/office/drawing/2014/main" id="{ECCDFC2A-CD91-4AEC-85D3-97116B576B6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33" name="Text Box 1">
          <a:extLst>
            <a:ext uri="{FF2B5EF4-FFF2-40B4-BE49-F238E27FC236}">
              <a16:creationId xmlns:a16="http://schemas.microsoft.com/office/drawing/2014/main" id="{32F37798-5814-43F4-87C8-806353118A6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34" name="Text Box 1">
          <a:extLst>
            <a:ext uri="{FF2B5EF4-FFF2-40B4-BE49-F238E27FC236}">
              <a16:creationId xmlns:a16="http://schemas.microsoft.com/office/drawing/2014/main" id="{8BD5D28F-BEB0-4FAA-AD3C-BF0C50CB163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35" name="Text Box 1">
          <a:extLst>
            <a:ext uri="{FF2B5EF4-FFF2-40B4-BE49-F238E27FC236}">
              <a16:creationId xmlns:a16="http://schemas.microsoft.com/office/drawing/2014/main" id="{9F02DEB3-4B7D-4A00-9740-0DA41ACC66C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36" name="Text Box 1">
          <a:extLst>
            <a:ext uri="{FF2B5EF4-FFF2-40B4-BE49-F238E27FC236}">
              <a16:creationId xmlns:a16="http://schemas.microsoft.com/office/drawing/2014/main" id="{512B8991-C5AE-4733-A3B3-C28DABE219E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37" name="Text Box 1">
          <a:extLst>
            <a:ext uri="{FF2B5EF4-FFF2-40B4-BE49-F238E27FC236}">
              <a16:creationId xmlns:a16="http://schemas.microsoft.com/office/drawing/2014/main" id="{F7FF848C-8666-4291-9663-0E368CEFAA6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38" name="Text Box 1">
          <a:extLst>
            <a:ext uri="{FF2B5EF4-FFF2-40B4-BE49-F238E27FC236}">
              <a16:creationId xmlns:a16="http://schemas.microsoft.com/office/drawing/2014/main" id="{2BD0ABE7-9EAB-46C6-8525-16261FD57B2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39" name="Text Box 1">
          <a:extLst>
            <a:ext uri="{FF2B5EF4-FFF2-40B4-BE49-F238E27FC236}">
              <a16:creationId xmlns:a16="http://schemas.microsoft.com/office/drawing/2014/main" id="{3810D5C1-C9B8-4F94-8C3F-CCBA78EDB35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40" name="Text Box 1">
          <a:extLst>
            <a:ext uri="{FF2B5EF4-FFF2-40B4-BE49-F238E27FC236}">
              <a16:creationId xmlns:a16="http://schemas.microsoft.com/office/drawing/2014/main" id="{C684A321-E572-45E9-8F79-DE363B64B27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41" name="Text Box 1">
          <a:extLst>
            <a:ext uri="{FF2B5EF4-FFF2-40B4-BE49-F238E27FC236}">
              <a16:creationId xmlns:a16="http://schemas.microsoft.com/office/drawing/2014/main" id="{0A3C3B87-DDC1-4DF7-9F7C-C550AA6A4A4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42" name="Text Box 1">
          <a:extLst>
            <a:ext uri="{FF2B5EF4-FFF2-40B4-BE49-F238E27FC236}">
              <a16:creationId xmlns:a16="http://schemas.microsoft.com/office/drawing/2014/main" id="{39BAC6F7-2057-49D7-8F55-E3E6E51120F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43" name="Text Box 1">
          <a:extLst>
            <a:ext uri="{FF2B5EF4-FFF2-40B4-BE49-F238E27FC236}">
              <a16:creationId xmlns:a16="http://schemas.microsoft.com/office/drawing/2014/main" id="{D0CB001B-7969-4B89-B1C0-00FE6FE1E47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44" name="Text Box 1">
          <a:extLst>
            <a:ext uri="{FF2B5EF4-FFF2-40B4-BE49-F238E27FC236}">
              <a16:creationId xmlns:a16="http://schemas.microsoft.com/office/drawing/2014/main" id="{96CC9D41-5CEC-4D7D-8FE1-2B08F8D1E83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45" name="Text Box 1">
          <a:extLst>
            <a:ext uri="{FF2B5EF4-FFF2-40B4-BE49-F238E27FC236}">
              <a16:creationId xmlns:a16="http://schemas.microsoft.com/office/drawing/2014/main" id="{00768FB7-139B-4954-8825-52AA791A282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46" name="Text Box 1">
          <a:extLst>
            <a:ext uri="{FF2B5EF4-FFF2-40B4-BE49-F238E27FC236}">
              <a16:creationId xmlns:a16="http://schemas.microsoft.com/office/drawing/2014/main" id="{4CC45AC9-1BDB-470A-B5EE-F47FC39D045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47" name="Text Box 1">
          <a:extLst>
            <a:ext uri="{FF2B5EF4-FFF2-40B4-BE49-F238E27FC236}">
              <a16:creationId xmlns:a16="http://schemas.microsoft.com/office/drawing/2014/main" id="{F81895D4-8614-4ED8-9A42-DF35D7036C4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48" name="Text Box 1">
          <a:extLst>
            <a:ext uri="{FF2B5EF4-FFF2-40B4-BE49-F238E27FC236}">
              <a16:creationId xmlns:a16="http://schemas.microsoft.com/office/drawing/2014/main" id="{A2071FF8-1B6B-48D7-8695-E5D7DBF3874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49" name="Text Box 1">
          <a:extLst>
            <a:ext uri="{FF2B5EF4-FFF2-40B4-BE49-F238E27FC236}">
              <a16:creationId xmlns:a16="http://schemas.microsoft.com/office/drawing/2014/main" id="{FA9148B0-EAF2-4D70-889D-B0DCED3AD78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50" name="Text Box 1">
          <a:extLst>
            <a:ext uri="{FF2B5EF4-FFF2-40B4-BE49-F238E27FC236}">
              <a16:creationId xmlns:a16="http://schemas.microsoft.com/office/drawing/2014/main" id="{4FA52A98-282E-48A3-979D-ABB5CF8B5E0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51" name="Text Box 1">
          <a:extLst>
            <a:ext uri="{FF2B5EF4-FFF2-40B4-BE49-F238E27FC236}">
              <a16:creationId xmlns:a16="http://schemas.microsoft.com/office/drawing/2014/main" id="{C3EA521B-6BB5-40AC-8BA3-61773FB9F30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52" name="Text Box 1">
          <a:extLst>
            <a:ext uri="{FF2B5EF4-FFF2-40B4-BE49-F238E27FC236}">
              <a16:creationId xmlns:a16="http://schemas.microsoft.com/office/drawing/2014/main" id="{B1B23484-08F8-44A3-B74E-8BA260BA310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53" name="Text Box 1">
          <a:extLst>
            <a:ext uri="{FF2B5EF4-FFF2-40B4-BE49-F238E27FC236}">
              <a16:creationId xmlns:a16="http://schemas.microsoft.com/office/drawing/2014/main" id="{4DD20964-5747-4A3B-920F-7019CFEAC5A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54" name="Text Box 1">
          <a:extLst>
            <a:ext uri="{FF2B5EF4-FFF2-40B4-BE49-F238E27FC236}">
              <a16:creationId xmlns:a16="http://schemas.microsoft.com/office/drawing/2014/main" id="{EDA89153-8564-417A-8D7F-9CDEAA61353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55" name="Text Box 1">
          <a:extLst>
            <a:ext uri="{FF2B5EF4-FFF2-40B4-BE49-F238E27FC236}">
              <a16:creationId xmlns:a16="http://schemas.microsoft.com/office/drawing/2014/main" id="{4A8440B7-77CC-4BCB-8A42-C1CE3884CC2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56" name="Text Box 1">
          <a:extLst>
            <a:ext uri="{FF2B5EF4-FFF2-40B4-BE49-F238E27FC236}">
              <a16:creationId xmlns:a16="http://schemas.microsoft.com/office/drawing/2014/main" id="{0AB0BC01-1466-450A-A784-9634524E9F8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57" name="Text Box 1">
          <a:extLst>
            <a:ext uri="{FF2B5EF4-FFF2-40B4-BE49-F238E27FC236}">
              <a16:creationId xmlns:a16="http://schemas.microsoft.com/office/drawing/2014/main" id="{2982B4D4-A372-4612-97AC-EC34FB2CCB1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58" name="Text Box 1">
          <a:extLst>
            <a:ext uri="{FF2B5EF4-FFF2-40B4-BE49-F238E27FC236}">
              <a16:creationId xmlns:a16="http://schemas.microsoft.com/office/drawing/2014/main" id="{594965B8-C3A0-44B8-878A-93FE787E8FD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59" name="Text Box 1">
          <a:extLst>
            <a:ext uri="{FF2B5EF4-FFF2-40B4-BE49-F238E27FC236}">
              <a16:creationId xmlns:a16="http://schemas.microsoft.com/office/drawing/2014/main" id="{1D896A51-DF84-4227-8A6F-9181FF17C43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60" name="Text Box 1">
          <a:extLst>
            <a:ext uri="{FF2B5EF4-FFF2-40B4-BE49-F238E27FC236}">
              <a16:creationId xmlns:a16="http://schemas.microsoft.com/office/drawing/2014/main" id="{643E0946-C9C7-4FF2-9F6A-6DCBDC224DE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61" name="Text Box 1">
          <a:extLst>
            <a:ext uri="{FF2B5EF4-FFF2-40B4-BE49-F238E27FC236}">
              <a16:creationId xmlns:a16="http://schemas.microsoft.com/office/drawing/2014/main" id="{D8135244-6CF5-4F5D-A344-1B26E9DD212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62" name="Text Box 1">
          <a:extLst>
            <a:ext uri="{FF2B5EF4-FFF2-40B4-BE49-F238E27FC236}">
              <a16:creationId xmlns:a16="http://schemas.microsoft.com/office/drawing/2014/main" id="{912EFE4D-0B4A-4741-B933-80D2E075D24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63" name="Text Box 1">
          <a:extLst>
            <a:ext uri="{FF2B5EF4-FFF2-40B4-BE49-F238E27FC236}">
              <a16:creationId xmlns:a16="http://schemas.microsoft.com/office/drawing/2014/main" id="{DF7A26E6-20ED-43DC-BB34-30532AA7F81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64" name="Text Box 1">
          <a:extLst>
            <a:ext uri="{FF2B5EF4-FFF2-40B4-BE49-F238E27FC236}">
              <a16:creationId xmlns:a16="http://schemas.microsoft.com/office/drawing/2014/main" id="{C25C7024-82A4-4075-87AB-864C96834DF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65" name="Text Box 1">
          <a:extLst>
            <a:ext uri="{FF2B5EF4-FFF2-40B4-BE49-F238E27FC236}">
              <a16:creationId xmlns:a16="http://schemas.microsoft.com/office/drawing/2014/main" id="{BC9FCC3C-C4C7-433B-94CB-67D13B1CEF2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66" name="Text Box 1">
          <a:extLst>
            <a:ext uri="{FF2B5EF4-FFF2-40B4-BE49-F238E27FC236}">
              <a16:creationId xmlns:a16="http://schemas.microsoft.com/office/drawing/2014/main" id="{451740B7-4EA4-4810-8671-CC19BCBC29C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67" name="Text Box 1">
          <a:extLst>
            <a:ext uri="{FF2B5EF4-FFF2-40B4-BE49-F238E27FC236}">
              <a16:creationId xmlns:a16="http://schemas.microsoft.com/office/drawing/2014/main" id="{870B9CB7-B766-4481-89B5-B9B68BAD025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68" name="Text Box 1">
          <a:extLst>
            <a:ext uri="{FF2B5EF4-FFF2-40B4-BE49-F238E27FC236}">
              <a16:creationId xmlns:a16="http://schemas.microsoft.com/office/drawing/2014/main" id="{0A9749B4-E4A1-43D3-81A0-C5C9AB1DB25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69" name="Text Box 1">
          <a:extLst>
            <a:ext uri="{FF2B5EF4-FFF2-40B4-BE49-F238E27FC236}">
              <a16:creationId xmlns:a16="http://schemas.microsoft.com/office/drawing/2014/main" id="{9722C98D-9711-489C-921F-1F89559269A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70" name="Text Box 1">
          <a:extLst>
            <a:ext uri="{FF2B5EF4-FFF2-40B4-BE49-F238E27FC236}">
              <a16:creationId xmlns:a16="http://schemas.microsoft.com/office/drawing/2014/main" id="{EC18C589-D6C4-47E3-BE83-D9FA7452A40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71" name="Text Box 1">
          <a:extLst>
            <a:ext uri="{FF2B5EF4-FFF2-40B4-BE49-F238E27FC236}">
              <a16:creationId xmlns:a16="http://schemas.microsoft.com/office/drawing/2014/main" id="{FF589A9D-002F-4F96-BBF1-0BDD5F75C0A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72" name="Text Box 1">
          <a:extLst>
            <a:ext uri="{FF2B5EF4-FFF2-40B4-BE49-F238E27FC236}">
              <a16:creationId xmlns:a16="http://schemas.microsoft.com/office/drawing/2014/main" id="{28EB4C02-3AAE-40C4-A96F-9A3C06ECE5A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73" name="Text Box 1">
          <a:extLst>
            <a:ext uri="{FF2B5EF4-FFF2-40B4-BE49-F238E27FC236}">
              <a16:creationId xmlns:a16="http://schemas.microsoft.com/office/drawing/2014/main" id="{C579CFD0-EBC9-411E-8ADA-EE443C323CC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74" name="Text Box 1">
          <a:extLst>
            <a:ext uri="{FF2B5EF4-FFF2-40B4-BE49-F238E27FC236}">
              <a16:creationId xmlns:a16="http://schemas.microsoft.com/office/drawing/2014/main" id="{11143760-3545-443C-BFB3-6F61F65BE48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75" name="Text Box 1">
          <a:extLst>
            <a:ext uri="{FF2B5EF4-FFF2-40B4-BE49-F238E27FC236}">
              <a16:creationId xmlns:a16="http://schemas.microsoft.com/office/drawing/2014/main" id="{18A17055-D711-4EFE-962A-138778F285D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76" name="Text Box 1">
          <a:extLst>
            <a:ext uri="{FF2B5EF4-FFF2-40B4-BE49-F238E27FC236}">
              <a16:creationId xmlns:a16="http://schemas.microsoft.com/office/drawing/2014/main" id="{2DFE55A4-FC62-4918-A704-1F6338AC6F8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77" name="Text Box 1">
          <a:extLst>
            <a:ext uri="{FF2B5EF4-FFF2-40B4-BE49-F238E27FC236}">
              <a16:creationId xmlns:a16="http://schemas.microsoft.com/office/drawing/2014/main" id="{99B55735-F3AC-4634-A0C3-22B4F5936BC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78" name="Text Box 1">
          <a:extLst>
            <a:ext uri="{FF2B5EF4-FFF2-40B4-BE49-F238E27FC236}">
              <a16:creationId xmlns:a16="http://schemas.microsoft.com/office/drawing/2014/main" id="{9AB1812E-247D-4A5A-8EC3-D32F6A9E4EE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79" name="Text Box 1">
          <a:extLst>
            <a:ext uri="{FF2B5EF4-FFF2-40B4-BE49-F238E27FC236}">
              <a16:creationId xmlns:a16="http://schemas.microsoft.com/office/drawing/2014/main" id="{BD160F94-8A4D-4AE8-BDF9-85CA582D46B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80" name="Text Box 1">
          <a:extLst>
            <a:ext uri="{FF2B5EF4-FFF2-40B4-BE49-F238E27FC236}">
              <a16:creationId xmlns:a16="http://schemas.microsoft.com/office/drawing/2014/main" id="{828B7D9A-4325-41FF-B986-05463AAE9EB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81" name="Text Box 1">
          <a:extLst>
            <a:ext uri="{FF2B5EF4-FFF2-40B4-BE49-F238E27FC236}">
              <a16:creationId xmlns:a16="http://schemas.microsoft.com/office/drawing/2014/main" id="{80A72DA7-79E1-4217-AD03-D5072BAD7ED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82" name="Text Box 1">
          <a:extLst>
            <a:ext uri="{FF2B5EF4-FFF2-40B4-BE49-F238E27FC236}">
              <a16:creationId xmlns:a16="http://schemas.microsoft.com/office/drawing/2014/main" id="{C64B24E4-50BD-447C-8E6B-CC98EC83E28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83" name="Text Box 1">
          <a:extLst>
            <a:ext uri="{FF2B5EF4-FFF2-40B4-BE49-F238E27FC236}">
              <a16:creationId xmlns:a16="http://schemas.microsoft.com/office/drawing/2014/main" id="{E8A29353-39BB-438F-9D2E-708C5ADDF94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84" name="Text Box 1">
          <a:extLst>
            <a:ext uri="{FF2B5EF4-FFF2-40B4-BE49-F238E27FC236}">
              <a16:creationId xmlns:a16="http://schemas.microsoft.com/office/drawing/2014/main" id="{AE647D4A-8A26-438C-8F26-6B75C373565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85" name="Text Box 1">
          <a:extLst>
            <a:ext uri="{FF2B5EF4-FFF2-40B4-BE49-F238E27FC236}">
              <a16:creationId xmlns:a16="http://schemas.microsoft.com/office/drawing/2014/main" id="{B0BF0AD5-FE59-4281-ACEF-C961800FB27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86" name="Text Box 1">
          <a:extLst>
            <a:ext uri="{FF2B5EF4-FFF2-40B4-BE49-F238E27FC236}">
              <a16:creationId xmlns:a16="http://schemas.microsoft.com/office/drawing/2014/main" id="{3F6E38A3-28E5-44F1-8C48-9199A85429B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87" name="Text Box 1">
          <a:extLst>
            <a:ext uri="{FF2B5EF4-FFF2-40B4-BE49-F238E27FC236}">
              <a16:creationId xmlns:a16="http://schemas.microsoft.com/office/drawing/2014/main" id="{0967E917-5F12-4A32-911B-2881A9301B7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88" name="Text Box 1">
          <a:extLst>
            <a:ext uri="{FF2B5EF4-FFF2-40B4-BE49-F238E27FC236}">
              <a16:creationId xmlns:a16="http://schemas.microsoft.com/office/drawing/2014/main" id="{0D73F27D-5850-4F66-8B0E-B5D7D12016F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89" name="Text Box 1">
          <a:extLst>
            <a:ext uri="{FF2B5EF4-FFF2-40B4-BE49-F238E27FC236}">
              <a16:creationId xmlns:a16="http://schemas.microsoft.com/office/drawing/2014/main" id="{F6EF8911-3408-4B9E-8DD3-D580E9964BC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90" name="Text Box 1">
          <a:extLst>
            <a:ext uri="{FF2B5EF4-FFF2-40B4-BE49-F238E27FC236}">
              <a16:creationId xmlns:a16="http://schemas.microsoft.com/office/drawing/2014/main" id="{0AA6990A-3A67-4928-9AB2-EB42AF54778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91" name="Text Box 1">
          <a:extLst>
            <a:ext uri="{FF2B5EF4-FFF2-40B4-BE49-F238E27FC236}">
              <a16:creationId xmlns:a16="http://schemas.microsoft.com/office/drawing/2014/main" id="{9ED8D746-FFA0-4092-92E4-7A5F9ADDBB2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92" name="Text Box 1">
          <a:extLst>
            <a:ext uri="{FF2B5EF4-FFF2-40B4-BE49-F238E27FC236}">
              <a16:creationId xmlns:a16="http://schemas.microsoft.com/office/drawing/2014/main" id="{3EF0C77A-547A-4B95-A46C-B50E401D98E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93" name="Text Box 1">
          <a:extLst>
            <a:ext uri="{FF2B5EF4-FFF2-40B4-BE49-F238E27FC236}">
              <a16:creationId xmlns:a16="http://schemas.microsoft.com/office/drawing/2014/main" id="{A27D3114-B311-4D0B-B9BE-67BF2A90A0F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94" name="Text Box 1">
          <a:extLst>
            <a:ext uri="{FF2B5EF4-FFF2-40B4-BE49-F238E27FC236}">
              <a16:creationId xmlns:a16="http://schemas.microsoft.com/office/drawing/2014/main" id="{65E02B63-235E-4B18-B2D6-19E0E864A88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95" name="Text Box 1">
          <a:extLst>
            <a:ext uri="{FF2B5EF4-FFF2-40B4-BE49-F238E27FC236}">
              <a16:creationId xmlns:a16="http://schemas.microsoft.com/office/drawing/2014/main" id="{577A85F2-B969-4A15-A3F6-59B964D04DE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96" name="Text Box 1">
          <a:extLst>
            <a:ext uri="{FF2B5EF4-FFF2-40B4-BE49-F238E27FC236}">
              <a16:creationId xmlns:a16="http://schemas.microsoft.com/office/drawing/2014/main" id="{811C4ECD-F471-4CA9-BF62-C7610358FE9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97" name="Text Box 1">
          <a:extLst>
            <a:ext uri="{FF2B5EF4-FFF2-40B4-BE49-F238E27FC236}">
              <a16:creationId xmlns:a16="http://schemas.microsoft.com/office/drawing/2014/main" id="{FFF0E869-3D69-4908-82D1-579CECB4B0B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98" name="Text Box 1">
          <a:extLst>
            <a:ext uri="{FF2B5EF4-FFF2-40B4-BE49-F238E27FC236}">
              <a16:creationId xmlns:a16="http://schemas.microsoft.com/office/drawing/2014/main" id="{3E7CE1D1-6AC9-4916-8C81-A30D299E2E8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899" name="Text Box 1">
          <a:extLst>
            <a:ext uri="{FF2B5EF4-FFF2-40B4-BE49-F238E27FC236}">
              <a16:creationId xmlns:a16="http://schemas.microsoft.com/office/drawing/2014/main" id="{C175B68D-520C-4653-8918-9FCFE5E56E1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00" name="Text Box 1">
          <a:extLst>
            <a:ext uri="{FF2B5EF4-FFF2-40B4-BE49-F238E27FC236}">
              <a16:creationId xmlns:a16="http://schemas.microsoft.com/office/drawing/2014/main" id="{2DCB9E76-F798-453F-9F09-E45AF1B6CF9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01" name="Text Box 1">
          <a:extLst>
            <a:ext uri="{FF2B5EF4-FFF2-40B4-BE49-F238E27FC236}">
              <a16:creationId xmlns:a16="http://schemas.microsoft.com/office/drawing/2014/main" id="{CDA5873C-3C01-4361-8BD1-1FF7A21CA62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02" name="Text Box 1">
          <a:extLst>
            <a:ext uri="{FF2B5EF4-FFF2-40B4-BE49-F238E27FC236}">
              <a16:creationId xmlns:a16="http://schemas.microsoft.com/office/drawing/2014/main" id="{4965B58F-A2FD-4BAD-A465-72B2574901C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03" name="Text Box 1">
          <a:extLst>
            <a:ext uri="{FF2B5EF4-FFF2-40B4-BE49-F238E27FC236}">
              <a16:creationId xmlns:a16="http://schemas.microsoft.com/office/drawing/2014/main" id="{649AAD20-261F-43ED-91D0-CF77992BF9C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04" name="Text Box 1">
          <a:extLst>
            <a:ext uri="{FF2B5EF4-FFF2-40B4-BE49-F238E27FC236}">
              <a16:creationId xmlns:a16="http://schemas.microsoft.com/office/drawing/2014/main" id="{015E769F-9911-43B8-8AE0-FB31D40E696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05" name="Text Box 1">
          <a:extLst>
            <a:ext uri="{FF2B5EF4-FFF2-40B4-BE49-F238E27FC236}">
              <a16:creationId xmlns:a16="http://schemas.microsoft.com/office/drawing/2014/main" id="{0C6CDD2E-9DBF-4660-8DC6-4C8D09DC117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06" name="Text Box 1">
          <a:extLst>
            <a:ext uri="{FF2B5EF4-FFF2-40B4-BE49-F238E27FC236}">
              <a16:creationId xmlns:a16="http://schemas.microsoft.com/office/drawing/2014/main" id="{371C7CD8-D645-40B7-B9E1-BE0220EFAC1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07" name="Text Box 1">
          <a:extLst>
            <a:ext uri="{FF2B5EF4-FFF2-40B4-BE49-F238E27FC236}">
              <a16:creationId xmlns:a16="http://schemas.microsoft.com/office/drawing/2014/main" id="{E94B9276-A261-4F47-A3EC-54AF3C023AE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08" name="Text Box 1">
          <a:extLst>
            <a:ext uri="{FF2B5EF4-FFF2-40B4-BE49-F238E27FC236}">
              <a16:creationId xmlns:a16="http://schemas.microsoft.com/office/drawing/2014/main" id="{44E27F78-ABCC-4203-9042-931504AC178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09" name="Text Box 1">
          <a:extLst>
            <a:ext uri="{FF2B5EF4-FFF2-40B4-BE49-F238E27FC236}">
              <a16:creationId xmlns:a16="http://schemas.microsoft.com/office/drawing/2014/main" id="{8AB4F5FB-720A-4D93-ABDF-6518385E1B0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10" name="Text Box 1">
          <a:extLst>
            <a:ext uri="{FF2B5EF4-FFF2-40B4-BE49-F238E27FC236}">
              <a16:creationId xmlns:a16="http://schemas.microsoft.com/office/drawing/2014/main" id="{E567CF83-C0C9-4632-AF82-0C721A1FEE3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11" name="Text Box 1">
          <a:extLst>
            <a:ext uri="{FF2B5EF4-FFF2-40B4-BE49-F238E27FC236}">
              <a16:creationId xmlns:a16="http://schemas.microsoft.com/office/drawing/2014/main" id="{6E35BED4-7F7F-4608-8ECF-36CA615C299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12" name="Text Box 1">
          <a:extLst>
            <a:ext uri="{FF2B5EF4-FFF2-40B4-BE49-F238E27FC236}">
              <a16:creationId xmlns:a16="http://schemas.microsoft.com/office/drawing/2014/main" id="{9968C65E-F7A3-4DBF-8E78-78172244914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13" name="Text Box 1">
          <a:extLst>
            <a:ext uri="{FF2B5EF4-FFF2-40B4-BE49-F238E27FC236}">
              <a16:creationId xmlns:a16="http://schemas.microsoft.com/office/drawing/2014/main" id="{7F85B808-054B-420D-9EB9-7513E20EA75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14" name="Text Box 1">
          <a:extLst>
            <a:ext uri="{FF2B5EF4-FFF2-40B4-BE49-F238E27FC236}">
              <a16:creationId xmlns:a16="http://schemas.microsoft.com/office/drawing/2014/main" id="{55E06540-27A3-42F8-9F65-395DEA52985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15" name="Text Box 1">
          <a:extLst>
            <a:ext uri="{FF2B5EF4-FFF2-40B4-BE49-F238E27FC236}">
              <a16:creationId xmlns:a16="http://schemas.microsoft.com/office/drawing/2014/main" id="{3E9A5A0F-8580-4735-97F8-FA14E04A341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16" name="Text Box 1">
          <a:extLst>
            <a:ext uri="{FF2B5EF4-FFF2-40B4-BE49-F238E27FC236}">
              <a16:creationId xmlns:a16="http://schemas.microsoft.com/office/drawing/2014/main" id="{8C357B89-61D6-4584-83D4-DE057A82FA7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17" name="Text Box 1">
          <a:extLst>
            <a:ext uri="{FF2B5EF4-FFF2-40B4-BE49-F238E27FC236}">
              <a16:creationId xmlns:a16="http://schemas.microsoft.com/office/drawing/2014/main" id="{EC6DD489-A236-4801-90D5-8D216557F1A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18" name="Text Box 1">
          <a:extLst>
            <a:ext uri="{FF2B5EF4-FFF2-40B4-BE49-F238E27FC236}">
              <a16:creationId xmlns:a16="http://schemas.microsoft.com/office/drawing/2014/main" id="{29636FA0-8420-478D-B204-97DDCD1ED98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19" name="Text Box 1">
          <a:extLst>
            <a:ext uri="{FF2B5EF4-FFF2-40B4-BE49-F238E27FC236}">
              <a16:creationId xmlns:a16="http://schemas.microsoft.com/office/drawing/2014/main" id="{CDBA019D-5187-4666-A06C-5A799F5A642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20" name="Text Box 1">
          <a:extLst>
            <a:ext uri="{FF2B5EF4-FFF2-40B4-BE49-F238E27FC236}">
              <a16:creationId xmlns:a16="http://schemas.microsoft.com/office/drawing/2014/main" id="{2EC105D5-FFD9-4EF1-8258-946DBC79E1A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21" name="Text Box 1">
          <a:extLst>
            <a:ext uri="{FF2B5EF4-FFF2-40B4-BE49-F238E27FC236}">
              <a16:creationId xmlns:a16="http://schemas.microsoft.com/office/drawing/2014/main" id="{392D23DB-A3D3-41FF-9CDA-CC1766F942C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22" name="Text Box 1">
          <a:extLst>
            <a:ext uri="{FF2B5EF4-FFF2-40B4-BE49-F238E27FC236}">
              <a16:creationId xmlns:a16="http://schemas.microsoft.com/office/drawing/2014/main" id="{C932597D-ACF0-43AD-B91A-89A8DEF4561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23" name="Text Box 1">
          <a:extLst>
            <a:ext uri="{FF2B5EF4-FFF2-40B4-BE49-F238E27FC236}">
              <a16:creationId xmlns:a16="http://schemas.microsoft.com/office/drawing/2014/main" id="{841124CE-7C2C-403D-9303-14F5C6883D0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24" name="Text Box 1">
          <a:extLst>
            <a:ext uri="{FF2B5EF4-FFF2-40B4-BE49-F238E27FC236}">
              <a16:creationId xmlns:a16="http://schemas.microsoft.com/office/drawing/2014/main" id="{FEFED15B-19AF-40E6-99CC-AF94BD967DE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25" name="Text Box 1">
          <a:extLst>
            <a:ext uri="{FF2B5EF4-FFF2-40B4-BE49-F238E27FC236}">
              <a16:creationId xmlns:a16="http://schemas.microsoft.com/office/drawing/2014/main" id="{B456B450-34E4-40B9-BE33-2198C8535AE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26" name="Text Box 1">
          <a:extLst>
            <a:ext uri="{FF2B5EF4-FFF2-40B4-BE49-F238E27FC236}">
              <a16:creationId xmlns:a16="http://schemas.microsoft.com/office/drawing/2014/main" id="{813C7BFC-01A2-4654-A2C6-CD9553B67DC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27" name="Text Box 1">
          <a:extLst>
            <a:ext uri="{FF2B5EF4-FFF2-40B4-BE49-F238E27FC236}">
              <a16:creationId xmlns:a16="http://schemas.microsoft.com/office/drawing/2014/main" id="{A22A67A2-409B-4950-9276-1E6E681B2B6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28" name="Text Box 1">
          <a:extLst>
            <a:ext uri="{FF2B5EF4-FFF2-40B4-BE49-F238E27FC236}">
              <a16:creationId xmlns:a16="http://schemas.microsoft.com/office/drawing/2014/main" id="{177F5D2A-0E79-4D8D-89A5-75FC62C2530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29" name="Text Box 1">
          <a:extLst>
            <a:ext uri="{FF2B5EF4-FFF2-40B4-BE49-F238E27FC236}">
              <a16:creationId xmlns:a16="http://schemas.microsoft.com/office/drawing/2014/main" id="{3DDAA5D7-CADE-4619-908B-4EFF2ED81AF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30" name="Text Box 1">
          <a:extLst>
            <a:ext uri="{FF2B5EF4-FFF2-40B4-BE49-F238E27FC236}">
              <a16:creationId xmlns:a16="http://schemas.microsoft.com/office/drawing/2014/main" id="{5E423049-05DD-4236-A0CC-D6ADA6ED4A7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31" name="Text Box 1">
          <a:extLst>
            <a:ext uri="{FF2B5EF4-FFF2-40B4-BE49-F238E27FC236}">
              <a16:creationId xmlns:a16="http://schemas.microsoft.com/office/drawing/2014/main" id="{0D87836B-BC8A-474D-BE03-696C12C671A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32" name="Text Box 1">
          <a:extLst>
            <a:ext uri="{FF2B5EF4-FFF2-40B4-BE49-F238E27FC236}">
              <a16:creationId xmlns:a16="http://schemas.microsoft.com/office/drawing/2014/main" id="{48DA79D7-A0A9-488F-B7FD-33516E2B6C3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33" name="Text Box 1">
          <a:extLst>
            <a:ext uri="{FF2B5EF4-FFF2-40B4-BE49-F238E27FC236}">
              <a16:creationId xmlns:a16="http://schemas.microsoft.com/office/drawing/2014/main" id="{16430ABB-A877-4DC2-A06A-78A23324487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34" name="Text Box 1">
          <a:extLst>
            <a:ext uri="{FF2B5EF4-FFF2-40B4-BE49-F238E27FC236}">
              <a16:creationId xmlns:a16="http://schemas.microsoft.com/office/drawing/2014/main" id="{B10EA96D-66D2-4CA1-A3A6-3A9D6E1283B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35" name="Text Box 1">
          <a:extLst>
            <a:ext uri="{FF2B5EF4-FFF2-40B4-BE49-F238E27FC236}">
              <a16:creationId xmlns:a16="http://schemas.microsoft.com/office/drawing/2014/main" id="{3B19EF2E-8D6D-44C5-96AB-070E7CF98B0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36" name="Text Box 1">
          <a:extLst>
            <a:ext uri="{FF2B5EF4-FFF2-40B4-BE49-F238E27FC236}">
              <a16:creationId xmlns:a16="http://schemas.microsoft.com/office/drawing/2014/main" id="{495A6BF5-2218-4C6C-BB0A-8C8FB3EAAC9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37" name="Text Box 1">
          <a:extLst>
            <a:ext uri="{FF2B5EF4-FFF2-40B4-BE49-F238E27FC236}">
              <a16:creationId xmlns:a16="http://schemas.microsoft.com/office/drawing/2014/main" id="{6917C9FB-EB4E-449F-AF88-B171DB92A77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38" name="Text Box 1">
          <a:extLst>
            <a:ext uri="{FF2B5EF4-FFF2-40B4-BE49-F238E27FC236}">
              <a16:creationId xmlns:a16="http://schemas.microsoft.com/office/drawing/2014/main" id="{2DF62BDB-44DC-425C-ACAE-922B8AEC7DC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39" name="Text Box 1">
          <a:extLst>
            <a:ext uri="{FF2B5EF4-FFF2-40B4-BE49-F238E27FC236}">
              <a16:creationId xmlns:a16="http://schemas.microsoft.com/office/drawing/2014/main" id="{2F332D8F-78B4-4E6B-8257-977B71BAA8C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40" name="Text Box 1">
          <a:extLst>
            <a:ext uri="{FF2B5EF4-FFF2-40B4-BE49-F238E27FC236}">
              <a16:creationId xmlns:a16="http://schemas.microsoft.com/office/drawing/2014/main" id="{C1A83192-94D0-4994-AFC7-A0E816EACC1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41" name="Text Box 1">
          <a:extLst>
            <a:ext uri="{FF2B5EF4-FFF2-40B4-BE49-F238E27FC236}">
              <a16:creationId xmlns:a16="http://schemas.microsoft.com/office/drawing/2014/main" id="{6CC4F92C-7D4C-49C0-82DA-9D24A50D14D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42" name="Text Box 1">
          <a:extLst>
            <a:ext uri="{FF2B5EF4-FFF2-40B4-BE49-F238E27FC236}">
              <a16:creationId xmlns:a16="http://schemas.microsoft.com/office/drawing/2014/main" id="{3C794B41-FCA8-49F9-B311-F2746743625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43" name="Text Box 1">
          <a:extLst>
            <a:ext uri="{FF2B5EF4-FFF2-40B4-BE49-F238E27FC236}">
              <a16:creationId xmlns:a16="http://schemas.microsoft.com/office/drawing/2014/main" id="{C33CCE8F-833E-4023-9970-2FC7778E349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44" name="Text Box 1">
          <a:extLst>
            <a:ext uri="{FF2B5EF4-FFF2-40B4-BE49-F238E27FC236}">
              <a16:creationId xmlns:a16="http://schemas.microsoft.com/office/drawing/2014/main" id="{E716E2E7-09E2-4A88-8B8C-E983B402E86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45" name="Text Box 1">
          <a:extLst>
            <a:ext uri="{FF2B5EF4-FFF2-40B4-BE49-F238E27FC236}">
              <a16:creationId xmlns:a16="http://schemas.microsoft.com/office/drawing/2014/main" id="{20480304-7E15-4CBC-BE60-102AE8C19A0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46" name="Text Box 1">
          <a:extLst>
            <a:ext uri="{FF2B5EF4-FFF2-40B4-BE49-F238E27FC236}">
              <a16:creationId xmlns:a16="http://schemas.microsoft.com/office/drawing/2014/main" id="{163CA34A-5144-4472-B7B6-F1FE72826F3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47" name="Text Box 1">
          <a:extLst>
            <a:ext uri="{FF2B5EF4-FFF2-40B4-BE49-F238E27FC236}">
              <a16:creationId xmlns:a16="http://schemas.microsoft.com/office/drawing/2014/main" id="{D92B580E-AE1E-4171-AF3D-BA34FD597E1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48" name="Text Box 1">
          <a:extLst>
            <a:ext uri="{FF2B5EF4-FFF2-40B4-BE49-F238E27FC236}">
              <a16:creationId xmlns:a16="http://schemas.microsoft.com/office/drawing/2014/main" id="{08F6DFBF-D038-47C5-8053-D0B4730C6D7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49" name="Text Box 1">
          <a:extLst>
            <a:ext uri="{FF2B5EF4-FFF2-40B4-BE49-F238E27FC236}">
              <a16:creationId xmlns:a16="http://schemas.microsoft.com/office/drawing/2014/main" id="{A9AC4121-21E3-46C2-803D-272DCC0ADAF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50" name="Text Box 1">
          <a:extLst>
            <a:ext uri="{FF2B5EF4-FFF2-40B4-BE49-F238E27FC236}">
              <a16:creationId xmlns:a16="http://schemas.microsoft.com/office/drawing/2014/main" id="{81683CB8-0952-4C42-A8EC-B7D58A03966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51" name="Text Box 1">
          <a:extLst>
            <a:ext uri="{FF2B5EF4-FFF2-40B4-BE49-F238E27FC236}">
              <a16:creationId xmlns:a16="http://schemas.microsoft.com/office/drawing/2014/main" id="{55946208-D9BF-4314-B5F2-C3E3C8D6388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52" name="Text Box 1">
          <a:extLst>
            <a:ext uri="{FF2B5EF4-FFF2-40B4-BE49-F238E27FC236}">
              <a16:creationId xmlns:a16="http://schemas.microsoft.com/office/drawing/2014/main" id="{B5241F78-138B-4751-A9DF-908D06CECED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53" name="Text Box 1">
          <a:extLst>
            <a:ext uri="{FF2B5EF4-FFF2-40B4-BE49-F238E27FC236}">
              <a16:creationId xmlns:a16="http://schemas.microsoft.com/office/drawing/2014/main" id="{EDC97842-A2E4-4D39-B288-93C33874B2C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54" name="Text Box 1">
          <a:extLst>
            <a:ext uri="{FF2B5EF4-FFF2-40B4-BE49-F238E27FC236}">
              <a16:creationId xmlns:a16="http://schemas.microsoft.com/office/drawing/2014/main" id="{374622E8-57D4-48F8-B569-46DAAE1C7DB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55" name="Text Box 1">
          <a:extLst>
            <a:ext uri="{FF2B5EF4-FFF2-40B4-BE49-F238E27FC236}">
              <a16:creationId xmlns:a16="http://schemas.microsoft.com/office/drawing/2014/main" id="{9526FA49-1749-4F2F-9552-B1B880F814E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56" name="Text Box 1">
          <a:extLst>
            <a:ext uri="{FF2B5EF4-FFF2-40B4-BE49-F238E27FC236}">
              <a16:creationId xmlns:a16="http://schemas.microsoft.com/office/drawing/2014/main" id="{D99839AB-EC6C-4FA0-8271-90AFFEBAE14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57" name="Text Box 1">
          <a:extLst>
            <a:ext uri="{FF2B5EF4-FFF2-40B4-BE49-F238E27FC236}">
              <a16:creationId xmlns:a16="http://schemas.microsoft.com/office/drawing/2014/main" id="{A562461C-EE9E-445B-A305-2182731674E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58" name="Text Box 1">
          <a:extLst>
            <a:ext uri="{FF2B5EF4-FFF2-40B4-BE49-F238E27FC236}">
              <a16:creationId xmlns:a16="http://schemas.microsoft.com/office/drawing/2014/main" id="{8D4D9D8A-AD44-4C31-BFF9-275783719A1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59" name="Text Box 1">
          <a:extLst>
            <a:ext uri="{FF2B5EF4-FFF2-40B4-BE49-F238E27FC236}">
              <a16:creationId xmlns:a16="http://schemas.microsoft.com/office/drawing/2014/main" id="{FEDA215B-C99F-4BA5-9B22-D43E53F0CFD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60" name="Text Box 1">
          <a:extLst>
            <a:ext uri="{FF2B5EF4-FFF2-40B4-BE49-F238E27FC236}">
              <a16:creationId xmlns:a16="http://schemas.microsoft.com/office/drawing/2014/main" id="{95547537-450A-421F-8D2F-12D5382C54A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61" name="Text Box 1">
          <a:extLst>
            <a:ext uri="{FF2B5EF4-FFF2-40B4-BE49-F238E27FC236}">
              <a16:creationId xmlns:a16="http://schemas.microsoft.com/office/drawing/2014/main" id="{F76E14AD-7485-4F19-96A0-75CBC2CBDB1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62" name="Text Box 1">
          <a:extLst>
            <a:ext uri="{FF2B5EF4-FFF2-40B4-BE49-F238E27FC236}">
              <a16:creationId xmlns:a16="http://schemas.microsoft.com/office/drawing/2014/main" id="{B21EE04A-C427-4FB5-B50D-23C64B677FF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63" name="Text Box 1">
          <a:extLst>
            <a:ext uri="{FF2B5EF4-FFF2-40B4-BE49-F238E27FC236}">
              <a16:creationId xmlns:a16="http://schemas.microsoft.com/office/drawing/2014/main" id="{E6C1AAFB-82B6-4A43-87F9-92A2F6ECA26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64" name="Text Box 1">
          <a:extLst>
            <a:ext uri="{FF2B5EF4-FFF2-40B4-BE49-F238E27FC236}">
              <a16:creationId xmlns:a16="http://schemas.microsoft.com/office/drawing/2014/main" id="{934AF75A-A5F8-41AB-8DF3-5C496FD9598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65" name="Text Box 1">
          <a:extLst>
            <a:ext uri="{FF2B5EF4-FFF2-40B4-BE49-F238E27FC236}">
              <a16:creationId xmlns:a16="http://schemas.microsoft.com/office/drawing/2014/main" id="{E86EAADE-ACFA-4ED7-9BAB-17B5BDC5B69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66" name="Text Box 1">
          <a:extLst>
            <a:ext uri="{FF2B5EF4-FFF2-40B4-BE49-F238E27FC236}">
              <a16:creationId xmlns:a16="http://schemas.microsoft.com/office/drawing/2014/main" id="{4876D08A-F363-469F-B62B-7AB2FA4B6D2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67" name="Text Box 1">
          <a:extLst>
            <a:ext uri="{FF2B5EF4-FFF2-40B4-BE49-F238E27FC236}">
              <a16:creationId xmlns:a16="http://schemas.microsoft.com/office/drawing/2014/main" id="{B79FA8DC-71CD-462C-9518-CD961B2587C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68" name="Text Box 1">
          <a:extLst>
            <a:ext uri="{FF2B5EF4-FFF2-40B4-BE49-F238E27FC236}">
              <a16:creationId xmlns:a16="http://schemas.microsoft.com/office/drawing/2014/main" id="{E0190156-BA5F-4996-9178-0B1FB34A00A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69" name="Text Box 1">
          <a:extLst>
            <a:ext uri="{FF2B5EF4-FFF2-40B4-BE49-F238E27FC236}">
              <a16:creationId xmlns:a16="http://schemas.microsoft.com/office/drawing/2014/main" id="{7BD0DD53-F944-4B54-A161-EF27AE2236C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70" name="Text Box 1">
          <a:extLst>
            <a:ext uri="{FF2B5EF4-FFF2-40B4-BE49-F238E27FC236}">
              <a16:creationId xmlns:a16="http://schemas.microsoft.com/office/drawing/2014/main" id="{9CAE30B4-C40E-4F36-9E82-1CD1DB66BB3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71" name="Text Box 1">
          <a:extLst>
            <a:ext uri="{FF2B5EF4-FFF2-40B4-BE49-F238E27FC236}">
              <a16:creationId xmlns:a16="http://schemas.microsoft.com/office/drawing/2014/main" id="{A7956AF5-2D38-400F-9096-1E05D316413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72" name="Text Box 1">
          <a:extLst>
            <a:ext uri="{FF2B5EF4-FFF2-40B4-BE49-F238E27FC236}">
              <a16:creationId xmlns:a16="http://schemas.microsoft.com/office/drawing/2014/main" id="{2EEE0504-076B-4922-B628-81919F7AF08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73" name="Text Box 1">
          <a:extLst>
            <a:ext uri="{FF2B5EF4-FFF2-40B4-BE49-F238E27FC236}">
              <a16:creationId xmlns:a16="http://schemas.microsoft.com/office/drawing/2014/main" id="{A89B70CC-FC1E-4EC7-A8E0-45970930FAC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74" name="Text Box 1">
          <a:extLst>
            <a:ext uri="{FF2B5EF4-FFF2-40B4-BE49-F238E27FC236}">
              <a16:creationId xmlns:a16="http://schemas.microsoft.com/office/drawing/2014/main" id="{933529B8-C42E-4FD7-9868-C7340ACFFD7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75" name="Text Box 1">
          <a:extLst>
            <a:ext uri="{FF2B5EF4-FFF2-40B4-BE49-F238E27FC236}">
              <a16:creationId xmlns:a16="http://schemas.microsoft.com/office/drawing/2014/main" id="{06457A48-6582-4F60-A079-AABDD649567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76" name="Text Box 1">
          <a:extLst>
            <a:ext uri="{FF2B5EF4-FFF2-40B4-BE49-F238E27FC236}">
              <a16:creationId xmlns:a16="http://schemas.microsoft.com/office/drawing/2014/main" id="{1222EE17-EBE6-4A02-8853-3F7019537B7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77" name="Text Box 1">
          <a:extLst>
            <a:ext uri="{FF2B5EF4-FFF2-40B4-BE49-F238E27FC236}">
              <a16:creationId xmlns:a16="http://schemas.microsoft.com/office/drawing/2014/main" id="{64146060-2502-431C-9E61-E02E0F3279E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78" name="Text Box 1">
          <a:extLst>
            <a:ext uri="{FF2B5EF4-FFF2-40B4-BE49-F238E27FC236}">
              <a16:creationId xmlns:a16="http://schemas.microsoft.com/office/drawing/2014/main" id="{09619752-24F5-406E-8EBE-0869E56051F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79" name="Text Box 1">
          <a:extLst>
            <a:ext uri="{FF2B5EF4-FFF2-40B4-BE49-F238E27FC236}">
              <a16:creationId xmlns:a16="http://schemas.microsoft.com/office/drawing/2014/main" id="{F776593E-1B0C-4F50-9B56-C8ACBE9149E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80" name="Text Box 1">
          <a:extLst>
            <a:ext uri="{FF2B5EF4-FFF2-40B4-BE49-F238E27FC236}">
              <a16:creationId xmlns:a16="http://schemas.microsoft.com/office/drawing/2014/main" id="{DC98518A-6B4B-4220-A115-C651503E0C2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81" name="Text Box 1">
          <a:extLst>
            <a:ext uri="{FF2B5EF4-FFF2-40B4-BE49-F238E27FC236}">
              <a16:creationId xmlns:a16="http://schemas.microsoft.com/office/drawing/2014/main" id="{178730D5-1E8C-4D7F-B336-2C4A8F98F27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82" name="Text Box 1">
          <a:extLst>
            <a:ext uri="{FF2B5EF4-FFF2-40B4-BE49-F238E27FC236}">
              <a16:creationId xmlns:a16="http://schemas.microsoft.com/office/drawing/2014/main" id="{0A07685C-507A-4786-A52D-3A792B40EA9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83" name="Text Box 1">
          <a:extLst>
            <a:ext uri="{FF2B5EF4-FFF2-40B4-BE49-F238E27FC236}">
              <a16:creationId xmlns:a16="http://schemas.microsoft.com/office/drawing/2014/main" id="{0304ED6E-1D7F-410F-89D6-614AC222D4E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84" name="Text Box 1">
          <a:extLst>
            <a:ext uri="{FF2B5EF4-FFF2-40B4-BE49-F238E27FC236}">
              <a16:creationId xmlns:a16="http://schemas.microsoft.com/office/drawing/2014/main" id="{C36BC709-13B2-431C-89AF-63355AB3962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85" name="Text Box 1">
          <a:extLst>
            <a:ext uri="{FF2B5EF4-FFF2-40B4-BE49-F238E27FC236}">
              <a16:creationId xmlns:a16="http://schemas.microsoft.com/office/drawing/2014/main" id="{31E096A0-4EFC-4DFB-94E9-F72C3316AF4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86" name="Text Box 1">
          <a:extLst>
            <a:ext uri="{FF2B5EF4-FFF2-40B4-BE49-F238E27FC236}">
              <a16:creationId xmlns:a16="http://schemas.microsoft.com/office/drawing/2014/main" id="{8F024A57-84EC-4E57-AE6E-6B9637AF784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87" name="Text Box 1">
          <a:extLst>
            <a:ext uri="{FF2B5EF4-FFF2-40B4-BE49-F238E27FC236}">
              <a16:creationId xmlns:a16="http://schemas.microsoft.com/office/drawing/2014/main" id="{E32689CF-4E6E-4C8C-BFA4-68CA69E0EE6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88" name="Text Box 1">
          <a:extLst>
            <a:ext uri="{FF2B5EF4-FFF2-40B4-BE49-F238E27FC236}">
              <a16:creationId xmlns:a16="http://schemas.microsoft.com/office/drawing/2014/main" id="{019A988C-862D-41EC-BBF2-8370BDC2E7B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89" name="Text Box 1">
          <a:extLst>
            <a:ext uri="{FF2B5EF4-FFF2-40B4-BE49-F238E27FC236}">
              <a16:creationId xmlns:a16="http://schemas.microsoft.com/office/drawing/2014/main" id="{334AD3AB-DEF2-4BB8-8780-A27C9BBE516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90" name="Text Box 1">
          <a:extLst>
            <a:ext uri="{FF2B5EF4-FFF2-40B4-BE49-F238E27FC236}">
              <a16:creationId xmlns:a16="http://schemas.microsoft.com/office/drawing/2014/main" id="{31D709C6-E536-49CB-BE4D-BF0C37813CE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91" name="Text Box 1">
          <a:extLst>
            <a:ext uri="{FF2B5EF4-FFF2-40B4-BE49-F238E27FC236}">
              <a16:creationId xmlns:a16="http://schemas.microsoft.com/office/drawing/2014/main" id="{ABD43624-44B7-43C8-9E7C-72F795A2487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92" name="Text Box 1">
          <a:extLst>
            <a:ext uri="{FF2B5EF4-FFF2-40B4-BE49-F238E27FC236}">
              <a16:creationId xmlns:a16="http://schemas.microsoft.com/office/drawing/2014/main" id="{3B943B11-7ECF-456A-9D9B-E6FDE9DDD65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93" name="Text Box 1">
          <a:extLst>
            <a:ext uri="{FF2B5EF4-FFF2-40B4-BE49-F238E27FC236}">
              <a16:creationId xmlns:a16="http://schemas.microsoft.com/office/drawing/2014/main" id="{9BBA542E-3A85-4CD0-BD66-C3F4C4C4367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94" name="Text Box 1">
          <a:extLst>
            <a:ext uri="{FF2B5EF4-FFF2-40B4-BE49-F238E27FC236}">
              <a16:creationId xmlns:a16="http://schemas.microsoft.com/office/drawing/2014/main" id="{014F5834-9D8E-46E3-9C40-0410638AB5E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95" name="Text Box 1">
          <a:extLst>
            <a:ext uri="{FF2B5EF4-FFF2-40B4-BE49-F238E27FC236}">
              <a16:creationId xmlns:a16="http://schemas.microsoft.com/office/drawing/2014/main" id="{FBC13451-5FD3-4869-81CA-60A4613443E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96" name="Text Box 1">
          <a:extLst>
            <a:ext uri="{FF2B5EF4-FFF2-40B4-BE49-F238E27FC236}">
              <a16:creationId xmlns:a16="http://schemas.microsoft.com/office/drawing/2014/main" id="{376AC9C6-C212-40CA-91A5-C8A8EF8A73E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97" name="Text Box 1">
          <a:extLst>
            <a:ext uri="{FF2B5EF4-FFF2-40B4-BE49-F238E27FC236}">
              <a16:creationId xmlns:a16="http://schemas.microsoft.com/office/drawing/2014/main" id="{B2BD3048-1888-4000-A65D-495CE9F3E7C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98" name="Text Box 1">
          <a:extLst>
            <a:ext uri="{FF2B5EF4-FFF2-40B4-BE49-F238E27FC236}">
              <a16:creationId xmlns:a16="http://schemas.microsoft.com/office/drawing/2014/main" id="{E75C2967-A59E-422E-8334-104008D8E58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3999" name="Text Box 1">
          <a:extLst>
            <a:ext uri="{FF2B5EF4-FFF2-40B4-BE49-F238E27FC236}">
              <a16:creationId xmlns:a16="http://schemas.microsoft.com/office/drawing/2014/main" id="{AD035F77-55EF-49BA-BDCE-FDC9054C75C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00" name="Text Box 1">
          <a:extLst>
            <a:ext uri="{FF2B5EF4-FFF2-40B4-BE49-F238E27FC236}">
              <a16:creationId xmlns:a16="http://schemas.microsoft.com/office/drawing/2014/main" id="{5542B633-FEE7-4769-AABB-1FC40504B4D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01" name="Text Box 1">
          <a:extLst>
            <a:ext uri="{FF2B5EF4-FFF2-40B4-BE49-F238E27FC236}">
              <a16:creationId xmlns:a16="http://schemas.microsoft.com/office/drawing/2014/main" id="{C2188282-226D-4D5C-B94F-13E467A45A5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02" name="Text Box 1">
          <a:extLst>
            <a:ext uri="{FF2B5EF4-FFF2-40B4-BE49-F238E27FC236}">
              <a16:creationId xmlns:a16="http://schemas.microsoft.com/office/drawing/2014/main" id="{AEF0B72A-B4D7-49B3-8CC3-2216175350E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03" name="Text Box 1">
          <a:extLst>
            <a:ext uri="{FF2B5EF4-FFF2-40B4-BE49-F238E27FC236}">
              <a16:creationId xmlns:a16="http://schemas.microsoft.com/office/drawing/2014/main" id="{9695E21B-78F7-4FF2-99D0-225B2BEFA0B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04" name="Text Box 1">
          <a:extLst>
            <a:ext uri="{FF2B5EF4-FFF2-40B4-BE49-F238E27FC236}">
              <a16:creationId xmlns:a16="http://schemas.microsoft.com/office/drawing/2014/main" id="{8C036A2D-7C14-4539-830C-433885D8902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05" name="Text Box 1">
          <a:extLst>
            <a:ext uri="{FF2B5EF4-FFF2-40B4-BE49-F238E27FC236}">
              <a16:creationId xmlns:a16="http://schemas.microsoft.com/office/drawing/2014/main" id="{A8BF2BC3-853E-43FC-B00C-28B5FDAD967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06" name="Text Box 1">
          <a:extLst>
            <a:ext uri="{FF2B5EF4-FFF2-40B4-BE49-F238E27FC236}">
              <a16:creationId xmlns:a16="http://schemas.microsoft.com/office/drawing/2014/main" id="{2072A2C8-B92F-4D30-A7BC-1312FA2F702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07" name="Text Box 1">
          <a:extLst>
            <a:ext uri="{FF2B5EF4-FFF2-40B4-BE49-F238E27FC236}">
              <a16:creationId xmlns:a16="http://schemas.microsoft.com/office/drawing/2014/main" id="{8430302A-0A65-489E-B203-89C40B791F6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08" name="Text Box 1">
          <a:extLst>
            <a:ext uri="{FF2B5EF4-FFF2-40B4-BE49-F238E27FC236}">
              <a16:creationId xmlns:a16="http://schemas.microsoft.com/office/drawing/2014/main" id="{D896E0EC-C67A-4366-A558-B6561FC06D4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09" name="Text Box 1">
          <a:extLst>
            <a:ext uri="{FF2B5EF4-FFF2-40B4-BE49-F238E27FC236}">
              <a16:creationId xmlns:a16="http://schemas.microsoft.com/office/drawing/2014/main" id="{A8A1A141-AE88-4BBD-91CB-46A3CE891FB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10" name="Text Box 1">
          <a:extLst>
            <a:ext uri="{FF2B5EF4-FFF2-40B4-BE49-F238E27FC236}">
              <a16:creationId xmlns:a16="http://schemas.microsoft.com/office/drawing/2014/main" id="{A0808C73-E8FB-4540-BB9C-0EF7BCF7BD8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11" name="Text Box 1">
          <a:extLst>
            <a:ext uri="{FF2B5EF4-FFF2-40B4-BE49-F238E27FC236}">
              <a16:creationId xmlns:a16="http://schemas.microsoft.com/office/drawing/2014/main" id="{469F68FF-C80C-4075-B16D-0CC7C2EE46F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12" name="Text Box 1">
          <a:extLst>
            <a:ext uri="{FF2B5EF4-FFF2-40B4-BE49-F238E27FC236}">
              <a16:creationId xmlns:a16="http://schemas.microsoft.com/office/drawing/2014/main" id="{5B438EAB-99EC-4E4D-8D3C-CBCC66428F0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13" name="Text Box 1">
          <a:extLst>
            <a:ext uri="{FF2B5EF4-FFF2-40B4-BE49-F238E27FC236}">
              <a16:creationId xmlns:a16="http://schemas.microsoft.com/office/drawing/2014/main" id="{AEE104CC-670A-4D5F-9E71-E69505C5C27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14" name="Text Box 1">
          <a:extLst>
            <a:ext uri="{FF2B5EF4-FFF2-40B4-BE49-F238E27FC236}">
              <a16:creationId xmlns:a16="http://schemas.microsoft.com/office/drawing/2014/main" id="{5E56CBF3-EE17-4C51-BE79-7A5EAA95D3F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15" name="Text Box 1">
          <a:extLst>
            <a:ext uri="{FF2B5EF4-FFF2-40B4-BE49-F238E27FC236}">
              <a16:creationId xmlns:a16="http://schemas.microsoft.com/office/drawing/2014/main" id="{0C2523A3-D840-4617-8476-71EBBECFC33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16" name="Text Box 1">
          <a:extLst>
            <a:ext uri="{FF2B5EF4-FFF2-40B4-BE49-F238E27FC236}">
              <a16:creationId xmlns:a16="http://schemas.microsoft.com/office/drawing/2014/main" id="{576F21AC-0AB6-4D56-9BF8-AEF235441EA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17" name="Text Box 1">
          <a:extLst>
            <a:ext uri="{FF2B5EF4-FFF2-40B4-BE49-F238E27FC236}">
              <a16:creationId xmlns:a16="http://schemas.microsoft.com/office/drawing/2014/main" id="{5AEFEBDC-BFB2-45D8-A760-006636AF043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18" name="Text Box 1">
          <a:extLst>
            <a:ext uri="{FF2B5EF4-FFF2-40B4-BE49-F238E27FC236}">
              <a16:creationId xmlns:a16="http://schemas.microsoft.com/office/drawing/2014/main" id="{21B93245-5C26-4FCA-B7C0-B4338123C46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19" name="Text Box 1">
          <a:extLst>
            <a:ext uri="{FF2B5EF4-FFF2-40B4-BE49-F238E27FC236}">
              <a16:creationId xmlns:a16="http://schemas.microsoft.com/office/drawing/2014/main" id="{260487E8-B2D3-4E54-9C61-E6BF51AFAF8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20" name="Text Box 1">
          <a:extLst>
            <a:ext uri="{FF2B5EF4-FFF2-40B4-BE49-F238E27FC236}">
              <a16:creationId xmlns:a16="http://schemas.microsoft.com/office/drawing/2014/main" id="{F1976B0E-B304-43F0-88F1-74482EC9B59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21" name="Text Box 1">
          <a:extLst>
            <a:ext uri="{FF2B5EF4-FFF2-40B4-BE49-F238E27FC236}">
              <a16:creationId xmlns:a16="http://schemas.microsoft.com/office/drawing/2014/main" id="{3E8B5AEB-810D-4950-8C28-DCEC91AC152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22" name="Text Box 1">
          <a:extLst>
            <a:ext uri="{FF2B5EF4-FFF2-40B4-BE49-F238E27FC236}">
              <a16:creationId xmlns:a16="http://schemas.microsoft.com/office/drawing/2014/main" id="{52598977-53E6-4A17-9702-0516AD39AB9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23" name="Text Box 1">
          <a:extLst>
            <a:ext uri="{FF2B5EF4-FFF2-40B4-BE49-F238E27FC236}">
              <a16:creationId xmlns:a16="http://schemas.microsoft.com/office/drawing/2014/main" id="{D7EE66D2-8FFA-4B20-803C-E4579F9B209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24" name="Text Box 1">
          <a:extLst>
            <a:ext uri="{FF2B5EF4-FFF2-40B4-BE49-F238E27FC236}">
              <a16:creationId xmlns:a16="http://schemas.microsoft.com/office/drawing/2014/main" id="{6213841E-8D17-479D-B937-14C5E87CB57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25" name="Text Box 1">
          <a:extLst>
            <a:ext uri="{FF2B5EF4-FFF2-40B4-BE49-F238E27FC236}">
              <a16:creationId xmlns:a16="http://schemas.microsoft.com/office/drawing/2014/main" id="{B44EB869-E2A1-4664-B8A2-A359AE9626F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26" name="Text Box 1">
          <a:extLst>
            <a:ext uri="{FF2B5EF4-FFF2-40B4-BE49-F238E27FC236}">
              <a16:creationId xmlns:a16="http://schemas.microsoft.com/office/drawing/2014/main" id="{365DFE71-C226-4DFA-87E9-532F9CD9AAC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27" name="Text Box 1">
          <a:extLst>
            <a:ext uri="{FF2B5EF4-FFF2-40B4-BE49-F238E27FC236}">
              <a16:creationId xmlns:a16="http://schemas.microsoft.com/office/drawing/2014/main" id="{EEB3E475-6A63-4844-B309-027FD6DC71D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28" name="Text Box 1">
          <a:extLst>
            <a:ext uri="{FF2B5EF4-FFF2-40B4-BE49-F238E27FC236}">
              <a16:creationId xmlns:a16="http://schemas.microsoft.com/office/drawing/2014/main" id="{34CC90B3-6E62-4B9B-ADD0-6183B36544A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29" name="Text Box 1">
          <a:extLst>
            <a:ext uri="{FF2B5EF4-FFF2-40B4-BE49-F238E27FC236}">
              <a16:creationId xmlns:a16="http://schemas.microsoft.com/office/drawing/2014/main" id="{67BABBD7-B13E-491A-87F9-1FC2C405B4A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30" name="Text Box 1">
          <a:extLst>
            <a:ext uri="{FF2B5EF4-FFF2-40B4-BE49-F238E27FC236}">
              <a16:creationId xmlns:a16="http://schemas.microsoft.com/office/drawing/2014/main" id="{39CA26BD-8E9C-4D3D-8C32-6B658ACD2AF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31" name="Text Box 1">
          <a:extLst>
            <a:ext uri="{FF2B5EF4-FFF2-40B4-BE49-F238E27FC236}">
              <a16:creationId xmlns:a16="http://schemas.microsoft.com/office/drawing/2014/main" id="{AE734260-FCD0-4084-9EFD-326B376F791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32" name="Text Box 1">
          <a:extLst>
            <a:ext uri="{FF2B5EF4-FFF2-40B4-BE49-F238E27FC236}">
              <a16:creationId xmlns:a16="http://schemas.microsoft.com/office/drawing/2014/main" id="{87DE7039-6278-4729-8281-6E6F6140336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33" name="Text Box 1">
          <a:extLst>
            <a:ext uri="{FF2B5EF4-FFF2-40B4-BE49-F238E27FC236}">
              <a16:creationId xmlns:a16="http://schemas.microsoft.com/office/drawing/2014/main" id="{6FE87BF5-49CA-46D3-B8EE-FDCCD06B9A3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34" name="Text Box 1">
          <a:extLst>
            <a:ext uri="{FF2B5EF4-FFF2-40B4-BE49-F238E27FC236}">
              <a16:creationId xmlns:a16="http://schemas.microsoft.com/office/drawing/2014/main" id="{D5468A28-9A6F-496F-A897-080EC0E1A66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35" name="Text Box 1">
          <a:extLst>
            <a:ext uri="{FF2B5EF4-FFF2-40B4-BE49-F238E27FC236}">
              <a16:creationId xmlns:a16="http://schemas.microsoft.com/office/drawing/2014/main" id="{06A48A7B-1190-4E52-ACEE-5E2975A749D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36" name="Text Box 1">
          <a:extLst>
            <a:ext uri="{FF2B5EF4-FFF2-40B4-BE49-F238E27FC236}">
              <a16:creationId xmlns:a16="http://schemas.microsoft.com/office/drawing/2014/main" id="{5D1C77A3-D132-4245-8753-81A1457FBF5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37" name="Text Box 1">
          <a:extLst>
            <a:ext uri="{FF2B5EF4-FFF2-40B4-BE49-F238E27FC236}">
              <a16:creationId xmlns:a16="http://schemas.microsoft.com/office/drawing/2014/main" id="{91E29D5A-B211-4335-B74D-09F78E59387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38" name="Text Box 1">
          <a:extLst>
            <a:ext uri="{FF2B5EF4-FFF2-40B4-BE49-F238E27FC236}">
              <a16:creationId xmlns:a16="http://schemas.microsoft.com/office/drawing/2014/main" id="{60AF56EF-46B2-49CA-A1AC-0D2A5871D79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39" name="Text Box 1">
          <a:extLst>
            <a:ext uri="{FF2B5EF4-FFF2-40B4-BE49-F238E27FC236}">
              <a16:creationId xmlns:a16="http://schemas.microsoft.com/office/drawing/2014/main" id="{71F50752-7C2E-4A41-81ED-4D28EF86F87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40" name="Text Box 1">
          <a:extLst>
            <a:ext uri="{FF2B5EF4-FFF2-40B4-BE49-F238E27FC236}">
              <a16:creationId xmlns:a16="http://schemas.microsoft.com/office/drawing/2014/main" id="{7DFB407E-72B3-4D2F-8F66-CE50111615A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41" name="Text Box 1">
          <a:extLst>
            <a:ext uri="{FF2B5EF4-FFF2-40B4-BE49-F238E27FC236}">
              <a16:creationId xmlns:a16="http://schemas.microsoft.com/office/drawing/2014/main" id="{4D06CA21-08EC-4774-8209-F06215393B5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42" name="Text Box 1">
          <a:extLst>
            <a:ext uri="{FF2B5EF4-FFF2-40B4-BE49-F238E27FC236}">
              <a16:creationId xmlns:a16="http://schemas.microsoft.com/office/drawing/2014/main" id="{8C3A9DDB-3940-43DA-A51D-86AAB7C9AF1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43" name="Text Box 1">
          <a:extLst>
            <a:ext uri="{FF2B5EF4-FFF2-40B4-BE49-F238E27FC236}">
              <a16:creationId xmlns:a16="http://schemas.microsoft.com/office/drawing/2014/main" id="{43E071BE-A96A-400C-9C7B-7F3DFF44F79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44" name="Text Box 1">
          <a:extLst>
            <a:ext uri="{FF2B5EF4-FFF2-40B4-BE49-F238E27FC236}">
              <a16:creationId xmlns:a16="http://schemas.microsoft.com/office/drawing/2014/main" id="{E7453F17-1946-40BE-B4D8-BBDED97939B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45" name="Text Box 1">
          <a:extLst>
            <a:ext uri="{FF2B5EF4-FFF2-40B4-BE49-F238E27FC236}">
              <a16:creationId xmlns:a16="http://schemas.microsoft.com/office/drawing/2014/main" id="{28652DF2-2750-482B-9B07-6789405E84D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46" name="Text Box 1">
          <a:extLst>
            <a:ext uri="{FF2B5EF4-FFF2-40B4-BE49-F238E27FC236}">
              <a16:creationId xmlns:a16="http://schemas.microsoft.com/office/drawing/2014/main" id="{29618E1E-73E1-45B4-873E-9B5E8E0D74C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47" name="Text Box 1">
          <a:extLst>
            <a:ext uri="{FF2B5EF4-FFF2-40B4-BE49-F238E27FC236}">
              <a16:creationId xmlns:a16="http://schemas.microsoft.com/office/drawing/2014/main" id="{099A87E3-B1A6-47FB-8419-B804F005802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48" name="Text Box 1">
          <a:extLst>
            <a:ext uri="{FF2B5EF4-FFF2-40B4-BE49-F238E27FC236}">
              <a16:creationId xmlns:a16="http://schemas.microsoft.com/office/drawing/2014/main" id="{275E5913-685A-486B-8034-F7737885B12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49" name="Text Box 1">
          <a:extLst>
            <a:ext uri="{FF2B5EF4-FFF2-40B4-BE49-F238E27FC236}">
              <a16:creationId xmlns:a16="http://schemas.microsoft.com/office/drawing/2014/main" id="{A561FDDB-916F-47C2-AF55-1082A51ECD7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50" name="Text Box 1">
          <a:extLst>
            <a:ext uri="{FF2B5EF4-FFF2-40B4-BE49-F238E27FC236}">
              <a16:creationId xmlns:a16="http://schemas.microsoft.com/office/drawing/2014/main" id="{334F1DB4-001F-4DC0-B00F-EF556A9C3C5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51" name="Text Box 1">
          <a:extLst>
            <a:ext uri="{FF2B5EF4-FFF2-40B4-BE49-F238E27FC236}">
              <a16:creationId xmlns:a16="http://schemas.microsoft.com/office/drawing/2014/main" id="{B160904E-7B73-4BFF-B065-6D206EC3180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52" name="Text Box 1">
          <a:extLst>
            <a:ext uri="{FF2B5EF4-FFF2-40B4-BE49-F238E27FC236}">
              <a16:creationId xmlns:a16="http://schemas.microsoft.com/office/drawing/2014/main" id="{355B1C36-963C-458D-A084-6032FBA2EA5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53" name="Text Box 1">
          <a:extLst>
            <a:ext uri="{FF2B5EF4-FFF2-40B4-BE49-F238E27FC236}">
              <a16:creationId xmlns:a16="http://schemas.microsoft.com/office/drawing/2014/main" id="{F98B479F-ADD8-447F-81C9-7F371007635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54" name="Text Box 1">
          <a:extLst>
            <a:ext uri="{FF2B5EF4-FFF2-40B4-BE49-F238E27FC236}">
              <a16:creationId xmlns:a16="http://schemas.microsoft.com/office/drawing/2014/main" id="{B174B0C5-2000-49D9-AFE3-505ACF39279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55" name="Text Box 1">
          <a:extLst>
            <a:ext uri="{FF2B5EF4-FFF2-40B4-BE49-F238E27FC236}">
              <a16:creationId xmlns:a16="http://schemas.microsoft.com/office/drawing/2014/main" id="{3AABB593-64EC-424D-A38A-FEA9391065F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56" name="Text Box 1">
          <a:extLst>
            <a:ext uri="{FF2B5EF4-FFF2-40B4-BE49-F238E27FC236}">
              <a16:creationId xmlns:a16="http://schemas.microsoft.com/office/drawing/2014/main" id="{D9C2BFF3-D178-42F4-B363-CB984467281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57" name="Text Box 1">
          <a:extLst>
            <a:ext uri="{FF2B5EF4-FFF2-40B4-BE49-F238E27FC236}">
              <a16:creationId xmlns:a16="http://schemas.microsoft.com/office/drawing/2014/main" id="{9AA9F816-C80A-47F0-8B85-238A4C61C54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58" name="Text Box 1">
          <a:extLst>
            <a:ext uri="{FF2B5EF4-FFF2-40B4-BE49-F238E27FC236}">
              <a16:creationId xmlns:a16="http://schemas.microsoft.com/office/drawing/2014/main" id="{4584B58F-3D24-4EC2-B96E-E0F642ABB44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59" name="Text Box 1">
          <a:extLst>
            <a:ext uri="{FF2B5EF4-FFF2-40B4-BE49-F238E27FC236}">
              <a16:creationId xmlns:a16="http://schemas.microsoft.com/office/drawing/2014/main" id="{8FB11FEE-E778-4386-B870-4113D26EDEE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60" name="Text Box 1">
          <a:extLst>
            <a:ext uri="{FF2B5EF4-FFF2-40B4-BE49-F238E27FC236}">
              <a16:creationId xmlns:a16="http://schemas.microsoft.com/office/drawing/2014/main" id="{E4F036C0-3D52-418D-8BFA-3B728A84BE5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61" name="Text Box 1">
          <a:extLst>
            <a:ext uri="{FF2B5EF4-FFF2-40B4-BE49-F238E27FC236}">
              <a16:creationId xmlns:a16="http://schemas.microsoft.com/office/drawing/2014/main" id="{8CF6C48F-C593-484A-9F2E-1B121B5ED90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62" name="Text Box 1">
          <a:extLst>
            <a:ext uri="{FF2B5EF4-FFF2-40B4-BE49-F238E27FC236}">
              <a16:creationId xmlns:a16="http://schemas.microsoft.com/office/drawing/2014/main" id="{2710D15A-355B-472D-8E66-CA79BF39597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63" name="Text Box 1">
          <a:extLst>
            <a:ext uri="{FF2B5EF4-FFF2-40B4-BE49-F238E27FC236}">
              <a16:creationId xmlns:a16="http://schemas.microsoft.com/office/drawing/2014/main" id="{9E28E4C7-EF87-4AF2-AFA0-D5B3CE5984F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64" name="Text Box 1">
          <a:extLst>
            <a:ext uri="{FF2B5EF4-FFF2-40B4-BE49-F238E27FC236}">
              <a16:creationId xmlns:a16="http://schemas.microsoft.com/office/drawing/2014/main" id="{2E8B7C7B-1166-43D3-931E-142208B91C4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65" name="Text Box 1">
          <a:extLst>
            <a:ext uri="{FF2B5EF4-FFF2-40B4-BE49-F238E27FC236}">
              <a16:creationId xmlns:a16="http://schemas.microsoft.com/office/drawing/2014/main" id="{1D2935D9-64EB-4F9F-AE49-65F8282C77C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66" name="Text Box 1">
          <a:extLst>
            <a:ext uri="{FF2B5EF4-FFF2-40B4-BE49-F238E27FC236}">
              <a16:creationId xmlns:a16="http://schemas.microsoft.com/office/drawing/2014/main" id="{D4C0117C-DC1F-4696-9F1C-0D2D0326B5E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67" name="Text Box 1">
          <a:extLst>
            <a:ext uri="{FF2B5EF4-FFF2-40B4-BE49-F238E27FC236}">
              <a16:creationId xmlns:a16="http://schemas.microsoft.com/office/drawing/2014/main" id="{5E57D53A-FCB5-447B-8767-B30184E5227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68" name="Text Box 1">
          <a:extLst>
            <a:ext uri="{FF2B5EF4-FFF2-40B4-BE49-F238E27FC236}">
              <a16:creationId xmlns:a16="http://schemas.microsoft.com/office/drawing/2014/main" id="{963D3B25-737B-40BF-9F96-EB80FDDAFC4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69" name="Text Box 1">
          <a:extLst>
            <a:ext uri="{FF2B5EF4-FFF2-40B4-BE49-F238E27FC236}">
              <a16:creationId xmlns:a16="http://schemas.microsoft.com/office/drawing/2014/main" id="{C7CAAFA4-AEC3-475B-9078-0239924AC95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70" name="Text Box 1">
          <a:extLst>
            <a:ext uri="{FF2B5EF4-FFF2-40B4-BE49-F238E27FC236}">
              <a16:creationId xmlns:a16="http://schemas.microsoft.com/office/drawing/2014/main" id="{0A9489FC-2C9C-4EE6-A938-CE5E5DF429C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71" name="Text Box 1">
          <a:extLst>
            <a:ext uri="{FF2B5EF4-FFF2-40B4-BE49-F238E27FC236}">
              <a16:creationId xmlns:a16="http://schemas.microsoft.com/office/drawing/2014/main" id="{EC665522-5177-4857-910D-D797BE13C3F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72" name="Text Box 1">
          <a:extLst>
            <a:ext uri="{FF2B5EF4-FFF2-40B4-BE49-F238E27FC236}">
              <a16:creationId xmlns:a16="http://schemas.microsoft.com/office/drawing/2014/main" id="{A8E96F89-8D02-4C9B-85D4-54CEC01B530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73" name="Text Box 1">
          <a:extLst>
            <a:ext uri="{FF2B5EF4-FFF2-40B4-BE49-F238E27FC236}">
              <a16:creationId xmlns:a16="http://schemas.microsoft.com/office/drawing/2014/main" id="{9A377309-C87A-4FF7-9C94-52D735AD995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74" name="Text Box 1">
          <a:extLst>
            <a:ext uri="{FF2B5EF4-FFF2-40B4-BE49-F238E27FC236}">
              <a16:creationId xmlns:a16="http://schemas.microsoft.com/office/drawing/2014/main" id="{CCD0F757-DBA0-4D9C-96FB-B2125C225EF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75" name="Text Box 1">
          <a:extLst>
            <a:ext uri="{FF2B5EF4-FFF2-40B4-BE49-F238E27FC236}">
              <a16:creationId xmlns:a16="http://schemas.microsoft.com/office/drawing/2014/main" id="{92933D1C-160A-4CD9-8C6A-9CBF5BB3719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76" name="Text Box 1">
          <a:extLst>
            <a:ext uri="{FF2B5EF4-FFF2-40B4-BE49-F238E27FC236}">
              <a16:creationId xmlns:a16="http://schemas.microsoft.com/office/drawing/2014/main" id="{190B6826-4A89-455F-B692-7E5333C6CB1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77" name="Text Box 1">
          <a:extLst>
            <a:ext uri="{FF2B5EF4-FFF2-40B4-BE49-F238E27FC236}">
              <a16:creationId xmlns:a16="http://schemas.microsoft.com/office/drawing/2014/main" id="{99CB7AC1-86C0-4DA2-9230-C5080E6F9BA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78" name="Text Box 1">
          <a:extLst>
            <a:ext uri="{FF2B5EF4-FFF2-40B4-BE49-F238E27FC236}">
              <a16:creationId xmlns:a16="http://schemas.microsoft.com/office/drawing/2014/main" id="{45665B72-44EF-4954-8F19-CA2AE7894E7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79" name="Text Box 1">
          <a:extLst>
            <a:ext uri="{FF2B5EF4-FFF2-40B4-BE49-F238E27FC236}">
              <a16:creationId xmlns:a16="http://schemas.microsoft.com/office/drawing/2014/main" id="{98EBF844-0BC5-402F-9196-31BFF2A2D55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80" name="Text Box 1">
          <a:extLst>
            <a:ext uri="{FF2B5EF4-FFF2-40B4-BE49-F238E27FC236}">
              <a16:creationId xmlns:a16="http://schemas.microsoft.com/office/drawing/2014/main" id="{BB4FDD24-9E83-4C7F-B610-82460532A62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81" name="Text Box 1">
          <a:extLst>
            <a:ext uri="{FF2B5EF4-FFF2-40B4-BE49-F238E27FC236}">
              <a16:creationId xmlns:a16="http://schemas.microsoft.com/office/drawing/2014/main" id="{EA260EE4-2DDC-4DD6-8E21-AC6C29A10B5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82" name="Text Box 1">
          <a:extLst>
            <a:ext uri="{FF2B5EF4-FFF2-40B4-BE49-F238E27FC236}">
              <a16:creationId xmlns:a16="http://schemas.microsoft.com/office/drawing/2014/main" id="{8E75D667-F8DF-4661-BA79-2026A40A28B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83" name="Text Box 1">
          <a:extLst>
            <a:ext uri="{FF2B5EF4-FFF2-40B4-BE49-F238E27FC236}">
              <a16:creationId xmlns:a16="http://schemas.microsoft.com/office/drawing/2014/main" id="{AA5234D5-3B4F-4E94-8CDB-F557D9E67C4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84" name="Text Box 1">
          <a:extLst>
            <a:ext uri="{FF2B5EF4-FFF2-40B4-BE49-F238E27FC236}">
              <a16:creationId xmlns:a16="http://schemas.microsoft.com/office/drawing/2014/main" id="{F2805902-67AD-4975-BF11-473C9DC567A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85" name="Text Box 1">
          <a:extLst>
            <a:ext uri="{FF2B5EF4-FFF2-40B4-BE49-F238E27FC236}">
              <a16:creationId xmlns:a16="http://schemas.microsoft.com/office/drawing/2014/main" id="{CE690DE4-4A23-4D3A-BEB8-28E4869FBD5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86" name="Text Box 1">
          <a:extLst>
            <a:ext uri="{FF2B5EF4-FFF2-40B4-BE49-F238E27FC236}">
              <a16:creationId xmlns:a16="http://schemas.microsoft.com/office/drawing/2014/main" id="{51D71016-4FC7-4A0C-A324-E8F033C58E7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87" name="Text Box 1">
          <a:extLst>
            <a:ext uri="{FF2B5EF4-FFF2-40B4-BE49-F238E27FC236}">
              <a16:creationId xmlns:a16="http://schemas.microsoft.com/office/drawing/2014/main" id="{C9F667D3-4002-4632-A8F9-F0097067408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88" name="Text Box 1">
          <a:extLst>
            <a:ext uri="{FF2B5EF4-FFF2-40B4-BE49-F238E27FC236}">
              <a16:creationId xmlns:a16="http://schemas.microsoft.com/office/drawing/2014/main" id="{CAC741F8-82BB-4A61-BFD9-E3EE187C63F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89" name="Text Box 1">
          <a:extLst>
            <a:ext uri="{FF2B5EF4-FFF2-40B4-BE49-F238E27FC236}">
              <a16:creationId xmlns:a16="http://schemas.microsoft.com/office/drawing/2014/main" id="{E03B2C52-3A59-4D94-BBF4-E05CA4E0474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90" name="Text Box 1">
          <a:extLst>
            <a:ext uri="{FF2B5EF4-FFF2-40B4-BE49-F238E27FC236}">
              <a16:creationId xmlns:a16="http://schemas.microsoft.com/office/drawing/2014/main" id="{133D4637-E36F-4EC7-8BE6-D267DF0796A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91" name="Text Box 1">
          <a:extLst>
            <a:ext uri="{FF2B5EF4-FFF2-40B4-BE49-F238E27FC236}">
              <a16:creationId xmlns:a16="http://schemas.microsoft.com/office/drawing/2014/main" id="{76D89FCB-2D8D-4F1C-85E0-47FF21AED8D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92" name="Text Box 1">
          <a:extLst>
            <a:ext uri="{FF2B5EF4-FFF2-40B4-BE49-F238E27FC236}">
              <a16:creationId xmlns:a16="http://schemas.microsoft.com/office/drawing/2014/main" id="{D38BBA78-A643-4AC0-BA23-8BF31A4D0D1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93" name="Text Box 1">
          <a:extLst>
            <a:ext uri="{FF2B5EF4-FFF2-40B4-BE49-F238E27FC236}">
              <a16:creationId xmlns:a16="http://schemas.microsoft.com/office/drawing/2014/main" id="{E95C5045-95C1-4D31-AD5B-E9E4A92DE65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94" name="Text Box 1">
          <a:extLst>
            <a:ext uri="{FF2B5EF4-FFF2-40B4-BE49-F238E27FC236}">
              <a16:creationId xmlns:a16="http://schemas.microsoft.com/office/drawing/2014/main" id="{A04A9CFD-A38B-4430-9CED-790F93510BB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95" name="Text Box 1">
          <a:extLst>
            <a:ext uri="{FF2B5EF4-FFF2-40B4-BE49-F238E27FC236}">
              <a16:creationId xmlns:a16="http://schemas.microsoft.com/office/drawing/2014/main" id="{6362EC21-AED8-47D1-9498-14EE91BF0B2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96" name="Text Box 1">
          <a:extLst>
            <a:ext uri="{FF2B5EF4-FFF2-40B4-BE49-F238E27FC236}">
              <a16:creationId xmlns:a16="http://schemas.microsoft.com/office/drawing/2014/main" id="{4F71DD85-6DD7-47C3-8A9C-E58F26C8217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97" name="Text Box 1">
          <a:extLst>
            <a:ext uri="{FF2B5EF4-FFF2-40B4-BE49-F238E27FC236}">
              <a16:creationId xmlns:a16="http://schemas.microsoft.com/office/drawing/2014/main" id="{6CF3D2EB-C6B9-45F6-982D-713EB20047C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98" name="Text Box 1">
          <a:extLst>
            <a:ext uri="{FF2B5EF4-FFF2-40B4-BE49-F238E27FC236}">
              <a16:creationId xmlns:a16="http://schemas.microsoft.com/office/drawing/2014/main" id="{52C8E534-F757-4524-865A-8EF8EEF5EEC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099" name="Text Box 1">
          <a:extLst>
            <a:ext uri="{FF2B5EF4-FFF2-40B4-BE49-F238E27FC236}">
              <a16:creationId xmlns:a16="http://schemas.microsoft.com/office/drawing/2014/main" id="{478F13E7-2778-42E6-9862-181D22D40F7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00" name="Text Box 1">
          <a:extLst>
            <a:ext uri="{FF2B5EF4-FFF2-40B4-BE49-F238E27FC236}">
              <a16:creationId xmlns:a16="http://schemas.microsoft.com/office/drawing/2014/main" id="{923EDEC5-3B66-4126-B2B1-694304AD4D6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01" name="Text Box 1">
          <a:extLst>
            <a:ext uri="{FF2B5EF4-FFF2-40B4-BE49-F238E27FC236}">
              <a16:creationId xmlns:a16="http://schemas.microsoft.com/office/drawing/2014/main" id="{07CEEF31-F793-4515-BAC7-05513209D80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02" name="Text Box 1">
          <a:extLst>
            <a:ext uri="{FF2B5EF4-FFF2-40B4-BE49-F238E27FC236}">
              <a16:creationId xmlns:a16="http://schemas.microsoft.com/office/drawing/2014/main" id="{897020D8-DEFE-4613-A742-8F9E74ABAE6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03" name="Text Box 1">
          <a:extLst>
            <a:ext uri="{FF2B5EF4-FFF2-40B4-BE49-F238E27FC236}">
              <a16:creationId xmlns:a16="http://schemas.microsoft.com/office/drawing/2014/main" id="{CF431747-DBDC-4DCC-B665-B98F5832B6C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04" name="Text Box 1">
          <a:extLst>
            <a:ext uri="{FF2B5EF4-FFF2-40B4-BE49-F238E27FC236}">
              <a16:creationId xmlns:a16="http://schemas.microsoft.com/office/drawing/2014/main" id="{A5E37B3F-0C45-4CAA-9A78-FFBC165FF05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05" name="Text Box 1">
          <a:extLst>
            <a:ext uri="{FF2B5EF4-FFF2-40B4-BE49-F238E27FC236}">
              <a16:creationId xmlns:a16="http://schemas.microsoft.com/office/drawing/2014/main" id="{5502D9B4-EC06-4F1D-AF1A-924A9EF8ECB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06" name="Text Box 1">
          <a:extLst>
            <a:ext uri="{FF2B5EF4-FFF2-40B4-BE49-F238E27FC236}">
              <a16:creationId xmlns:a16="http://schemas.microsoft.com/office/drawing/2014/main" id="{19C69355-2B32-4CBF-BCAD-24EADEF6EBE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07" name="Text Box 1">
          <a:extLst>
            <a:ext uri="{FF2B5EF4-FFF2-40B4-BE49-F238E27FC236}">
              <a16:creationId xmlns:a16="http://schemas.microsoft.com/office/drawing/2014/main" id="{5F3E8114-E440-4AF8-B5E4-63C249207F2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08" name="Text Box 1">
          <a:extLst>
            <a:ext uri="{FF2B5EF4-FFF2-40B4-BE49-F238E27FC236}">
              <a16:creationId xmlns:a16="http://schemas.microsoft.com/office/drawing/2014/main" id="{91C22565-1677-4A4E-8EDD-887767AD76F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09" name="Text Box 1">
          <a:extLst>
            <a:ext uri="{FF2B5EF4-FFF2-40B4-BE49-F238E27FC236}">
              <a16:creationId xmlns:a16="http://schemas.microsoft.com/office/drawing/2014/main" id="{CBE00D9A-72D7-4E4B-94D0-40011F2B9D7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10" name="Text Box 1">
          <a:extLst>
            <a:ext uri="{FF2B5EF4-FFF2-40B4-BE49-F238E27FC236}">
              <a16:creationId xmlns:a16="http://schemas.microsoft.com/office/drawing/2014/main" id="{62FF193A-26F2-4D3F-8B0B-B90138C42DD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11" name="Text Box 1">
          <a:extLst>
            <a:ext uri="{FF2B5EF4-FFF2-40B4-BE49-F238E27FC236}">
              <a16:creationId xmlns:a16="http://schemas.microsoft.com/office/drawing/2014/main" id="{99B43A54-D43E-4D41-AF5C-2CEC4682FF2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12" name="Text Box 1">
          <a:extLst>
            <a:ext uri="{FF2B5EF4-FFF2-40B4-BE49-F238E27FC236}">
              <a16:creationId xmlns:a16="http://schemas.microsoft.com/office/drawing/2014/main" id="{E8BC283F-5627-4A92-AF19-DE449DD6350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13" name="Text Box 1">
          <a:extLst>
            <a:ext uri="{FF2B5EF4-FFF2-40B4-BE49-F238E27FC236}">
              <a16:creationId xmlns:a16="http://schemas.microsoft.com/office/drawing/2014/main" id="{848720E2-72C0-4846-8640-E51F622A956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14" name="Text Box 1">
          <a:extLst>
            <a:ext uri="{FF2B5EF4-FFF2-40B4-BE49-F238E27FC236}">
              <a16:creationId xmlns:a16="http://schemas.microsoft.com/office/drawing/2014/main" id="{ACB2BF4D-3D83-4377-B890-0CAAA868BE0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15" name="Text Box 1">
          <a:extLst>
            <a:ext uri="{FF2B5EF4-FFF2-40B4-BE49-F238E27FC236}">
              <a16:creationId xmlns:a16="http://schemas.microsoft.com/office/drawing/2014/main" id="{03258B39-4A86-4CB1-B445-4B5CC8B1128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16" name="Text Box 1">
          <a:extLst>
            <a:ext uri="{FF2B5EF4-FFF2-40B4-BE49-F238E27FC236}">
              <a16:creationId xmlns:a16="http://schemas.microsoft.com/office/drawing/2014/main" id="{457EFFAC-2322-4F3F-9FC5-3C0366D5E06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17" name="Text Box 1">
          <a:extLst>
            <a:ext uri="{FF2B5EF4-FFF2-40B4-BE49-F238E27FC236}">
              <a16:creationId xmlns:a16="http://schemas.microsoft.com/office/drawing/2014/main" id="{3E55C75A-80CB-4ED9-A7EB-AE063A97417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18" name="Text Box 1">
          <a:extLst>
            <a:ext uri="{FF2B5EF4-FFF2-40B4-BE49-F238E27FC236}">
              <a16:creationId xmlns:a16="http://schemas.microsoft.com/office/drawing/2014/main" id="{5F4A1B54-55A7-4CDA-91D5-7379C322B97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19" name="Text Box 1">
          <a:extLst>
            <a:ext uri="{FF2B5EF4-FFF2-40B4-BE49-F238E27FC236}">
              <a16:creationId xmlns:a16="http://schemas.microsoft.com/office/drawing/2014/main" id="{38C76907-8CDC-41D4-AC02-B25A86EFFD8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20" name="Text Box 1">
          <a:extLst>
            <a:ext uri="{FF2B5EF4-FFF2-40B4-BE49-F238E27FC236}">
              <a16:creationId xmlns:a16="http://schemas.microsoft.com/office/drawing/2014/main" id="{AF046116-878B-4BFE-8E12-5B32B65AE6D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21" name="Text Box 1">
          <a:extLst>
            <a:ext uri="{FF2B5EF4-FFF2-40B4-BE49-F238E27FC236}">
              <a16:creationId xmlns:a16="http://schemas.microsoft.com/office/drawing/2014/main" id="{5BB0B7C4-7437-4D0A-884F-C007660930E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22" name="Text Box 1">
          <a:extLst>
            <a:ext uri="{FF2B5EF4-FFF2-40B4-BE49-F238E27FC236}">
              <a16:creationId xmlns:a16="http://schemas.microsoft.com/office/drawing/2014/main" id="{38132366-6174-4B83-96A9-05699A05455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23" name="Text Box 1">
          <a:extLst>
            <a:ext uri="{FF2B5EF4-FFF2-40B4-BE49-F238E27FC236}">
              <a16:creationId xmlns:a16="http://schemas.microsoft.com/office/drawing/2014/main" id="{5C9F88A9-7308-40FE-AA32-7CCEF60DE8C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24" name="Text Box 1">
          <a:extLst>
            <a:ext uri="{FF2B5EF4-FFF2-40B4-BE49-F238E27FC236}">
              <a16:creationId xmlns:a16="http://schemas.microsoft.com/office/drawing/2014/main" id="{46C2D509-0E6F-4F58-8E0C-2FE8C8D915A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25" name="Text Box 1">
          <a:extLst>
            <a:ext uri="{FF2B5EF4-FFF2-40B4-BE49-F238E27FC236}">
              <a16:creationId xmlns:a16="http://schemas.microsoft.com/office/drawing/2014/main" id="{5DC4BCAF-CE07-453E-8818-255FB62E987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26" name="Text Box 1">
          <a:extLst>
            <a:ext uri="{FF2B5EF4-FFF2-40B4-BE49-F238E27FC236}">
              <a16:creationId xmlns:a16="http://schemas.microsoft.com/office/drawing/2014/main" id="{3F5642CF-37F2-412D-A279-5890AEFE1B5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27" name="Text Box 1">
          <a:extLst>
            <a:ext uri="{FF2B5EF4-FFF2-40B4-BE49-F238E27FC236}">
              <a16:creationId xmlns:a16="http://schemas.microsoft.com/office/drawing/2014/main" id="{3CAEEC56-2425-4AB7-AF6A-DE29463B77A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28" name="Text Box 1">
          <a:extLst>
            <a:ext uri="{FF2B5EF4-FFF2-40B4-BE49-F238E27FC236}">
              <a16:creationId xmlns:a16="http://schemas.microsoft.com/office/drawing/2014/main" id="{84212417-B553-45A1-972F-76EA21F21C2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29" name="Text Box 1">
          <a:extLst>
            <a:ext uri="{FF2B5EF4-FFF2-40B4-BE49-F238E27FC236}">
              <a16:creationId xmlns:a16="http://schemas.microsoft.com/office/drawing/2014/main" id="{E3E44D85-0A06-4389-AC31-16CA9B03CD5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30" name="Text Box 1">
          <a:extLst>
            <a:ext uri="{FF2B5EF4-FFF2-40B4-BE49-F238E27FC236}">
              <a16:creationId xmlns:a16="http://schemas.microsoft.com/office/drawing/2014/main" id="{6FBEFC63-E3DC-4D52-82CE-59DA4DE6BE1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31" name="Text Box 1">
          <a:extLst>
            <a:ext uri="{FF2B5EF4-FFF2-40B4-BE49-F238E27FC236}">
              <a16:creationId xmlns:a16="http://schemas.microsoft.com/office/drawing/2014/main" id="{C10664F7-CB81-4050-9E4B-891C183CEC8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32" name="Text Box 1">
          <a:extLst>
            <a:ext uri="{FF2B5EF4-FFF2-40B4-BE49-F238E27FC236}">
              <a16:creationId xmlns:a16="http://schemas.microsoft.com/office/drawing/2014/main" id="{538F21BF-BD5E-41B4-9F43-E7FB07F3FB8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33" name="Text Box 1">
          <a:extLst>
            <a:ext uri="{FF2B5EF4-FFF2-40B4-BE49-F238E27FC236}">
              <a16:creationId xmlns:a16="http://schemas.microsoft.com/office/drawing/2014/main" id="{3450E740-C62F-4AEE-A3C0-FA06FE1835D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34" name="Text Box 1">
          <a:extLst>
            <a:ext uri="{FF2B5EF4-FFF2-40B4-BE49-F238E27FC236}">
              <a16:creationId xmlns:a16="http://schemas.microsoft.com/office/drawing/2014/main" id="{3B32BEAE-3EB4-4E9B-B08E-A0B91827E49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35" name="Text Box 1">
          <a:extLst>
            <a:ext uri="{FF2B5EF4-FFF2-40B4-BE49-F238E27FC236}">
              <a16:creationId xmlns:a16="http://schemas.microsoft.com/office/drawing/2014/main" id="{AD555AD8-B11C-4ECE-849C-A1AE2CE5EE3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36" name="Text Box 1">
          <a:extLst>
            <a:ext uri="{FF2B5EF4-FFF2-40B4-BE49-F238E27FC236}">
              <a16:creationId xmlns:a16="http://schemas.microsoft.com/office/drawing/2014/main" id="{C2FD985E-E5ED-4D7A-A424-25B836E554C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37" name="Text Box 1">
          <a:extLst>
            <a:ext uri="{FF2B5EF4-FFF2-40B4-BE49-F238E27FC236}">
              <a16:creationId xmlns:a16="http://schemas.microsoft.com/office/drawing/2014/main" id="{F0ACC548-1C1C-472E-A51C-13C1D88202B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38" name="Text Box 1">
          <a:extLst>
            <a:ext uri="{FF2B5EF4-FFF2-40B4-BE49-F238E27FC236}">
              <a16:creationId xmlns:a16="http://schemas.microsoft.com/office/drawing/2014/main" id="{96A8DB18-37D3-4EE3-BF3A-ED1DE2B42AD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39" name="Text Box 1">
          <a:extLst>
            <a:ext uri="{FF2B5EF4-FFF2-40B4-BE49-F238E27FC236}">
              <a16:creationId xmlns:a16="http://schemas.microsoft.com/office/drawing/2014/main" id="{B08EBF40-07C4-41EF-AFDC-7EE3878B7B2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40" name="Text Box 1">
          <a:extLst>
            <a:ext uri="{FF2B5EF4-FFF2-40B4-BE49-F238E27FC236}">
              <a16:creationId xmlns:a16="http://schemas.microsoft.com/office/drawing/2014/main" id="{2B3CE4EC-0F4E-4CCA-BFF6-FA836B00511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41" name="Text Box 1">
          <a:extLst>
            <a:ext uri="{FF2B5EF4-FFF2-40B4-BE49-F238E27FC236}">
              <a16:creationId xmlns:a16="http://schemas.microsoft.com/office/drawing/2014/main" id="{B369064B-68E5-44F5-AF25-E722959A61B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42" name="Text Box 1">
          <a:extLst>
            <a:ext uri="{FF2B5EF4-FFF2-40B4-BE49-F238E27FC236}">
              <a16:creationId xmlns:a16="http://schemas.microsoft.com/office/drawing/2014/main" id="{9FA679BC-C325-4AF3-BCDF-8DCFF374CCE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43" name="Text Box 1">
          <a:extLst>
            <a:ext uri="{FF2B5EF4-FFF2-40B4-BE49-F238E27FC236}">
              <a16:creationId xmlns:a16="http://schemas.microsoft.com/office/drawing/2014/main" id="{90481F26-D9CF-4CB2-A766-C89A953E89D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44" name="Text Box 1">
          <a:extLst>
            <a:ext uri="{FF2B5EF4-FFF2-40B4-BE49-F238E27FC236}">
              <a16:creationId xmlns:a16="http://schemas.microsoft.com/office/drawing/2014/main" id="{C6E34CA9-8637-4D38-9826-9D257AD722A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45" name="Text Box 1">
          <a:extLst>
            <a:ext uri="{FF2B5EF4-FFF2-40B4-BE49-F238E27FC236}">
              <a16:creationId xmlns:a16="http://schemas.microsoft.com/office/drawing/2014/main" id="{AC19A29A-29AD-4BEF-8486-A1AB4F13B64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46" name="Text Box 1">
          <a:extLst>
            <a:ext uri="{FF2B5EF4-FFF2-40B4-BE49-F238E27FC236}">
              <a16:creationId xmlns:a16="http://schemas.microsoft.com/office/drawing/2014/main" id="{82F40569-6265-47F8-BD3A-8AFC5216069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47" name="Text Box 1">
          <a:extLst>
            <a:ext uri="{FF2B5EF4-FFF2-40B4-BE49-F238E27FC236}">
              <a16:creationId xmlns:a16="http://schemas.microsoft.com/office/drawing/2014/main" id="{D3BC8950-C6A1-47D7-A4DF-58BBA628ABC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48" name="Text Box 1">
          <a:extLst>
            <a:ext uri="{FF2B5EF4-FFF2-40B4-BE49-F238E27FC236}">
              <a16:creationId xmlns:a16="http://schemas.microsoft.com/office/drawing/2014/main" id="{BBF70790-E7FB-449A-9DCA-C6BD47A01D8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49" name="Text Box 1">
          <a:extLst>
            <a:ext uri="{FF2B5EF4-FFF2-40B4-BE49-F238E27FC236}">
              <a16:creationId xmlns:a16="http://schemas.microsoft.com/office/drawing/2014/main" id="{AE27800C-D601-4C0A-AB93-33C74902016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50" name="Text Box 1">
          <a:extLst>
            <a:ext uri="{FF2B5EF4-FFF2-40B4-BE49-F238E27FC236}">
              <a16:creationId xmlns:a16="http://schemas.microsoft.com/office/drawing/2014/main" id="{EAF4ABC2-294F-4E17-98ED-24BECABB2A5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51" name="Text Box 1">
          <a:extLst>
            <a:ext uri="{FF2B5EF4-FFF2-40B4-BE49-F238E27FC236}">
              <a16:creationId xmlns:a16="http://schemas.microsoft.com/office/drawing/2014/main" id="{C1672283-D532-4784-82EE-95570EC8621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52" name="Text Box 1">
          <a:extLst>
            <a:ext uri="{FF2B5EF4-FFF2-40B4-BE49-F238E27FC236}">
              <a16:creationId xmlns:a16="http://schemas.microsoft.com/office/drawing/2014/main" id="{A28B7551-7BFA-4417-AAC6-57A55F1C71F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53" name="Text Box 1">
          <a:extLst>
            <a:ext uri="{FF2B5EF4-FFF2-40B4-BE49-F238E27FC236}">
              <a16:creationId xmlns:a16="http://schemas.microsoft.com/office/drawing/2014/main" id="{C5320D0E-97F3-4147-844F-CB5A8A90F75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54" name="Text Box 1">
          <a:extLst>
            <a:ext uri="{FF2B5EF4-FFF2-40B4-BE49-F238E27FC236}">
              <a16:creationId xmlns:a16="http://schemas.microsoft.com/office/drawing/2014/main" id="{DFF29A43-8C92-40C8-8CD3-2CAA38075C5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55" name="Text Box 1">
          <a:extLst>
            <a:ext uri="{FF2B5EF4-FFF2-40B4-BE49-F238E27FC236}">
              <a16:creationId xmlns:a16="http://schemas.microsoft.com/office/drawing/2014/main" id="{20716E3E-552C-4DA6-80F6-D070EE02E85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56" name="Text Box 1">
          <a:extLst>
            <a:ext uri="{FF2B5EF4-FFF2-40B4-BE49-F238E27FC236}">
              <a16:creationId xmlns:a16="http://schemas.microsoft.com/office/drawing/2014/main" id="{1DC63A0B-A6DE-40E8-898D-090D0B5E774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57" name="Text Box 1">
          <a:extLst>
            <a:ext uri="{FF2B5EF4-FFF2-40B4-BE49-F238E27FC236}">
              <a16:creationId xmlns:a16="http://schemas.microsoft.com/office/drawing/2014/main" id="{0DB1CA69-9894-4AE4-9FBC-4FE11D8ABA8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58" name="Text Box 1">
          <a:extLst>
            <a:ext uri="{FF2B5EF4-FFF2-40B4-BE49-F238E27FC236}">
              <a16:creationId xmlns:a16="http://schemas.microsoft.com/office/drawing/2014/main" id="{131411CD-8EA5-489C-9D9A-5E2DB4F6627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59" name="Text Box 1">
          <a:extLst>
            <a:ext uri="{FF2B5EF4-FFF2-40B4-BE49-F238E27FC236}">
              <a16:creationId xmlns:a16="http://schemas.microsoft.com/office/drawing/2014/main" id="{89403AB1-1D3A-4A47-978C-1522D909D66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60" name="Text Box 1">
          <a:extLst>
            <a:ext uri="{FF2B5EF4-FFF2-40B4-BE49-F238E27FC236}">
              <a16:creationId xmlns:a16="http://schemas.microsoft.com/office/drawing/2014/main" id="{FBDC16E6-16AD-4DAA-BD21-596E1BCE82B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61" name="Text Box 1">
          <a:extLst>
            <a:ext uri="{FF2B5EF4-FFF2-40B4-BE49-F238E27FC236}">
              <a16:creationId xmlns:a16="http://schemas.microsoft.com/office/drawing/2014/main" id="{C808A7C3-3A78-442D-8260-8015CA2C26B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62" name="Text Box 1">
          <a:extLst>
            <a:ext uri="{FF2B5EF4-FFF2-40B4-BE49-F238E27FC236}">
              <a16:creationId xmlns:a16="http://schemas.microsoft.com/office/drawing/2014/main" id="{AEDAF3E3-71BF-4E86-AA8A-04F6E35A768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63" name="Text Box 1">
          <a:extLst>
            <a:ext uri="{FF2B5EF4-FFF2-40B4-BE49-F238E27FC236}">
              <a16:creationId xmlns:a16="http://schemas.microsoft.com/office/drawing/2014/main" id="{745EB52B-F32D-4A9E-B41A-40C18F7A28D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64" name="Text Box 1">
          <a:extLst>
            <a:ext uri="{FF2B5EF4-FFF2-40B4-BE49-F238E27FC236}">
              <a16:creationId xmlns:a16="http://schemas.microsoft.com/office/drawing/2014/main" id="{0A329A28-2A9C-496A-9CFA-F266658D231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65" name="Text Box 1">
          <a:extLst>
            <a:ext uri="{FF2B5EF4-FFF2-40B4-BE49-F238E27FC236}">
              <a16:creationId xmlns:a16="http://schemas.microsoft.com/office/drawing/2014/main" id="{C7345CF1-36DF-42DA-A2E3-E33B92232E0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66" name="Text Box 1">
          <a:extLst>
            <a:ext uri="{FF2B5EF4-FFF2-40B4-BE49-F238E27FC236}">
              <a16:creationId xmlns:a16="http://schemas.microsoft.com/office/drawing/2014/main" id="{562621A9-42BF-4A2B-BE18-38DB7F8D6FB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67" name="Text Box 1">
          <a:extLst>
            <a:ext uri="{FF2B5EF4-FFF2-40B4-BE49-F238E27FC236}">
              <a16:creationId xmlns:a16="http://schemas.microsoft.com/office/drawing/2014/main" id="{8A4E5BE5-A9CE-47A3-AB20-8266FC0C69E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68" name="Text Box 1">
          <a:extLst>
            <a:ext uri="{FF2B5EF4-FFF2-40B4-BE49-F238E27FC236}">
              <a16:creationId xmlns:a16="http://schemas.microsoft.com/office/drawing/2014/main" id="{155DC7B8-C62C-4996-84C2-0698EFF6478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69" name="Text Box 1">
          <a:extLst>
            <a:ext uri="{FF2B5EF4-FFF2-40B4-BE49-F238E27FC236}">
              <a16:creationId xmlns:a16="http://schemas.microsoft.com/office/drawing/2014/main" id="{B07D855A-C74C-40CD-B47B-40A261AA622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70" name="Text Box 1">
          <a:extLst>
            <a:ext uri="{FF2B5EF4-FFF2-40B4-BE49-F238E27FC236}">
              <a16:creationId xmlns:a16="http://schemas.microsoft.com/office/drawing/2014/main" id="{DB7FF57D-F6E8-48B3-AB8D-56CE987B29F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71" name="Text Box 1">
          <a:extLst>
            <a:ext uri="{FF2B5EF4-FFF2-40B4-BE49-F238E27FC236}">
              <a16:creationId xmlns:a16="http://schemas.microsoft.com/office/drawing/2014/main" id="{24C27E3F-7257-400A-8AAA-8E9445AB05A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72" name="Text Box 1">
          <a:extLst>
            <a:ext uri="{FF2B5EF4-FFF2-40B4-BE49-F238E27FC236}">
              <a16:creationId xmlns:a16="http://schemas.microsoft.com/office/drawing/2014/main" id="{74267041-4817-49B1-9B94-B2014405C5D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73" name="Text Box 1">
          <a:extLst>
            <a:ext uri="{FF2B5EF4-FFF2-40B4-BE49-F238E27FC236}">
              <a16:creationId xmlns:a16="http://schemas.microsoft.com/office/drawing/2014/main" id="{19954EF5-01BF-43CB-B557-09593194859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74" name="Text Box 1">
          <a:extLst>
            <a:ext uri="{FF2B5EF4-FFF2-40B4-BE49-F238E27FC236}">
              <a16:creationId xmlns:a16="http://schemas.microsoft.com/office/drawing/2014/main" id="{BDB090D7-1144-45AD-8839-4F923801AFD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75" name="Text Box 1">
          <a:extLst>
            <a:ext uri="{FF2B5EF4-FFF2-40B4-BE49-F238E27FC236}">
              <a16:creationId xmlns:a16="http://schemas.microsoft.com/office/drawing/2014/main" id="{8BA22DDB-EFE4-4FE0-A921-31C3D583F91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76" name="Text Box 1">
          <a:extLst>
            <a:ext uri="{FF2B5EF4-FFF2-40B4-BE49-F238E27FC236}">
              <a16:creationId xmlns:a16="http://schemas.microsoft.com/office/drawing/2014/main" id="{5F64A4F2-A136-4BB8-8B07-B22A9315DCE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77" name="Text Box 1">
          <a:extLst>
            <a:ext uri="{FF2B5EF4-FFF2-40B4-BE49-F238E27FC236}">
              <a16:creationId xmlns:a16="http://schemas.microsoft.com/office/drawing/2014/main" id="{99CFF12F-4B2D-46AF-9FC5-8A8983AC8AD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78" name="Text Box 1">
          <a:extLst>
            <a:ext uri="{FF2B5EF4-FFF2-40B4-BE49-F238E27FC236}">
              <a16:creationId xmlns:a16="http://schemas.microsoft.com/office/drawing/2014/main" id="{A2782278-884F-4687-AA04-18A73BB0AEB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79" name="Text Box 1">
          <a:extLst>
            <a:ext uri="{FF2B5EF4-FFF2-40B4-BE49-F238E27FC236}">
              <a16:creationId xmlns:a16="http://schemas.microsoft.com/office/drawing/2014/main" id="{AC937096-165F-4B6F-A0E2-C8D327D6119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80" name="Text Box 1">
          <a:extLst>
            <a:ext uri="{FF2B5EF4-FFF2-40B4-BE49-F238E27FC236}">
              <a16:creationId xmlns:a16="http://schemas.microsoft.com/office/drawing/2014/main" id="{6ACF6ADD-3869-4849-BEBA-CB551A80F4E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81" name="Text Box 1">
          <a:extLst>
            <a:ext uri="{FF2B5EF4-FFF2-40B4-BE49-F238E27FC236}">
              <a16:creationId xmlns:a16="http://schemas.microsoft.com/office/drawing/2014/main" id="{2DF9CCC3-15B0-4A3E-9A7A-7C50939AB9A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82" name="Text Box 1">
          <a:extLst>
            <a:ext uri="{FF2B5EF4-FFF2-40B4-BE49-F238E27FC236}">
              <a16:creationId xmlns:a16="http://schemas.microsoft.com/office/drawing/2014/main" id="{3138EC30-7335-4BEC-9F4F-C6E77549081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83" name="Text Box 1">
          <a:extLst>
            <a:ext uri="{FF2B5EF4-FFF2-40B4-BE49-F238E27FC236}">
              <a16:creationId xmlns:a16="http://schemas.microsoft.com/office/drawing/2014/main" id="{0F5A28FD-4594-4C1B-A550-DD20F60539E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84" name="Text Box 1">
          <a:extLst>
            <a:ext uri="{FF2B5EF4-FFF2-40B4-BE49-F238E27FC236}">
              <a16:creationId xmlns:a16="http://schemas.microsoft.com/office/drawing/2014/main" id="{DA17E1BA-9C20-4809-82A1-5FA823505FD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85" name="Text Box 1">
          <a:extLst>
            <a:ext uri="{FF2B5EF4-FFF2-40B4-BE49-F238E27FC236}">
              <a16:creationId xmlns:a16="http://schemas.microsoft.com/office/drawing/2014/main" id="{252E5BE1-66AE-4C20-8F11-22DAFA73EE5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86" name="Text Box 1">
          <a:extLst>
            <a:ext uri="{FF2B5EF4-FFF2-40B4-BE49-F238E27FC236}">
              <a16:creationId xmlns:a16="http://schemas.microsoft.com/office/drawing/2014/main" id="{3D19C668-DD39-4684-B774-B78FE33AF65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87" name="Text Box 1">
          <a:extLst>
            <a:ext uri="{FF2B5EF4-FFF2-40B4-BE49-F238E27FC236}">
              <a16:creationId xmlns:a16="http://schemas.microsoft.com/office/drawing/2014/main" id="{753D6CB9-0177-4F01-AC7C-E2944D0A30F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88" name="Text Box 1">
          <a:extLst>
            <a:ext uri="{FF2B5EF4-FFF2-40B4-BE49-F238E27FC236}">
              <a16:creationId xmlns:a16="http://schemas.microsoft.com/office/drawing/2014/main" id="{710C3C99-9F4C-4FB6-BE42-1FFC0589CA8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89" name="Text Box 1">
          <a:extLst>
            <a:ext uri="{FF2B5EF4-FFF2-40B4-BE49-F238E27FC236}">
              <a16:creationId xmlns:a16="http://schemas.microsoft.com/office/drawing/2014/main" id="{F531CE59-684D-4EAC-B088-98E52E714CD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90" name="Text Box 1">
          <a:extLst>
            <a:ext uri="{FF2B5EF4-FFF2-40B4-BE49-F238E27FC236}">
              <a16:creationId xmlns:a16="http://schemas.microsoft.com/office/drawing/2014/main" id="{A338C970-0078-4EAE-B8F6-D83AEB56E79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91" name="Text Box 1">
          <a:extLst>
            <a:ext uri="{FF2B5EF4-FFF2-40B4-BE49-F238E27FC236}">
              <a16:creationId xmlns:a16="http://schemas.microsoft.com/office/drawing/2014/main" id="{DCB0265E-4BF6-4932-87FE-A56D0C96040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92" name="Text Box 1">
          <a:extLst>
            <a:ext uri="{FF2B5EF4-FFF2-40B4-BE49-F238E27FC236}">
              <a16:creationId xmlns:a16="http://schemas.microsoft.com/office/drawing/2014/main" id="{01909BA6-6B85-4F67-BF41-4FFD2CD0C73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93" name="Text Box 1">
          <a:extLst>
            <a:ext uri="{FF2B5EF4-FFF2-40B4-BE49-F238E27FC236}">
              <a16:creationId xmlns:a16="http://schemas.microsoft.com/office/drawing/2014/main" id="{75F60080-3E83-4D9D-A38F-FBDDF029983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94" name="Text Box 1">
          <a:extLst>
            <a:ext uri="{FF2B5EF4-FFF2-40B4-BE49-F238E27FC236}">
              <a16:creationId xmlns:a16="http://schemas.microsoft.com/office/drawing/2014/main" id="{5F026CD8-75CE-4248-84A7-CCCBEDEABEB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95" name="Text Box 1">
          <a:extLst>
            <a:ext uri="{FF2B5EF4-FFF2-40B4-BE49-F238E27FC236}">
              <a16:creationId xmlns:a16="http://schemas.microsoft.com/office/drawing/2014/main" id="{EEB41246-8DA6-496B-A35B-BE027CDDCEC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96" name="Text Box 1">
          <a:extLst>
            <a:ext uri="{FF2B5EF4-FFF2-40B4-BE49-F238E27FC236}">
              <a16:creationId xmlns:a16="http://schemas.microsoft.com/office/drawing/2014/main" id="{B749DBEC-31F7-4A18-9BC3-F928E636784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97" name="Text Box 1">
          <a:extLst>
            <a:ext uri="{FF2B5EF4-FFF2-40B4-BE49-F238E27FC236}">
              <a16:creationId xmlns:a16="http://schemas.microsoft.com/office/drawing/2014/main" id="{8471368C-3355-43DE-BF70-BF1CAE9A563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98" name="Text Box 1">
          <a:extLst>
            <a:ext uri="{FF2B5EF4-FFF2-40B4-BE49-F238E27FC236}">
              <a16:creationId xmlns:a16="http://schemas.microsoft.com/office/drawing/2014/main" id="{42048004-039F-4DC9-9ABC-64028B4EFC8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199" name="Text Box 1">
          <a:extLst>
            <a:ext uri="{FF2B5EF4-FFF2-40B4-BE49-F238E27FC236}">
              <a16:creationId xmlns:a16="http://schemas.microsoft.com/office/drawing/2014/main" id="{095A5222-10DF-4F8C-9841-D9B14C5E4B3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00" name="Text Box 1">
          <a:extLst>
            <a:ext uri="{FF2B5EF4-FFF2-40B4-BE49-F238E27FC236}">
              <a16:creationId xmlns:a16="http://schemas.microsoft.com/office/drawing/2014/main" id="{8048D30F-651E-4AD7-A658-8D0610A96E9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01" name="Text Box 1">
          <a:extLst>
            <a:ext uri="{FF2B5EF4-FFF2-40B4-BE49-F238E27FC236}">
              <a16:creationId xmlns:a16="http://schemas.microsoft.com/office/drawing/2014/main" id="{54FA7C8D-7E46-4576-9765-66E1D4C1567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02" name="Text Box 1">
          <a:extLst>
            <a:ext uri="{FF2B5EF4-FFF2-40B4-BE49-F238E27FC236}">
              <a16:creationId xmlns:a16="http://schemas.microsoft.com/office/drawing/2014/main" id="{C2A9BEE4-EEC3-4738-BD44-3B87E9F93C6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03" name="Text Box 1">
          <a:extLst>
            <a:ext uri="{FF2B5EF4-FFF2-40B4-BE49-F238E27FC236}">
              <a16:creationId xmlns:a16="http://schemas.microsoft.com/office/drawing/2014/main" id="{781B23BA-C0F1-4DEB-89B6-439FB256877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04" name="Text Box 1">
          <a:extLst>
            <a:ext uri="{FF2B5EF4-FFF2-40B4-BE49-F238E27FC236}">
              <a16:creationId xmlns:a16="http://schemas.microsoft.com/office/drawing/2014/main" id="{6FA352CC-827F-477B-9DDD-1A58B84A91B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05" name="Text Box 1">
          <a:extLst>
            <a:ext uri="{FF2B5EF4-FFF2-40B4-BE49-F238E27FC236}">
              <a16:creationId xmlns:a16="http://schemas.microsoft.com/office/drawing/2014/main" id="{0EBDF5E8-0221-4DD2-8748-883D2FB4D80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06" name="Text Box 1">
          <a:extLst>
            <a:ext uri="{FF2B5EF4-FFF2-40B4-BE49-F238E27FC236}">
              <a16:creationId xmlns:a16="http://schemas.microsoft.com/office/drawing/2014/main" id="{6A9ADAC6-54FD-497C-80A0-FBA323972B2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07" name="Text Box 1">
          <a:extLst>
            <a:ext uri="{FF2B5EF4-FFF2-40B4-BE49-F238E27FC236}">
              <a16:creationId xmlns:a16="http://schemas.microsoft.com/office/drawing/2014/main" id="{205BA939-F111-4AB1-A9BC-A9F3D219166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08" name="Text Box 1">
          <a:extLst>
            <a:ext uri="{FF2B5EF4-FFF2-40B4-BE49-F238E27FC236}">
              <a16:creationId xmlns:a16="http://schemas.microsoft.com/office/drawing/2014/main" id="{09969502-96F7-470D-BEC7-C4A1DF631CD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09" name="Text Box 1">
          <a:extLst>
            <a:ext uri="{FF2B5EF4-FFF2-40B4-BE49-F238E27FC236}">
              <a16:creationId xmlns:a16="http://schemas.microsoft.com/office/drawing/2014/main" id="{E6548481-39ED-4E83-8A5B-D1B61C2EAA7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10" name="Text Box 1">
          <a:extLst>
            <a:ext uri="{FF2B5EF4-FFF2-40B4-BE49-F238E27FC236}">
              <a16:creationId xmlns:a16="http://schemas.microsoft.com/office/drawing/2014/main" id="{F35B94E0-99D6-4DEE-99FC-157EEDEF853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11" name="Text Box 1">
          <a:extLst>
            <a:ext uri="{FF2B5EF4-FFF2-40B4-BE49-F238E27FC236}">
              <a16:creationId xmlns:a16="http://schemas.microsoft.com/office/drawing/2014/main" id="{5489F3DB-82C9-4F9E-A89E-5A178ABB570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12" name="Text Box 1">
          <a:extLst>
            <a:ext uri="{FF2B5EF4-FFF2-40B4-BE49-F238E27FC236}">
              <a16:creationId xmlns:a16="http://schemas.microsoft.com/office/drawing/2014/main" id="{482842A1-2410-4DC3-83F3-1A4D17D0C04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13" name="Text Box 1">
          <a:extLst>
            <a:ext uri="{FF2B5EF4-FFF2-40B4-BE49-F238E27FC236}">
              <a16:creationId xmlns:a16="http://schemas.microsoft.com/office/drawing/2014/main" id="{B7F0B3AF-BAEB-497F-9B9E-397870D2DD4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14" name="Text Box 1">
          <a:extLst>
            <a:ext uri="{FF2B5EF4-FFF2-40B4-BE49-F238E27FC236}">
              <a16:creationId xmlns:a16="http://schemas.microsoft.com/office/drawing/2014/main" id="{2BF672D7-E73A-4835-822C-824CE847A0E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15" name="Text Box 1">
          <a:extLst>
            <a:ext uri="{FF2B5EF4-FFF2-40B4-BE49-F238E27FC236}">
              <a16:creationId xmlns:a16="http://schemas.microsoft.com/office/drawing/2014/main" id="{F70D9416-28E5-4CAF-AE7F-E0DD1F14C55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16" name="Text Box 1">
          <a:extLst>
            <a:ext uri="{FF2B5EF4-FFF2-40B4-BE49-F238E27FC236}">
              <a16:creationId xmlns:a16="http://schemas.microsoft.com/office/drawing/2014/main" id="{5E77CE74-7F5F-4141-90F4-8943ABFEE88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17" name="Text Box 1">
          <a:extLst>
            <a:ext uri="{FF2B5EF4-FFF2-40B4-BE49-F238E27FC236}">
              <a16:creationId xmlns:a16="http://schemas.microsoft.com/office/drawing/2014/main" id="{48092093-E0F9-4762-B4D3-2EDF6192A19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18" name="Text Box 1">
          <a:extLst>
            <a:ext uri="{FF2B5EF4-FFF2-40B4-BE49-F238E27FC236}">
              <a16:creationId xmlns:a16="http://schemas.microsoft.com/office/drawing/2014/main" id="{9375F4CA-DFC7-4431-90A6-8790DD00C76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19" name="Text Box 1">
          <a:extLst>
            <a:ext uri="{FF2B5EF4-FFF2-40B4-BE49-F238E27FC236}">
              <a16:creationId xmlns:a16="http://schemas.microsoft.com/office/drawing/2014/main" id="{5D516186-099F-4D4C-B059-F87E3306D58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20" name="Text Box 1">
          <a:extLst>
            <a:ext uri="{FF2B5EF4-FFF2-40B4-BE49-F238E27FC236}">
              <a16:creationId xmlns:a16="http://schemas.microsoft.com/office/drawing/2014/main" id="{51436BE7-9036-442E-AE1A-B18EED9BD76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21" name="Text Box 1">
          <a:extLst>
            <a:ext uri="{FF2B5EF4-FFF2-40B4-BE49-F238E27FC236}">
              <a16:creationId xmlns:a16="http://schemas.microsoft.com/office/drawing/2014/main" id="{71E54E99-33A9-4DEE-9CF7-3F8D2CCDA60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22" name="Text Box 1">
          <a:extLst>
            <a:ext uri="{FF2B5EF4-FFF2-40B4-BE49-F238E27FC236}">
              <a16:creationId xmlns:a16="http://schemas.microsoft.com/office/drawing/2014/main" id="{EB4FFC83-F7DB-4512-BC84-EC2B44B2603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23" name="Text Box 1">
          <a:extLst>
            <a:ext uri="{FF2B5EF4-FFF2-40B4-BE49-F238E27FC236}">
              <a16:creationId xmlns:a16="http://schemas.microsoft.com/office/drawing/2014/main" id="{AF2F6B01-1A3E-4B60-AFAE-ECF881492D6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24" name="Text Box 1">
          <a:extLst>
            <a:ext uri="{FF2B5EF4-FFF2-40B4-BE49-F238E27FC236}">
              <a16:creationId xmlns:a16="http://schemas.microsoft.com/office/drawing/2014/main" id="{67F04938-5256-4D93-86DF-51AD42AAC0B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25" name="Text Box 1">
          <a:extLst>
            <a:ext uri="{FF2B5EF4-FFF2-40B4-BE49-F238E27FC236}">
              <a16:creationId xmlns:a16="http://schemas.microsoft.com/office/drawing/2014/main" id="{4D76D4E0-98D5-4245-892A-1082C66CCD8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26" name="Text Box 1">
          <a:extLst>
            <a:ext uri="{FF2B5EF4-FFF2-40B4-BE49-F238E27FC236}">
              <a16:creationId xmlns:a16="http://schemas.microsoft.com/office/drawing/2014/main" id="{C21ADD71-EF2D-4E4A-A06A-DD1F5C2053D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27" name="Text Box 1">
          <a:extLst>
            <a:ext uri="{FF2B5EF4-FFF2-40B4-BE49-F238E27FC236}">
              <a16:creationId xmlns:a16="http://schemas.microsoft.com/office/drawing/2014/main" id="{1F52D24C-A53C-434E-852A-A42D8CCB2DB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28" name="Text Box 1">
          <a:extLst>
            <a:ext uri="{FF2B5EF4-FFF2-40B4-BE49-F238E27FC236}">
              <a16:creationId xmlns:a16="http://schemas.microsoft.com/office/drawing/2014/main" id="{93B035FF-94CC-44CC-ABDF-782DD148EDB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29" name="Text Box 1">
          <a:extLst>
            <a:ext uri="{FF2B5EF4-FFF2-40B4-BE49-F238E27FC236}">
              <a16:creationId xmlns:a16="http://schemas.microsoft.com/office/drawing/2014/main" id="{ECCE8FE6-0D01-4101-94D5-45EB0CA0952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30" name="Text Box 1">
          <a:extLst>
            <a:ext uri="{FF2B5EF4-FFF2-40B4-BE49-F238E27FC236}">
              <a16:creationId xmlns:a16="http://schemas.microsoft.com/office/drawing/2014/main" id="{05701991-EB66-43F5-A34F-8C258741C62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31" name="Text Box 1">
          <a:extLst>
            <a:ext uri="{FF2B5EF4-FFF2-40B4-BE49-F238E27FC236}">
              <a16:creationId xmlns:a16="http://schemas.microsoft.com/office/drawing/2014/main" id="{7C49CC16-A3C5-4C53-8A94-DBFDEB9A112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32" name="Text Box 1">
          <a:extLst>
            <a:ext uri="{FF2B5EF4-FFF2-40B4-BE49-F238E27FC236}">
              <a16:creationId xmlns:a16="http://schemas.microsoft.com/office/drawing/2014/main" id="{608563A1-81E9-4B4D-B7A0-994EC29DE35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33" name="Text Box 1">
          <a:extLst>
            <a:ext uri="{FF2B5EF4-FFF2-40B4-BE49-F238E27FC236}">
              <a16:creationId xmlns:a16="http://schemas.microsoft.com/office/drawing/2014/main" id="{3813A272-433F-4AA2-9EA7-3C43334A388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34" name="Text Box 1">
          <a:extLst>
            <a:ext uri="{FF2B5EF4-FFF2-40B4-BE49-F238E27FC236}">
              <a16:creationId xmlns:a16="http://schemas.microsoft.com/office/drawing/2014/main" id="{9ECA2866-CA65-47A2-B916-B23C3A5F911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35" name="Text Box 1">
          <a:extLst>
            <a:ext uri="{FF2B5EF4-FFF2-40B4-BE49-F238E27FC236}">
              <a16:creationId xmlns:a16="http://schemas.microsoft.com/office/drawing/2014/main" id="{01CF7BC7-4F6F-451C-9CFD-37510A543CD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36" name="Text Box 1">
          <a:extLst>
            <a:ext uri="{FF2B5EF4-FFF2-40B4-BE49-F238E27FC236}">
              <a16:creationId xmlns:a16="http://schemas.microsoft.com/office/drawing/2014/main" id="{E5983138-CE3E-439D-BE72-325C541201C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37" name="Text Box 1">
          <a:extLst>
            <a:ext uri="{FF2B5EF4-FFF2-40B4-BE49-F238E27FC236}">
              <a16:creationId xmlns:a16="http://schemas.microsoft.com/office/drawing/2014/main" id="{EEA8F1A4-9B69-4D36-AB11-96E9D6DC5C3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38" name="Text Box 1">
          <a:extLst>
            <a:ext uri="{FF2B5EF4-FFF2-40B4-BE49-F238E27FC236}">
              <a16:creationId xmlns:a16="http://schemas.microsoft.com/office/drawing/2014/main" id="{8FC67EF6-C406-46E5-8819-23E2382FF55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39" name="Text Box 1">
          <a:extLst>
            <a:ext uri="{FF2B5EF4-FFF2-40B4-BE49-F238E27FC236}">
              <a16:creationId xmlns:a16="http://schemas.microsoft.com/office/drawing/2014/main" id="{AA9BB262-3C30-4A66-AEF7-960E61DA8EB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40" name="Text Box 1">
          <a:extLst>
            <a:ext uri="{FF2B5EF4-FFF2-40B4-BE49-F238E27FC236}">
              <a16:creationId xmlns:a16="http://schemas.microsoft.com/office/drawing/2014/main" id="{0660E260-7372-4720-8305-EF4B5658B23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41" name="Text Box 1">
          <a:extLst>
            <a:ext uri="{FF2B5EF4-FFF2-40B4-BE49-F238E27FC236}">
              <a16:creationId xmlns:a16="http://schemas.microsoft.com/office/drawing/2014/main" id="{D66D0BE8-BD48-4A7F-9622-08002DECC39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42" name="Text Box 1">
          <a:extLst>
            <a:ext uri="{FF2B5EF4-FFF2-40B4-BE49-F238E27FC236}">
              <a16:creationId xmlns:a16="http://schemas.microsoft.com/office/drawing/2014/main" id="{5BE76AAF-7CD2-423B-9DB8-333C995DECE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43" name="Text Box 1">
          <a:extLst>
            <a:ext uri="{FF2B5EF4-FFF2-40B4-BE49-F238E27FC236}">
              <a16:creationId xmlns:a16="http://schemas.microsoft.com/office/drawing/2014/main" id="{4257FDA2-EA91-4EC0-965F-50E46E26984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44" name="Text Box 1">
          <a:extLst>
            <a:ext uri="{FF2B5EF4-FFF2-40B4-BE49-F238E27FC236}">
              <a16:creationId xmlns:a16="http://schemas.microsoft.com/office/drawing/2014/main" id="{B3871652-20B5-44D1-851B-BDE2EE856EB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45" name="Text Box 1">
          <a:extLst>
            <a:ext uri="{FF2B5EF4-FFF2-40B4-BE49-F238E27FC236}">
              <a16:creationId xmlns:a16="http://schemas.microsoft.com/office/drawing/2014/main" id="{0C30802A-1D28-4FDE-B5BF-C4EFE62E281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46" name="Text Box 1">
          <a:extLst>
            <a:ext uri="{FF2B5EF4-FFF2-40B4-BE49-F238E27FC236}">
              <a16:creationId xmlns:a16="http://schemas.microsoft.com/office/drawing/2014/main" id="{0F810C9D-B365-428C-B498-2C9F9F1BB57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47" name="Text Box 1">
          <a:extLst>
            <a:ext uri="{FF2B5EF4-FFF2-40B4-BE49-F238E27FC236}">
              <a16:creationId xmlns:a16="http://schemas.microsoft.com/office/drawing/2014/main" id="{BF403723-2FAC-4CA2-A1B6-B5B97DDE226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48" name="Text Box 1">
          <a:extLst>
            <a:ext uri="{FF2B5EF4-FFF2-40B4-BE49-F238E27FC236}">
              <a16:creationId xmlns:a16="http://schemas.microsoft.com/office/drawing/2014/main" id="{02AC67FD-1422-4905-9549-3CCC889350F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49" name="Text Box 1">
          <a:extLst>
            <a:ext uri="{FF2B5EF4-FFF2-40B4-BE49-F238E27FC236}">
              <a16:creationId xmlns:a16="http://schemas.microsoft.com/office/drawing/2014/main" id="{73E9F911-35A6-4E18-92A3-54CF9098A73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50" name="Text Box 1">
          <a:extLst>
            <a:ext uri="{FF2B5EF4-FFF2-40B4-BE49-F238E27FC236}">
              <a16:creationId xmlns:a16="http://schemas.microsoft.com/office/drawing/2014/main" id="{6258F9CD-766D-43A5-8AD1-70FC6893D3D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51" name="Text Box 1">
          <a:extLst>
            <a:ext uri="{FF2B5EF4-FFF2-40B4-BE49-F238E27FC236}">
              <a16:creationId xmlns:a16="http://schemas.microsoft.com/office/drawing/2014/main" id="{9BCEE1BF-F75B-4C64-8A62-16A7C44637B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52" name="Text Box 1">
          <a:extLst>
            <a:ext uri="{FF2B5EF4-FFF2-40B4-BE49-F238E27FC236}">
              <a16:creationId xmlns:a16="http://schemas.microsoft.com/office/drawing/2014/main" id="{30056C7C-722D-4EE3-B7AC-DF5ADF38FB2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53" name="Text Box 1">
          <a:extLst>
            <a:ext uri="{FF2B5EF4-FFF2-40B4-BE49-F238E27FC236}">
              <a16:creationId xmlns:a16="http://schemas.microsoft.com/office/drawing/2014/main" id="{D3704440-3A3C-41D7-8610-A4C9531456C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54" name="Text Box 1">
          <a:extLst>
            <a:ext uri="{FF2B5EF4-FFF2-40B4-BE49-F238E27FC236}">
              <a16:creationId xmlns:a16="http://schemas.microsoft.com/office/drawing/2014/main" id="{239FC2A0-1220-4DCF-AF58-EAE23148DF5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55" name="Text Box 1">
          <a:extLst>
            <a:ext uri="{FF2B5EF4-FFF2-40B4-BE49-F238E27FC236}">
              <a16:creationId xmlns:a16="http://schemas.microsoft.com/office/drawing/2014/main" id="{2CE29AAB-BFD8-4A93-A60D-EE1D22EA7E3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56" name="Text Box 1">
          <a:extLst>
            <a:ext uri="{FF2B5EF4-FFF2-40B4-BE49-F238E27FC236}">
              <a16:creationId xmlns:a16="http://schemas.microsoft.com/office/drawing/2014/main" id="{4223DD6A-3067-4762-8366-7418C7CFEB7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57" name="Text Box 1">
          <a:extLst>
            <a:ext uri="{FF2B5EF4-FFF2-40B4-BE49-F238E27FC236}">
              <a16:creationId xmlns:a16="http://schemas.microsoft.com/office/drawing/2014/main" id="{ABF07835-424A-4070-ADEB-1F08799AFA9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58" name="Text Box 1">
          <a:extLst>
            <a:ext uri="{FF2B5EF4-FFF2-40B4-BE49-F238E27FC236}">
              <a16:creationId xmlns:a16="http://schemas.microsoft.com/office/drawing/2014/main" id="{432E3B8D-BB1E-4F38-9E2D-6BDDDC16449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59" name="Text Box 1">
          <a:extLst>
            <a:ext uri="{FF2B5EF4-FFF2-40B4-BE49-F238E27FC236}">
              <a16:creationId xmlns:a16="http://schemas.microsoft.com/office/drawing/2014/main" id="{9EA85C78-FFC2-420C-87BC-420BFAADE94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60" name="Text Box 1">
          <a:extLst>
            <a:ext uri="{FF2B5EF4-FFF2-40B4-BE49-F238E27FC236}">
              <a16:creationId xmlns:a16="http://schemas.microsoft.com/office/drawing/2014/main" id="{E9D8EA35-A441-4EA2-A3DD-8F5F1B00D23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61" name="Text Box 1">
          <a:extLst>
            <a:ext uri="{FF2B5EF4-FFF2-40B4-BE49-F238E27FC236}">
              <a16:creationId xmlns:a16="http://schemas.microsoft.com/office/drawing/2014/main" id="{85277A20-D4FE-4A67-9925-4983F422DF4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62" name="Text Box 1">
          <a:extLst>
            <a:ext uri="{FF2B5EF4-FFF2-40B4-BE49-F238E27FC236}">
              <a16:creationId xmlns:a16="http://schemas.microsoft.com/office/drawing/2014/main" id="{B3F3D492-BAC9-47D8-B294-5AFDD0A7B45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63" name="Text Box 1">
          <a:extLst>
            <a:ext uri="{FF2B5EF4-FFF2-40B4-BE49-F238E27FC236}">
              <a16:creationId xmlns:a16="http://schemas.microsoft.com/office/drawing/2014/main" id="{78775310-0070-4EF9-970A-3A979EB9D1D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64" name="Text Box 1">
          <a:extLst>
            <a:ext uri="{FF2B5EF4-FFF2-40B4-BE49-F238E27FC236}">
              <a16:creationId xmlns:a16="http://schemas.microsoft.com/office/drawing/2014/main" id="{2E153509-91BE-4692-B0C8-F189EB78A68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65" name="Text Box 1">
          <a:extLst>
            <a:ext uri="{FF2B5EF4-FFF2-40B4-BE49-F238E27FC236}">
              <a16:creationId xmlns:a16="http://schemas.microsoft.com/office/drawing/2014/main" id="{E12157B3-0B10-4F3F-9669-AE4CC5B33AF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66" name="Text Box 1">
          <a:extLst>
            <a:ext uri="{FF2B5EF4-FFF2-40B4-BE49-F238E27FC236}">
              <a16:creationId xmlns:a16="http://schemas.microsoft.com/office/drawing/2014/main" id="{D608F938-4731-4F57-B2F2-7189F389657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67" name="Text Box 1">
          <a:extLst>
            <a:ext uri="{FF2B5EF4-FFF2-40B4-BE49-F238E27FC236}">
              <a16:creationId xmlns:a16="http://schemas.microsoft.com/office/drawing/2014/main" id="{9F0D08AD-9327-425E-8C03-241AA067A95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68" name="Text Box 1">
          <a:extLst>
            <a:ext uri="{FF2B5EF4-FFF2-40B4-BE49-F238E27FC236}">
              <a16:creationId xmlns:a16="http://schemas.microsoft.com/office/drawing/2014/main" id="{515149DE-3ADF-4983-9B0D-F9B356C61E0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69" name="Text Box 1">
          <a:extLst>
            <a:ext uri="{FF2B5EF4-FFF2-40B4-BE49-F238E27FC236}">
              <a16:creationId xmlns:a16="http://schemas.microsoft.com/office/drawing/2014/main" id="{3CAE0A08-AFE9-4E2B-8FB7-0975634828F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70" name="Text Box 1">
          <a:extLst>
            <a:ext uri="{FF2B5EF4-FFF2-40B4-BE49-F238E27FC236}">
              <a16:creationId xmlns:a16="http://schemas.microsoft.com/office/drawing/2014/main" id="{00010818-8FCC-4926-9CAC-3B02BAFE6DC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71" name="Text Box 1">
          <a:extLst>
            <a:ext uri="{FF2B5EF4-FFF2-40B4-BE49-F238E27FC236}">
              <a16:creationId xmlns:a16="http://schemas.microsoft.com/office/drawing/2014/main" id="{52852089-AC86-4CC6-BAAD-06F25F4D745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72" name="Text Box 1">
          <a:extLst>
            <a:ext uri="{FF2B5EF4-FFF2-40B4-BE49-F238E27FC236}">
              <a16:creationId xmlns:a16="http://schemas.microsoft.com/office/drawing/2014/main" id="{51413E7D-05C9-4F56-8263-A0653D1BA7E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73" name="Text Box 1">
          <a:extLst>
            <a:ext uri="{FF2B5EF4-FFF2-40B4-BE49-F238E27FC236}">
              <a16:creationId xmlns:a16="http://schemas.microsoft.com/office/drawing/2014/main" id="{CD1EE5C5-50C6-47D0-A0D4-F2B18116BF7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74" name="Text Box 1">
          <a:extLst>
            <a:ext uri="{FF2B5EF4-FFF2-40B4-BE49-F238E27FC236}">
              <a16:creationId xmlns:a16="http://schemas.microsoft.com/office/drawing/2014/main" id="{FFFFDD60-2BEE-4596-BBEA-5A2E6ACEE5E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75" name="Text Box 1">
          <a:extLst>
            <a:ext uri="{FF2B5EF4-FFF2-40B4-BE49-F238E27FC236}">
              <a16:creationId xmlns:a16="http://schemas.microsoft.com/office/drawing/2014/main" id="{9997CF9A-223F-49E5-869B-C2747979C1C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76" name="Text Box 1">
          <a:extLst>
            <a:ext uri="{FF2B5EF4-FFF2-40B4-BE49-F238E27FC236}">
              <a16:creationId xmlns:a16="http://schemas.microsoft.com/office/drawing/2014/main" id="{54BE2C1F-7F91-4A66-AACE-4A0C4AC6385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77" name="Text Box 1">
          <a:extLst>
            <a:ext uri="{FF2B5EF4-FFF2-40B4-BE49-F238E27FC236}">
              <a16:creationId xmlns:a16="http://schemas.microsoft.com/office/drawing/2014/main" id="{E43F5617-F270-4605-8470-06E495D0F67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78" name="Text Box 1">
          <a:extLst>
            <a:ext uri="{FF2B5EF4-FFF2-40B4-BE49-F238E27FC236}">
              <a16:creationId xmlns:a16="http://schemas.microsoft.com/office/drawing/2014/main" id="{254479E9-3108-4B16-9F49-8F8DCA3B41A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79" name="Text Box 1">
          <a:extLst>
            <a:ext uri="{FF2B5EF4-FFF2-40B4-BE49-F238E27FC236}">
              <a16:creationId xmlns:a16="http://schemas.microsoft.com/office/drawing/2014/main" id="{34301DEF-5C41-4C87-AB43-B2C615352A8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80" name="Text Box 1">
          <a:extLst>
            <a:ext uri="{FF2B5EF4-FFF2-40B4-BE49-F238E27FC236}">
              <a16:creationId xmlns:a16="http://schemas.microsoft.com/office/drawing/2014/main" id="{6A23BF67-68DD-4A95-B1A7-6A2E783611C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81" name="Text Box 1">
          <a:extLst>
            <a:ext uri="{FF2B5EF4-FFF2-40B4-BE49-F238E27FC236}">
              <a16:creationId xmlns:a16="http://schemas.microsoft.com/office/drawing/2014/main" id="{12209FA1-ACD9-4494-AB22-CAE342134FE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82" name="Text Box 1">
          <a:extLst>
            <a:ext uri="{FF2B5EF4-FFF2-40B4-BE49-F238E27FC236}">
              <a16:creationId xmlns:a16="http://schemas.microsoft.com/office/drawing/2014/main" id="{ED39BC69-2AFC-498C-BC3F-1266F277256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83" name="Text Box 1">
          <a:extLst>
            <a:ext uri="{FF2B5EF4-FFF2-40B4-BE49-F238E27FC236}">
              <a16:creationId xmlns:a16="http://schemas.microsoft.com/office/drawing/2014/main" id="{B98B936A-FE91-423C-BB63-FC5CC6C6158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84" name="Text Box 1">
          <a:extLst>
            <a:ext uri="{FF2B5EF4-FFF2-40B4-BE49-F238E27FC236}">
              <a16:creationId xmlns:a16="http://schemas.microsoft.com/office/drawing/2014/main" id="{E2FDF90B-6476-4CE6-A3FF-DF0BE0904E2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85" name="Text Box 1">
          <a:extLst>
            <a:ext uri="{FF2B5EF4-FFF2-40B4-BE49-F238E27FC236}">
              <a16:creationId xmlns:a16="http://schemas.microsoft.com/office/drawing/2014/main" id="{19FDA838-168F-46C7-BBA8-A9B7938F2F2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86" name="Text Box 1">
          <a:extLst>
            <a:ext uri="{FF2B5EF4-FFF2-40B4-BE49-F238E27FC236}">
              <a16:creationId xmlns:a16="http://schemas.microsoft.com/office/drawing/2014/main" id="{26FDEA96-782C-4773-8642-3F255BDBADA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87" name="Text Box 1">
          <a:extLst>
            <a:ext uri="{FF2B5EF4-FFF2-40B4-BE49-F238E27FC236}">
              <a16:creationId xmlns:a16="http://schemas.microsoft.com/office/drawing/2014/main" id="{7ACAF4CD-BE4C-4E06-AAB3-1F1730ECEAB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88" name="Text Box 1">
          <a:extLst>
            <a:ext uri="{FF2B5EF4-FFF2-40B4-BE49-F238E27FC236}">
              <a16:creationId xmlns:a16="http://schemas.microsoft.com/office/drawing/2014/main" id="{BE81BCA0-BCEF-4873-B048-3BD9BD41499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89" name="Text Box 1">
          <a:extLst>
            <a:ext uri="{FF2B5EF4-FFF2-40B4-BE49-F238E27FC236}">
              <a16:creationId xmlns:a16="http://schemas.microsoft.com/office/drawing/2014/main" id="{5EDC80E1-C1B8-4FAA-9868-7626BCC8DE1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90" name="Text Box 1">
          <a:extLst>
            <a:ext uri="{FF2B5EF4-FFF2-40B4-BE49-F238E27FC236}">
              <a16:creationId xmlns:a16="http://schemas.microsoft.com/office/drawing/2014/main" id="{C1FEE087-B39C-40EE-9CCE-EA948B95AE7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91" name="Text Box 1">
          <a:extLst>
            <a:ext uri="{FF2B5EF4-FFF2-40B4-BE49-F238E27FC236}">
              <a16:creationId xmlns:a16="http://schemas.microsoft.com/office/drawing/2014/main" id="{FF914873-C734-40DA-BA78-A0C92D8AD59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92" name="Text Box 1">
          <a:extLst>
            <a:ext uri="{FF2B5EF4-FFF2-40B4-BE49-F238E27FC236}">
              <a16:creationId xmlns:a16="http://schemas.microsoft.com/office/drawing/2014/main" id="{E1E1F752-075F-44CF-B615-B21A1EEFD9C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93" name="Text Box 1">
          <a:extLst>
            <a:ext uri="{FF2B5EF4-FFF2-40B4-BE49-F238E27FC236}">
              <a16:creationId xmlns:a16="http://schemas.microsoft.com/office/drawing/2014/main" id="{F09F9F7F-859F-4951-B738-8B24DE11916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94" name="Text Box 1">
          <a:extLst>
            <a:ext uri="{FF2B5EF4-FFF2-40B4-BE49-F238E27FC236}">
              <a16:creationId xmlns:a16="http://schemas.microsoft.com/office/drawing/2014/main" id="{F1B25BFB-0C2D-4F5F-A5E5-430EA2A6212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95" name="Text Box 1">
          <a:extLst>
            <a:ext uri="{FF2B5EF4-FFF2-40B4-BE49-F238E27FC236}">
              <a16:creationId xmlns:a16="http://schemas.microsoft.com/office/drawing/2014/main" id="{5482D1B8-0822-4154-9C11-78D0977209D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96" name="Text Box 1">
          <a:extLst>
            <a:ext uri="{FF2B5EF4-FFF2-40B4-BE49-F238E27FC236}">
              <a16:creationId xmlns:a16="http://schemas.microsoft.com/office/drawing/2014/main" id="{726F8456-EAB8-4CB2-91CF-41A8AA6D3F2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97" name="Text Box 1">
          <a:extLst>
            <a:ext uri="{FF2B5EF4-FFF2-40B4-BE49-F238E27FC236}">
              <a16:creationId xmlns:a16="http://schemas.microsoft.com/office/drawing/2014/main" id="{80C87A5A-DCCE-4F43-86D7-B427D532F6A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98" name="Text Box 1">
          <a:extLst>
            <a:ext uri="{FF2B5EF4-FFF2-40B4-BE49-F238E27FC236}">
              <a16:creationId xmlns:a16="http://schemas.microsoft.com/office/drawing/2014/main" id="{A7C26F50-BDF1-4459-A725-34FF0C1049C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299" name="Text Box 1">
          <a:extLst>
            <a:ext uri="{FF2B5EF4-FFF2-40B4-BE49-F238E27FC236}">
              <a16:creationId xmlns:a16="http://schemas.microsoft.com/office/drawing/2014/main" id="{97D44DC6-6A38-4BC9-93F0-6AA6BAA5FF5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00" name="Text Box 1">
          <a:extLst>
            <a:ext uri="{FF2B5EF4-FFF2-40B4-BE49-F238E27FC236}">
              <a16:creationId xmlns:a16="http://schemas.microsoft.com/office/drawing/2014/main" id="{5A6A0778-334F-4E2E-B57E-A87BB9079E1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01" name="Text Box 1">
          <a:extLst>
            <a:ext uri="{FF2B5EF4-FFF2-40B4-BE49-F238E27FC236}">
              <a16:creationId xmlns:a16="http://schemas.microsoft.com/office/drawing/2014/main" id="{25BF0892-9485-44DC-982D-5AF81EBE981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02" name="Text Box 1">
          <a:extLst>
            <a:ext uri="{FF2B5EF4-FFF2-40B4-BE49-F238E27FC236}">
              <a16:creationId xmlns:a16="http://schemas.microsoft.com/office/drawing/2014/main" id="{18409501-C2B0-4C7E-91F6-33178656821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03" name="Text Box 1">
          <a:extLst>
            <a:ext uri="{FF2B5EF4-FFF2-40B4-BE49-F238E27FC236}">
              <a16:creationId xmlns:a16="http://schemas.microsoft.com/office/drawing/2014/main" id="{B305A0A0-630E-4C15-B52B-23491C405F2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04" name="Text Box 1">
          <a:extLst>
            <a:ext uri="{FF2B5EF4-FFF2-40B4-BE49-F238E27FC236}">
              <a16:creationId xmlns:a16="http://schemas.microsoft.com/office/drawing/2014/main" id="{024260F8-DCA7-4FF2-80A3-98A64A4ACD6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05" name="Text Box 1">
          <a:extLst>
            <a:ext uri="{FF2B5EF4-FFF2-40B4-BE49-F238E27FC236}">
              <a16:creationId xmlns:a16="http://schemas.microsoft.com/office/drawing/2014/main" id="{190C440A-9482-48E3-B5E9-68AEE427298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06" name="Text Box 1">
          <a:extLst>
            <a:ext uri="{FF2B5EF4-FFF2-40B4-BE49-F238E27FC236}">
              <a16:creationId xmlns:a16="http://schemas.microsoft.com/office/drawing/2014/main" id="{3D0764F8-C8B4-441E-8CDD-A0C0BE8DEF1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07" name="Text Box 1">
          <a:extLst>
            <a:ext uri="{FF2B5EF4-FFF2-40B4-BE49-F238E27FC236}">
              <a16:creationId xmlns:a16="http://schemas.microsoft.com/office/drawing/2014/main" id="{EB7B6951-7FE2-4227-BD8E-9EE7A445F2B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08" name="Text Box 1">
          <a:extLst>
            <a:ext uri="{FF2B5EF4-FFF2-40B4-BE49-F238E27FC236}">
              <a16:creationId xmlns:a16="http://schemas.microsoft.com/office/drawing/2014/main" id="{7A9C4766-F33E-43DA-9FF9-59797AD5D34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09" name="Text Box 1">
          <a:extLst>
            <a:ext uri="{FF2B5EF4-FFF2-40B4-BE49-F238E27FC236}">
              <a16:creationId xmlns:a16="http://schemas.microsoft.com/office/drawing/2014/main" id="{71770C7F-0BB1-417D-9405-E4D0E394DE9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10" name="Text Box 1">
          <a:extLst>
            <a:ext uri="{FF2B5EF4-FFF2-40B4-BE49-F238E27FC236}">
              <a16:creationId xmlns:a16="http://schemas.microsoft.com/office/drawing/2014/main" id="{E07B4017-810F-4139-BDBB-4F2035B4590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11" name="Text Box 1">
          <a:extLst>
            <a:ext uri="{FF2B5EF4-FFF2-40B4-BE49-F238E27FC236}">
              <a16:creationId xmlns:a16="http://schemas.microsoft.com/office/drawing/2014/main" id="{D7246CC3-1AA1-41F0-9059-F988AF01D62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12" name="Text Box 1">
          <a:extLst>
            <a:ext uri="{FF2B5EF4-FFF2-40B4-BE49-F238E27FC236}">
              <a16:creationId xmlns:a16="http://schemas.microsoft.com/office/drawing/2014/main" id="{DDDEF6AA-F24B-4502-AAC6-A71568D45EF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13" name="Text Box 1">
          <a:extLst>
            <a:ext uri="{FF2B5EF4-FFF2-40B4-BE49-F238E27FC236}">
              <a16:creationId xmlns:a16="http://schemas.microsoft.com/office/drawing/2014/main" id="{5181FD8D-C45C-4A5D-A1FA-1C18CCB449E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14" name="Text Box 1">
          <a:extLst>
            <a:ext uri="{FF2B5EF4-FFF2-40B4-BE49-F238E27FC236}">
              <a16:creationId xmlns:a16="http://schemas.microsoft.com/office/drawing/2014/main" id="{DA4A747B-A16D-4012-A71A-0A5F2C77C9A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15" name="Text Box 1">
          <a:extLst>
            <a:ext uri="{FF2B5EF4-FFF2-40B4-BE49-F238E27FC236}">
              <a16:creationId xmlns:a16="http://schemas.microsoft.com/office/drawing/2014/main" id="{B67E7E7C-5B59-40B2-BA13-2B2F855F6F2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16" name="Text Box 1">
          <a:extLst>
            <a:ext uri="{FF2B5EF4-FFF2-40B4-BE49-F238E27FC236}">
              <a16:creationId xmlns:a16="http://schemas.microsoft.com/office/drawing/2014/main" id="{04205EE4-8C9C-4420-9C6A-7C50EA7415F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17" name="Text Box 1">
          <a:extLst>
            <a:ext uri="{FF2B5EF4-FFF2-40B4-BE49-F238E27FC236}">
              <a16:creationId xmlns:a16="http://schemas.microsoft.com/office/drawing/2014/main" id="{F0765722-15F4-4ED5-A8EF-8B4AD66BE1E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18" name="Text Box 1">
          <a:extLst>
            <a:ext uri="{FF2B5EF4-FFF2-40B4-BE49-F238E27FC236}">
              <a16:creationId xmlns:a16="http://schemas.microsoft.com/office/drawing/2014/main" id="{BA2F54F6-8A33-4B65-AD78-22FEC4BC280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19" name="Text Box 1">
          <a:extLst>
            <a:ext uri="{FF2B5EF4-FFF2-40B4-BE49-F238E27FC236}">
              <a16:creationId xmlns:a16="http://schemas.microsoft.com/office/drawing/2014/main" id="{F57E0E60-997B-48AA-A1C6-173556D3727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20" name="Text Box 1">
          <a:extLst>
            <a:ext uri="{FF2B5EF4-FFF2-40B4-BE49-F238E27FC236}">
              <a16:creationId xmlns:a16="http://schemas.microsoft.com/office/drawing/2014/main" id="{5AE5C682-8FF8-4FEA-888C-D15B69215B2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21" name="Text Box 1">
          <a:extLst>
            <a:ext uri="{FF2B5EF4-FFF2-40B4-BE49-F238E27FC236}">
              <a16:creationId xmlns:a16="http://schemas.microsoft.com/office/drawing/2014/main" id="{5F640D46-7087-4E4A-BB63-0D7C82545F5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22" name="Text Box 1">
          <a:extLst>
            <a:ext uri="{FF2B5EF4-FFF2-40B4-BE49-F238E27FC236}">
              <a16:creationId xmlns:a16="http://schemas.microsoft.com/office/drawing/2014/main" id="{CA5A9E91-CA62-49A9-9164-D1379C4DBBA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23" name="Text Box 1">
          <a:extLst>
            <a:ext uri="{FF2B5EF4-FFF2-40B4-BE49-F238E27FC236}">
              <a16:creationId xmlns:a16="http://schemas.microsoft.com/office/drawing/2014/main" id="{1F3486DF-E09F-4CD4-B432-B5F9EF2B770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24" name="Text Box 1">
          <a:extLst>
            <a:ext uri="{FF2B5EF4-FFF2-40B4-BE49-F238E27FC236}">
              <a16:creationId xmlns:a16="http://schemas.microsoft.com/office/drawing/2014/main" id="{7574BDCA-91AD-4D94-A6B0-87859CC0263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25" name="Text Box 1">
          <a:extLst>
            <a:ext uri="{FF2B5EF4-FFF2-40B4-BE49-F238E27FC236}">
              <a16:creationId xmlns:a16="http://schemas.microsoft.com/office/drawing/2014/main" id="{1B8278CB-DD14-4E18-85AE-52FB00C91F3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26" name="Text Box 1">
          <a:extLst>
            <a:ext uri="{FF2B5EF4-FFF2-40B4-BE49-F238E27FC236}">
              <a16:creationId xmlns:a16="http://schemas.microsoft.com/office/drawing/2014/main" id="{39972D60-78B7-4612-BB9A-B712F900867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27" name="Text Box 1">
          <a:extLst>
            <a:ext uri="{FF2B5EF4-FFF2-40B4-BE49-F238E27FC236}">
              <a16:creationId xmlns:a16="http://schemas.microsoft.com/office/drawing/2014/main" id="{67E87FA4-0D15-45E4-AC95-C57FF0D2B95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28" name="Text Box 1">
          <a:extLst>
            <a:ext uri="{FF2B5EF4-FFF2-40B4-BE49-F238E27FC236}">
              <a16:creationId xmlns:a16="http://schemas.microsoft.com/office/drawing/2014/main" id="{424BA560-6923-4A2D-8BA5-B5D71F994FC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29" name="Text Box 1">
          <a:extLst>
            <a:ext uri="{FF2B5EF4-FFF2-40B4-BE49-F238E27FC236}">
              <a16:creationId xmlns:a16="http://schemas.microsoft.com/office/drawing/2014/main" id="{1ABC0777-8BDA-4C7E-A05A-A8F05FCDB6C1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30" name="Text Box 1">
          <a:extLst>
            <a:ext uri="{FF2B5EF4-FFF2-40B4-BE49-F238E27FC236}">
              <a16:creationId xmlns:a16="http://schemas.microsoft.com/office/drawing/2014/main" id="{6FAD8AA8-166A-4D3F-A893-7887CC29287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31" name="Text Box 1">
          <a:extLst>
            <a:ext uri="{FF2B5EF4-FFF2-40B4-BE49-F238E27FC236}">
              <a16:creationId xmlns:a16="http://schemas.microsoft.com/office/drawing/2014/main" id="{25AB8889-FE5D-43B1-AC23-016613903AA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32" name="Text Box 1">
          <a:extLst>
            <a:ext uri="{FF2B5EF4-FFF2-40B4-BE49-F238E27FC236}">
              <a16:creationId xmlns:a16="http://schemas.microsoft.com/office/drawing/2014/main" id="{F8424C4D-B96B-4F22-A2BC-158CDE61905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33" name="Text Box 1">
          <a:extLst>
            <a:ext uri="{FF2B5EF4-FFF2-40B4-BE49-F238E27FC236}">
              <a16:creationId xmlns:a16="http://schemas.microsoft.com/office/drawing/2014/main" id="{9330888B-3702-41E0-8546-070E352BD5B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34" name="Text Box 1">
          <a:extLst>
            <a:ext uri="{FF2B5EF4-FFF2-40B4-BE49-F238E27FC236}">
              <a16:creationId xmlns:a16="http://schemas.microsoft.com/office/drawing/2014/main" id="{EA1B5C6E-0BCB-494C-94B4-5F122EF0FF4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35" name="Text Box 1">
          <a:extLst>
            <a:ext uri="{FF2B5EF4-FFF2-40B4-BE49-F238E27FC236}">
              <a16:creationId xmlns:a16="http://schemas.microsoft.com/office/drawing/2014/main" id="{D271756B-B0E4-4875-94A2-2A3F9518D0E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36" name="Text Box 1">
          <a:extLst>
            <a:ext uri="{FF2B5EF4-FFF2-40B4-BE49-F238E27FC236}">
              <a16:creationId xmlns:a16="http://schemas.microsoft.com/office/drawing/2014/main" id="{881FB7BD-D2B8-4F0F-97A5-DE9A2E010E4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37" name="Text Box 1">
          <a:extLst>
            <a:ext uri="{FF2B5EF4-FFF2-40B4-BE49-F238E27FC236}">
              <a16:creationId xmlns:a16="http://schemas.microsoft.com/office/drawing/2014/main" id="{F2BE239B-D754-44BC-A213-A1A7310A510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38" name="Text Box 1">
          <a:extLst>
            <a:ext uri="{FF2B5EF4-FFF2-40B4-BE49-F238E27FC236}">
              <a16:creationId xmlns:a16="http://schemas.microsoft.com/office/drawing/2014/main" id="{86E7BC7D-5B99-4775-9332-35B2A3D70DB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39" name="Text Box 1">
          <a:extLst>
            <a:ext uri="{FF2B5EF4-FFF2-40B4-BE49-F238E27FC236}">
              <a16:creationId xmlns:a16="http://schemas.microsoft.com/office/drawing/2014/main" id="{8EBBC912-6480-4699-B31C-AFDD447DD3A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40" name="Text Box 1">
          <a:extLst>
            <a:ext uri="{FF2B5EF4-FFF2-40B4-BE49-F238E27FC236}">
              <a16:creationId xmlns:a16="http://schemas.microsoft.com/office/drawing/2014/main" id="{F9E38B52-E3AA-4663-AFCE-A84ABBED4C5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41" name="Text Box 1">
          <a:extLst>
            <a:ext uri="{FF2B5EF4-FFF2-40B4-BE49-F238E27FC236}">
              <a16:creationId xmlns:a16="http://schemas.microsoft.com/office/drawing/2014/main" id="{406EC289-07E2-4135-AC21-1F9940EB699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42" name="Text Box 1">
          <a:extLst>
            <a:ext uri="{FF2B5EF4-FFF2-40B4-BE49-F238E27FC236}">
              <a16:creationId xmlns:a16="http://schemas.microsoft.com/office/drawing/2014/main" id="{529F30B6-D735-4841-B446-1B61710BA2D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43" name="Text Box 1">
          <a:extLst>
            <a:ext uri="{FF2B5EF4-FFF2-40B4-BE49-F238E27FC236}">
              <a16:creationId xmlns:a16="http://schemas.microsoft.com/office/drawing/2014/main" id="{743543E1-647E-4977-A247-EFABFA0C205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44" name="Text Box 1">
          <a:extLst>
            <a:ext uri="{FF2B5EF4-FFF2-40B4-BE49-F238E27FC236}">
              <a16:creationId xmlns:a16="http://schemas.microsoft.com/office/drawing/2014/main" id="{C8F8126C-C0F0-41EB-B76E-5082AEA2898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45" name="Text Box 1">
          <a:extLst>
            <a:ext uri="{FF2B5EF4-FFF2-40B4-BE49-F238E27FC236}">
              <a16:creationId xmlns:a16="http://schemas.microsoft.com/office/drawing/2014/main" id="{59A13B53-F2F5-408E-B5F1-D10C0F95EBE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46" name="Text Box 1">
          <a:extLst>
            <a:ext uri="{FF2B5EF4-FFF2-40B4-BE49-F238E27FC236}">
              <a16:creationId xmlns:a16="http://schemas.microsoft.com/office/drawing/2014/main" id="{A856BEC6-8080-441A-810F-0291723A883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47" name="Text Box 1">
          <a:extLst>
            <a:ext uri="{FF2B5EF4-FFF2-40B4-BE49-F238E27FC236}">
              <a16:creationId xmlns:a16="http://schemas.microsoft.com/office/drawing/2014/main" id="{07B4559C-A340-4962-8930-ABCC68B8FAB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48" name="Text Box 1">
          <a:extLst>
            <a:ext uri="{FF2B5EF4-FFF2-40B4-BE49-F238E27FC236}">
              <a16:creationId xmlns:a16="http://schemas.microsoft.com/office/drawing/2014/main" id="{B2925421-F650-443A-B730-C6039443089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49" name="Text Box 1">
          <a:extLst>
            <a:ext uri="{FF2B5EF4-FFF2-40B4-BE49-F238E27FC236}">
              <a16:creationId xmlns:a16="http://schemas.microsoft.com/office/drawing/2014/main" id="{03CABA07-79C1-467F-8B3B-2B9A5146A29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50" name="Text Box 1">
          <a:extLst>
            <a:ext uri="{FF2B5EF4-FFF2-40B4-BE49-F238E27FC236}">
              <a16:creationId xmlns:a16="http://schemas.microsoft.com/office/drawing/2014/main" id="{4829E4E0-0072-430F-9DAD-7888E8A36CF5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51" name="Text Box 1">
          <a:extLst>
            <a:ext uri="{FF2B5EF4-FFF2-40B4-BE49-F238E27FC236}">
              <a16:creationId xmlns:a16="http://schemas.microsoft.com/office/drawing/2014/main" id="{17382BE0-F21F-42C8-B99B-7B6053B1CA0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52" name="Text Box 1">
          <a:extLst>
            <a:ext uri="{FF2B5EF4-FFF2-40B4-BE49-F238E27FC236}">
              <a16:creationId xmlns:a16="http://schemas.microsoft.com/office/drawing/2014/main" id="{24F3D081-2454-4C2A-B6AA-B814011F8893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53" name="Text Box 1">
          <a:extLst>
            <a:ext uri="{FF2B5EF4-FFF2-40B4-BE49-F238E27FC236}">
              <a16:creationId xmlns:a16="http://schemas.microsoft.com/office/drawing/2014/main" id="{954CD5D9-461B-454A-B020-A299CA757CA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54" name="Text Box 1">
          <a:extLst>
            <a:ext uri="{FF2B5EF4-FFF2-40B4-BE49-F238E27FC236}">
              <a16:creationId xmlns:a16="http://schemas.microsoft.com/office/drawing/2014/main" id="{E7B65C28-BD73-4611-9588-71F5B6A53E0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55" name="Text Box 1">
          <a:extLst>
            <a:ext uri="{FF2B5EF4-FFF2-40B4-BE49-F238E27FC236}">
              <a16:creationId xmlns:a16="http://schemas.microsoft.com/office/drawing/2014/main" id="{020DD4B9-6C47-4424-8369-FA29EA88DDD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56" name="Text Box 1">
          <a:extLst>
            <a:ext uri="{FF2B5EF4-FFF2-40B4-BE49-F238E27FC236}">
              <a16:creationId xmlns:a16="http://schemas.microsoft.com/office/drawing/2014/main" id="{63A9449B-E75E-49ED-B59F-9B7927E0F9E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57" name="Text Box 1">
          <a:extLst>
            <a:ext uri="{FF2B5EF4-FFF2-40B4-BE49-F238E27FC236}">
              <a16:creationId xmlns:a16="http://schemas.microsoft.com/office/drawing/2014/main" id="{200330FF-801E-46A7-A50A-449F969BD99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58" name="Text Box 1">
          <a:extLst>
            <a:ext uri="{FF2B5EF4-FFF2-40B4-BE49-F238E27FC236}">
              <a16:creationId xmlns:a16="http://schemas.microsoft.com/office/drawing/2014/main" id="{0A8A37B6-15C4-4BDE-ACE8-FC456B113C7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59" name="Text Box 1">
          <a:extLst>
            <a:ext uri="{FF2B5EF4-FFF2-40B4-BE49-F238E27FC236}">
              <a16:creationId xmlns:a16="http://schemas.microsoft.com/office/drawing/2014/main" id="{0D0FA448-F9A2-47B8-A40C-EBE8E868C9F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60" name="Text Box 1">
          <a:extLst>
            <a:ext uri="{FF2B5EF4-FFF2-40B4-BE49-F238E27FC236}">
              <a16:creationId xmlns:a16="http://schemas.microsoft.com/office/drawing/2014/main" id="{AB47AA02-8266-4312-82BA-236DF930D70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61" name="Text Box 1">
          <a:extLst>
            <a:ext uri="{FF2B5EF4-FFF2-40B4-BE49-F238E27FC236}">
              <a16:creationId xmlns:a16="http://schemas.microsoft.com/office/drawing/2014/main" id="{435BD811-F01B-4612-A4B8-DA6DF3D436C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62" name="Text Box 1">
          <a:extLst>
            <a:ext uri="{FF2B5EF4-FFF2-40B4-BE49-F238E27FC236}">
              <a16:creationId xmlns:a16="http://schemas.microsoft.com/office/drawing/2014/main" id="{D65CCA4C-03F0-4F3A-B41A-1911647363E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63" name="Text Box 1">
          <a:extLst>
            <a:ext uri="{FF2B5EF4-FFF2-40B4-BE49-F238E27FC236}">
              <a16:creationId xmlns:a16="http://schemas.microsoft.com/office/drawing/2014/main" id="{A1A15A0C-3575-43F1-9B51-2D240DB58A8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64" name="Text Box 1">
          <a:extLst>
            <a:ext uri="{FF2B5EF4-FFF2-40B4-BE49-F238E27FC236}">
              <a16:creationId xmlns:a16="http://schemas.microsoft.com/office/drawing/2014/main" id="{53E887AD-E676-4248-9B74-764E36AE961F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65" name="Text Box 1">
          <a:extLst>
            <a:ext uri="{FF2B5EF4-FFF2-40B4-BE49-F238E27FC236}">
              <a16:creationId xmlns:a16="http://schemas.microsoft.com/office/drawing/2014/main" id="{3F29D1E5-7F8C-47BE-88C8-6C81C476EAA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66" name="Text Box 1">
          <a:extLst>
            <a:ext uri="{FF2B5EF4-FFF2-40B4-BE49-F238E27FC236}">
              <a16:creationId xmlns:a16="http://schemas.microsoft.com/office/drawing/2014/main" id="{6C81B795-2715-4D34-8DD0-6D249830FD1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67" name="Text Box 1">
          <a:extLst>
            <a:ext uri="{FF2B5EF4-FFF2-40B4-BE49-F238E27FC236}">
              <a16:creationId xmlns:a16="http://schemas.microsoft.com/office/drawing/2014/main" id="{271EF204-0AC9-4BF4-9FEC-E2FF9DC72677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68" name="Text Box 1">
          <a:extLst>
            <a:ext uri="{FF2B5EF4-FFF2-40B4-BE49-F238E27FC236}">
              <a16:creationId xmlns:a16="http://schemas.microsoft.com/office/drawing/2014/main" id="{71AC726E-1471-4576-AFA8-099CF64CA516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69" name="Text Box 1">
          <a:extLst>
            <a:ext uri="{FF2B5EF4-FFF2-40B4-BE49-F238E27FC236}">
              <a16:creationId xmlns:a16="http://schemas.microsoft.com/office/drawing/2014/main" id="{F7FDD92A-D476-4100-8200-BF45010685D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70" name="Text Box 1">
          <a:extLst>
            <a:ext uri="{FF2B5EF4-FFF2-40B4-BE49-F238E27FC236}">
              <a16:creationId xmlns:a16="http://schemas.microsoft.com/office/drawing/2014/main" id="{B0C4601F-52BD-4C8F-BB27-BE49427BBAA4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71" name="Text Box 1">
          <a:extLst>
            <a:ext uri="{FF2B5EF4-FFF2-40B4-BE49-F238E27FC236}">
              <a16:creationId xmlns:a16="http://schemas.microsoft.com/office/drawing/2014/main" id="{B5C24883-D095-424F-95ED-93EBB5557B7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72" name="Text Box 1">
          <a:extLst>
            <a:ext uri="{FF2B5EF4-FFF2-40B4-BE49-F238E27FC236}">
              <a16:creationId xmlns:a16="http://schemas.microsoft.com/office/drawing/2014/main" id="{EAF54C4F-1B4A-4ADF-8850-F244C02D554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73" name="Text Box 1">
          <a:extLst>
            <a:ext uri="{FF2B5EF4-FFF2-40B4-BE49-F238E27FC236}">
              <a16:creationId xmlns:a16="http://schemas.microsoft.com/office/drawing/2014/main" id="{B303CBD7-9BE9-4710-A7F3-738DC8D7F169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74" name="Text Box 1">
          <a:extLst>
            <a:ext uri="{FF2B5EF4-FFF2-40B4-BE49-F238E27FC236}">
              <a16:creationId xmlns:a16="http://schemas.microsoft.com/office/drawing/2014/main" id="{B1FDE06F-29EF-4768-82F7-930150369482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75" name="Text Box 1">
          <a:extLst>
            <a:ext uri="{FF2B5EF4-FFF2-40B4-BE49-F238E27FC236}">
              <a16:creationId xmlns:a16="http://schemas.microsoft.com/office/drawing/2014/main" id="{A82D63F4-5517-482E-84D1-F17542342F58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76" name="Text Box 1">
          <a:extLst>
            <a:ext uri="{FF2B5EF4-FFF2-40B4-BE49-F238E27FC236}">
              <a16:creationId xmlns:a16="http://schemas.microsoft.com/office/drawing/2014/main" id="{BFB8B57D-A251-4140-A36D-D47D4A357220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77" name="Text Box 1">
          <a:extLst>
            <a:ext uri="{FF2B5EF4-FFF2-40B4-BE49-F238E27FC236}">
              <a16:creationId xmlns:a16="http://schemas.microsoft.com/office/drawing/2014/main" id="{1B9CDDDE-2AB2-451B-9635-3D561EDD38EE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78" name="Text Box 1">
          <a:extLst>
            <a:ext uri="{FF2B5EF4-FFF2-40B4-BE49-F238E27FC236}">
              <a16:creationId xmlns:a16="http://schemas.microsoft.com/office/drawing/2014/main" id="{D308DDFA-53B8-43DF-BA83-56A90EC89F2A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79" name="Text Box 1">
          <a:extLst>
            <a:ext uri="{FF2B5EF4-FFF2-40B4-BE49-F238E27FC236}">
              <a16:creationId xmlns:a16="http://schemas.microsoft.com/office/drawing/2014/main" id="{9531C3E3-CACF-4CBC-BEC5-D0AAB4A2000B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80" name="Text Box 1">
          <a:extLst>
            <a:ext uri="{FF2B5EF4-FFF2-40B4-BE49-F238E27FC236}">
              <a16:creationId xmlns:a16="http://schemas.microsoft.com/office/drawing/2014/main" id="{E70FE10A-2192-47CE-865F-11F60906A52D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81" name="Text Box 1">
          <a:extLst>
            <a:ext uri="{FF2B5EF4-FFF2-40B4-BE49-F238E27FC236}">
              <a16:creationId xmlns:a16="http://schemas.microsoft.com/office/drawing/2014/main" id="{7B0171D1-578A-4C6A-B867-9A7C093106C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47</xdr:row>
      <xdr:rowOff>0</xdr:rowOff>
    </xdr:from>
    <xdr:ext cx="247650" cy="85725"/>
    <xdr:sp macro="" textlink="">
      <xdr:nvSpPr>
        <xdr:cNvPr id="14382" name="Text Box 1">
          <a:extLst>
            <a:ext uri="{FF2B5EF4-FFF2-40B4-BE49-F238E27FC236}">
              <a16:creationId xmlns:a16="http://schemas.microsoft.com/office/drawing/2014/main" id="{71FCEC8A-5D77-4982-9777-D51BC3DE108C}"/>
            </a:ext>
          </a:extLst>
        </xdr:cNvPr>
        <xdr:cNvSpPr txBox="1">
          <a:spLocks noChangeArrowheads="1"/>
        </xdr:cNvSpPr>
      </xdr:nvSpPr>
      <xdr:spPr bwMode="auto">
        <a:xfrm>
          <a:off x="26530300" y="12128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565150</xdr:colOff>
      <xdr:row>47</xdr:row>
      <xdr:rowOff>152400</xdr:rowOff>
    </xdr:from>
    <xdr:ext cx="247650" cy="85725"/>
    <xdr:sp macro="" textlink="">
      <xdr:nvSpPr>
        <xdr:cNvPr id="14383" name="Text Box 1">
          <a:extLst>
            <a:ext uri="{FF2B5EF4-FFF2-40B4-BE49-F238E27FC236}">
              <a16:creationId xmlns:a16="http://schemas.microsoft.com/office/drawing/2014/main" id="{64BF5F16-053E-4DF7-A769-E672B4742A8A}"/>
            </a:ext>
          </a:extLst>
        </xdr:cNvPr>
        <xdr:cNvSpPr txBox="1">
          <a:spLocks noChangeArrowheads="1"/>
        </xdr:cNvSpPr>
      </xdr:nvSpPr>
      <xdr:spPr bwMode="auto">
        <a:xfrm>
          <a:off x="15557500" y="13652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21</xdr:col>
      <xdr:colOff>565150</xdr:colOff>
      <xdr:row>47</xdr:row>
      <xdr:rowOff>152400</xdr:rowOff>
    </xdr:from>
    <xdr:ext cx="247650" cy="85725"/>
    <xdr:sp macro="" textlink="">
      <xdr:nvSpPr>
        <xdr:cNvPr id="14384" name="Text Box 1">
          <a:extLst>
            <a:ext uri="{FF2B5EF4-FFF2-40B4-BE49-F238E27FC236}">
              <a16:creationId xmlns:a16="http://schemas.microsoft.com/office/drawing/2014/main" id="{AE94F624-DFDD-4FB1-86B4-66D9724E316A}"/>
            </a:ext>
          </a:extLst>
        </xdr:cNvPr>
        <xdr:cNvSpPr txBox="1">
          <a:spLocks noChangeArrowheads="1"/>
        </xdr:cNvSpPr>
      </xdr:nvSpPr>
      <xdr:spPr bwMode="auto">
        <a:xfrm>
          <a:off x="15906750" y="13652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565150</xdr:colOff>
      <xdr:row>47</xdr:row>
      <xdr:rowOff>152400</xdr:rowOff>
    </xdr:from>
    <xdr:ext cx="247650" cy="85725"/>
    <xdr:sp macro="" textlink="">
      <xdr:nvSpPr>
        <xdr:cNvPr id="14385" name="Text Box 1">
          <a:extLst>
            <a:ext uri="{FF2B5EF4-FFF2-40B4-BE49-F238E27FC236}">
              <a16:creationId xmlns:a16="http://schemas.microsoft.com/office/drawing/2014/main" id="{69B75625-0AC2-4BD0-844D-57D1C1363021}"/>
            </a:ext>
          </a:extLst>
        </xdr:cNvPr>
        <xdr:cNvSpPr txBox="1">
          <a:spLocks noChangeArrowheads="1"/>
        </xdr:cNvSpPr>
      </xdr:nvSpPr>
      <xdr:spPr bwMode="auto">
        <a:xfrm>
          <a:off x="17049750" y="13652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24</xdr:col>
      <xdr:colOff>565150</xdr:colOff>
      <xdr:row>47</xdr:row>
      <xdr:rowOff>152400</xdr:rowOff>
    </xdr:from>
    <xdr:ext cx="247650" cy="85725"/>
    <xdr:sp macro="" textlink="">
      <xdr:nvSpPr>
        <xdr:cNvPr id="14386" name="Text Box 1">
          <a:extLst>
            <a:ext uri="{FF2B5EF4-FFF2-40B4-BE49-F238E27FC236}">
              <a16:creationId xmlns:a16="http://schemas.microsoft.com/office/drawing/2014/main" id="{B55CF88A-140E-44A8-919B-7B744C84D233}"/>
            </a:ext>
          </a:extLst>
        </xdr:cNvPr>
        <xdr:cNvSpPr txBox="1">
          <a:spLocks noChangeArrowheads="1"/>
        </xdr:cNvSpPr>
      </xdr:nvSpPr>
      <xdr:spPr bwMode="auto">
        <a:xfrm>
          <a:off x="17614900" y="13652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25</xdr:col>
      <xdr:colOff>565150</xdr:colOff>
      <xdr:row>47</xdr:row>
      <xdr:rowOff>152400</xdr:rowOff>
    </xdr:from>
    <xdr:ext cx="247650" cy="85725"/>
    <xdr:sp macro="" textlink="">
      <xdr:nvSpPr>
        <xdr:cNvPr id="14387" name="Text Box 1">
          <a:extLst>
            <a:ext uri="{FF2B5EF4-FFF2-40B4-BE49-F238E27FC236}">
              <a16:creationId xmlns:a16="http://schemas.microsoft.com/office/drawing/2014/main" id="{8306BAFD-693D-42B2-BD39-C69E15E3C2EA}"/>
            </a:ext>
          </a:extLst>
        </xdr:cNvPr>
        <xdr:cNvSpPr txBox="1">
          <a:spLocks noChangeArrowheads="1"/>
        </xdr:cNvSpPr>
      </xdr:nvSpPr>
      <xdr:spPr bwMode="auto">
        <a:xfrm>
          <a:off x="18243550" y="13652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26</xdr:col>
      <xdr:colOff>565150</xdr:colOff>
      <xdr:row>47</xdr:row>
      <xdr:rowOff>152400</xdr:rowOff>
    </xdr:from>
    <xdr:ext cx="247650" cy="85725"/>
    <xdr:sp macro="" textlink="">
      <xdr:nvSpPr>
        <xdr:cNvPr id="14388" name="Text Box 1">
          <a:extLst>
            <a:ext uri="{FF2B5EF4-FFF2-40B4-BE49-F238E27FC236}">
              <a16:creationId xmlns:a16="http://schemas.microsoft.com/office/drawing/2014/main" id="{71355A16-839A-43DA-805B-83C37ACF03B7}"/>
            </a:ext>
          </a:extLst>
        </xdr:cNvPr>
        <xdr:cNvSpPr txBox="1">
          <a:spLocks noChangeArrowheads="1"/>
        </xdr:cNvSpPr>
      </xdr:nvSpPr>
      <xdr:spPr bwMode="auto">
        <a:xfrm>
          <a:off x="18764250" y="13652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565150</xdr:colOff>
      <xdr:row>47</xdr:row>
      <xdr:rowOff>152400</xdr:rowOff>
    </xdr:from>
    <xdr:ext cx="247650" cy="85725"/>
    <xdr:sp macro="" textlink="">
      <xdr:nvSpPr>
        <xdr:cNvPr id="14389" name="Text Box 1">
          <a:extLst>
            <a:ext uri="{FF2B5EF4-FFF2-40B4-BE49-F238E27FC236}">
              <a16:creationId xmlns:a16="http://schemas.microsoft.com/office/drawing/2014/main" id="{34FAA762-F390-4C59-BEE4-59B81451029B}"/>
            </a:ext>
          </a:extLst>
        </xdr:cNvPr>
        <xdr:cNvSpPr txBox="1">
          <a:spLocks noChangeArrowheads="1"/>
        </xdr:cNvSpPr>
      </xdr:nvSpPr>
      <xdr:spPr bwMode="auto">
        <a:xfrm>
          <a:off x="19304000" y="13652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565150</xdr:colOff>
      <xdr:row>47</xdr:row>
      <xdr:rowOff>152400</xdr:rowOff>
    </xdr:from>
    <xdr:ext cx="247650" cy="85725"/>
    <xdr:sp macro="" textlink="">
      <xdr:nvSpPr>
        <xdr:cNvPr id="14390" name="Text Box 1">
          <a:extLst>
            <a:ext uri="{FF2B5EF4-FFF2-40B4-BE49-F238E27FC236}">
              <a16:creationId xmlns:a16="http://schemas.microsoft.com/office/drawing/2014/main" id="{11591318-7D63-4821-8A56-71A6C89E69A5}"/>
            </a:ext>
          </a:extLst>
        </xdr:cNvPr>
        <xdr:cNvSpPr txBox="1">
          <a:spLocks noChangeArrowheads="1"/>
        </xdr:cNvSpPr>
      </xdr:nvSpPr>
      <xdr:spPr bwMode="auto">
        <a:xfrm>
          <a:off x="20408900" y="13652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565150</xdr:colOff>
      <xdr:row>47</xdr:row>
      <xdr:rowOff>152400</xdr:rowOff>
    </xdr:from>
    <xdr:ext cx="247650" cy="85725"/>
    <xdr:sp macro="" textlink="">
      <xdr:nvSpPr>
        <xdr:cNvPr id="14391" name="Text Box 1">
          <a:extLst>
            <a:ext uri="{FF2B5EF4-FFF2-40B4-BE49-F238E27FC236}">
              <a16:creationId xmlns:a16="http://schemas.microsoft.com/office/drawing/2014/main" id="{B741CBDB-BE5A-4779-A087-CD9838FDA22A}"/>
            </a:ext>
          </a:extLst>
        </xdr:cNvPr>
        <xdr:cNvSpPr txBox="1">
          <a:spLocks noChangeArrowheads="1"/>
        </xdr:cNvSpPr>
      </xdr:nvSpPr>
      <xdr:spPr bwMode="auto">
        <a:xfrm>
          <a:off x="21062950" y="13652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31</xdr:col>
      <xdr:colOff>565150</xdr:colOff>
      <xdr:row>47</xdr:row>
      <xdr:rowOff>152400</xdr:rowOff>
    </xdr:from>
    <xdr:ext cx="247650" cy="85725"/>
    <xdr:sp macro="" textlink="">
      <xdr:nvSpPr>
        <xdr:cNvPr id="14392" name="Text Box 1">
          <a:extLst>
            <a:ext uri="{FF2B5EF4-FFF2-40B4-BE49-F238E27FC236}">
              <a16:creationId xmlns:a16="http://schemas.microsoft.com/office/drawing/2014/main" id="{4CDDA0FC-B95F-4680-B226-012A5CEF5CE6}"/>
            </a:ext>
          </a:extLst>
        </xdr:cNvPr>
        <xdr:cNvSpPr txBox="1">
          <a:spLocks noChangeArrowheads="1"/>
        </xdr:cNvSpPr>
      </xdr:nvSpPr>
      <xdr:spPr bwMode="auto">
        <a:xfrm>
          <a:off x="21678900" y="13652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32</xdr:col>
      <xdr:colOff>565150</xdr:colOff>
      <xdr:row>47</xdr:row>
      <xdr:rowOff>152400</xdr:rowOff>
    </xdr:from>
    <xdr:ext cx="247650" cy="85725"/>
    <xdr:sp macro="" textlink="">
      <xdr:nvSpPr>
        <xdr:cNvPr id="14393" name="Text Box 1">
          <a:extLst>
            <a:ext uri="{FF2B5EF4-FFF2-40B4-BE49-F238E27FC236}">
              <a16:creationId xmlns:a16="http://schemas.microsoft.com/office/drawing/2014/main" id="{F6E9DE3E-EE2E-421E-A6BD-88224FB8A50E}"/>
            </a:ext>
          </a:extLst>
        </xdr:cNvPr>
        <xdr:cNvSpPr txBox="1">
          <a:spLocks noChangeArrowheads="1"/>
        </xdr:cNvSpPr>
      </xdr:nvSpPr>
      <xdr:spPr bwMode="auto">
        <a:xfrm>
          <a:off x="22332950" y="13652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33</xdr:col>
      <xdr:colOff>565150</xdr:colOff>
      <xdr:row>47</xdr:row>
      <xdr:rowOff>152400</xdr:rowOff>
    </xdr:from>
    <xdr:ext cx="247650" cy="85725"/>
    <xdr:sp macro="" textlink="">
      <xdr:nvSpPr>
        <xdr:cNvPr id="14394" name="Text Box 1">
          <a:extLst>
            <a:ext uri="{FF2B5EF4-FFF2-40B4-BE49-F238E27FC236}">
              <a16:creationId xmlns:a16="http://schemas.microsoft.com/office/drawing/2014/main" id="{796A25C0-7B50-48B6-9CD3-22F57FF3B9B1}"/>
            </a:ext>
          </a:extLst>
        </xdr:cNvPr>
        <xdr:cNvSpPr txBox="1">
          <a:spLocks noChangeArrowheads="1"/>
        </xdr:cNvSpPr>
      </xdr:nvSpPr>
      <xdr:spPr bwMode="auto">
        <a:xfrm>
          <a:off x="22948900" y="13652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565150</xdr:colOff>
      <xdr:row>47</xdr:row>
      <xdr:rowOff>152400</xdr:rowOff>
    </xdr:from>
    <xdr:ext cx="247650" cy="85725"/>
    <xdr:sp macro="" textlink="">
      <xdr:nvSpPr>
        <xdr:cNvPr id="14395" name="Text Box 1">
          <a:extLst>
            <a:ext uri="{FF2B5EF4-FFF2-40B4-BE49-F238E27FC236}">
              <a16:creationId xmlns:a16="http://schemas.microsoft.com/office/drawing/2014/main" id="{A2AE98B9-C773-47E6-8A5D-E0DEA01FF314}"/>
            </a:ext>
          </a:extLst>
        </xdr:cNvPr>
        <xdr:cNvSpPr txBox="1">
          <a:spLocks noChangeArrowheads="1"/>
        </xdr:cNvSpPr>
      </xdr:nvSpPr>
      <xdr:spPr bwMode="auto">
        <a:xfrm>
          <a:off x="23564850" y="13652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35</xdr:col>
      <xdr:colOff>565150</xdr:colOff>
      <xdr:row>47</xdr:row>
      <xdr:rowOff>152400</xdr:rowOff>
    </xdr:from>
    <xdr:ext cx="247650" cy="85725"/>
    <xdr:sp macro="" textlink="">
      <xdr:nvSpPr>
        <xdr:cNvPr id="14396" name="Text Box 1">
          <a:extLst>
            <a:ext uri="{FF2B5EF4-FFF2-40B4-BE49-F238E27FC236}">
              <a16:creationId xmlns:a16="http://schemas.microsoft.com/office/drawing/2014/main" id="{E1DBCB17-C97D-4A91-9F6F-4F9626209E0D}"/>
            </a:ext>
          </a:extLst>
        </xdr:cNvPr>
        <xdr:cNvSpPr txBox="1">
          <a:spLocks noChangeArrowheads="1"/>
        </xdr:cNvSpPr>
      </xdr:nvSpPr>
      <xdr:spPr bwMode="auto">
        <a:xfrm>
          <a:off x="24593550" y="13652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36</xdr:col>
      <xdr:colOff>565150</xdr:colOff>
      <xdr:row>47</xdr:row>
      <xdr:rowOff>152400</xdr:rowOff>
    </xdr:from>
    <xdr:ext cx="247650" cy="85725"/>
    <xdr:sp macro="" textlink="">
      <xdr:nvSpPr>
        <xdr:cNvPr id="14397" name="Text Box 1">
          <a:extLst>
            <a:ext uri="{FF2B5EF4-FFF2-40B4-BE49-F238E27FC236}">
              <a16:creationId xmlns:a16="http://schemas.microsoft.com/office/drawing/2014/main" id="{35A0FBE3-E8FD-4071-90CE-6A32BAD2F1B8}"/>
            </a:ext>
          </a:extLst>
        </xdr:cNvPr>
        <xdr:cNvSpPr txBox="1">
          <a:spLocks noChangeArrowheads="1"/>
        </xdr:cNvSpPr>
      </xdr:nvSpPr>
      <xdr:spPr bwMode="auto">
        <a:xfrm>
          <a:off x="25209500" y="13652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565150</xdr:colOff>
      <xdr:row>47</xdr:row>
      <xdr:rowOff>152400</xdr:rowOff>
    </xdr:from>
    <xdr:ext cx="247650" cy="85725"/>
    <xdr:sp macro="" textlink="">
      <xdr:nvSpPr>
        <xdr:cNvPr id="14398" name="Text Box 1">
          <a:extLst>
            <a:ext uri="{FF2B5EF4-FFF2-40B4-BE49-F238E27FC236}">
              <a16:creationId xmlns:a16="http://schemas.microsoft.com/office/drawing/2014/main" id="{49C7E64D-DCAE-485F-A392-641DB49C7ED2}"/>
            </a:ext>
          </a:extLst>
        </xdr:cNvPr>
        <xdr:cNvSpPr txBox="1">
          <a:spLocks noChangeArrowheads="1"/>
        </xdr:cNvSpPr>
      </xdr:nvSpPr>
      <xdr:spPr bwMode="auto">
        <a:xfrm>
          <a:off x="26441400" y="13652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565150</xdr:colOff>
      <xdr:row>47</xdr:row>
      <xdr:rowOff>152400</xdr:rowOff>
    </xdr:from>
    <xdr:ext cx="247650" cy="85725"/>
    <xdr:sp macro="" textlink="">
      <xdr:nvSpPr>
        <xdr:cNvPr id="14399" name="Text Box 1">
          <a:extLst>
            <a:ext uri="{FF2B5EF4-FFF2-40B4-BE49-F238E27FC236}">
              <a16:creationId xmlns:a16="http://schemas.microsoft.com/office/drawing/2014/main" id="{02BF4ED2-8A4F-4AEB-BE86-E8C4C3C8ADED}"/>
            </a:ext>
          </a:extLst>
        </xdr:cNvPr>
        <xdr:cNvSpPr txBox="1">
          <a:spLocks noChangeArrowheads="1"/>
        </xdr:cNvSpPr>
      </xdr:nvSpPr>
      <xdr:spPr bwMode="auto">
        <a:xfrm>
          <a:off x="27095450" y="13652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00" name="Text Box 1">
          <a:extLst>
            <a:ext uri="{FF2B5EF4-FFF2-40B4-BE49-F238E27FC236}">
              <a16:creationId xmlns:a16="http://schemas.microsoft.com/office/drawing/2014/main" id="{5FDB36BC-DDD6-488E-BC0A-3AAF00D5C2F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01" name="Text Box 1">
          <a:extLst>
            <a:ext uri="{FF2B5EF4-FFF2-40B4-BE49-F238E27FC236}">
              <a16:creationId xmlns:a16="http://schemas.microsoft.com/office/drawing/2014/main" id="{F0B4C4BE-506F-4AB5-8CC7-E9F8B77B20B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02" name="Text Box 1">
          <a:extLst>
            <a:ext uri="{FF2B5EF4-FFF2-40B4-BE49-F238E27FC236}">
              <a16:creationId xmlns:a16="http://schemas.microsoft.com/office/drawing/2014/main" id="{A81AEFE9-37FC-48A6-A702-E4637F9F061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03" name="Text Box 1">
          <a:extLst>
            <a:ext uri="{FF2B5EF4-FFF2-40B4-BE49-F238E27FC236}">
              <a16:creationId xmlns:a16="http://schemas.microsoft.com/office/drawing/2014/main" id="{26AB03AB-A937-4D80-B6E8-F96CB5815FE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04" name="Text Box 1">
          <a:extLst>
            <a:ext uri="{FF2B5EF4-FFF2-40B4-BE49-F238E27FC236}">
              <a16:creationId xmlns:a16="http://schemas.microsoft.com/office/drawing/2014/main" id="{AFA2CAD7-2ACA-40E5-86E9-7D5B1DE0993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05" name="Text Box 1">
          <a:extLst>
            <a:ext uri="{FF2B5EF4-FFF2-40B4-BE49-F238E27FC236}">
              <a16:creationId xmlns:a16="http://schemas.microsoft.com/office/drawing/2014/main" id="{00A33571-2EB1-4125-B1ED-D7A90A23DD3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06" name="Text Box 1">
          <a:extLst>
            <a:ext uri="{FF2B5EF4-FFF2-40B4-BE49-F238E27FC236}">
              <a16:creationId xmlns:a16="http://schemas.microsoft.com/office/drawing/2014/main" id="{AFF76F73-450F-4F0A-B9C5-0793623B20D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07" name="Text Box 1">
          <a:extLst>
            <a:ext uri="{FF2B5EF4-FFF2-40B4-BE49-F238E27FC236}">
              <a16:creationId xmlns:a16="http://schemas.microsoft.com/office/drawing/2014/main" id="{6B5DC100-38B6-4E09-AB71-740D30F7929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08" name="Text Box 1">
          <a:extLst>
            <a:ext uri="{FF2B5EF4-FFF2-40B4-BE49-F238E27FC236}">
              <a16:creationId xmlns:a16="http://schemas.microsoft.com/office/drawing/2014/main" id="{B96BF2A7-CF3C-41FB-9EC6-FDB423526A8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09" name="Text Box 1">
          <a:extLst>
            <a:ext uri="{FF2B5EF4-FFF2-40B4-BE49-F238E27FC236}">
              <a16:creationId xmlns:a16="http://schemas.microsoft.com/office/drawing/2014/main" id="{E7CD7713-7CD5-4D03-ADE5-324C501FB73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10" name="Text Box 1">
          <a:extLst>
            <a:ext uri="{FF2B5EF4-FFF2-40B4-BE49-F238E27FC236}">
              <a16:creationId xmlns:a16="http://schemas.microsoft.com/office/drawing/2014/main" id="{B699172E-1EBF-4E40-B692-FCE3025A7A9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11" name="Text Box 1">
          <a:extLst>
            <a:ext uri="{FF2B5EF4-FFF2-40B4-BE49-F238E27FC236}">
              <a16:creationId xmlns:a16="http://schemas.microsoft.com/office/drawing/2014/main" id="{BC36C56D-2B07-4DAC-837B-D0976970EFB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12" name="Text Box 1">
          <a:extLst>
            <a:ext uri="{FF2B5EF4-FFF2-40B4-BE49-F238E27FC236}">
              <a16:creationId xmlns:a16="http://schemas.microsoft.com/office/drawing/2014/main" id="{4355C152-DAFC-4E5B-9462-A2CF6B23D97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13" name="Text Box 1">
          <a:extLst>
            <a:ext uri="{FF2B5EF4-FFF2-40B4-BE49-F238E27FC236}">
              <a16:creationId xmlns:a16="http://schemas.microsoft.com/office/drawing/2014/main" id="{7543748D-84F0-4A4C-8268-A37DE95B9CA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14" name="Text Box 1">
          <a:extLst>
            <a:ext uri="{FF2B5EF4-FFF2-40B4-BE49-F238E27FC236}">
              <a16:creationId xmlns:a16="http://schemas.microsoft.com/office/drawing/2014/main" id="{C4C647E4-539B-445E-A76A-71C215113FC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15" name="Text Box 1">
          <a:extLst>
            <a:ext uri="{FF2B5EF4-FFF2-40B4-BE49-F238E27FC236}">
              <a16:creationId xmlns:a16="http://schemas.microsoft.com/office/drawing/2014/main" id="{AAE701DD-6525-4A5C-AFA6-3C51C0776C9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16" name="Text Box 1">
          <a:extLst>
            <a:ext uri="{FF2B5EF4-FFF2-40B4-BE49-F238E27FC236}">
              <a16:creationId xmlns:a16="http://schemas.microsoft.com/office/drawing/2014/main" id="{046343CE-1B68-4842-BA55-DB38B1DA286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17" name="Text Box 1">
          <a:extLst>
            <a:ext uri="{FF2B5EF4-FFF2-40B4-BE49-F238E27FC236}">
              <a16:creationId xmlns:a16="http://schemas.microsoft.com/office/drawing/2014/main" id="{1667ED0A-E37A-4870-A43A-4A2CF21D8F5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18" name="Text Box 1">
          <a:extLst>
            <a:ext uri="{FF2B5EF4-FFF2-40B4-BE49-F238E27FC236}">
              <a16:creationId xmlns:a16="http://schemas.microsoft.com/office/drawing/2014/main" id="{52B3944A-659B-496C-94C9-CAAAD83136E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19" name="Text Box 1">
          <a:extLst>
            <a:ext uri="{FF2B5EF4-FFF2-40B4-BE49-F238E27FC236}">
              <a16:creationId xmlns:a16="http://schemas.microsoft.com/office/drawing/2014/main" id="{C87B707B-7D37-4A22-868C-A810542866E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20" name="Text Box 1">
          <a:extLst>
            <a:ext uri="{FF2B5EF4-FFF2-40B4-BE49-F238E27FC236}">
              <a16:creationId xmlns:a16="http://schemas.microsoft.com/office/drawing/2014/main" id="{00D035DC-8603-4C46-BCB9-D4AE68002E2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21" name="Text Box 1">
          <a:extLst>
            <a:ext uri="{FF2B5EF4-FFF2-40B4-BE49-F238E27FC236}">
              <a16:creationId xmlns:a16="http://schemas.microsoft.com/office/drawing/2014/main" id="{9F2EF730-786C-431C-9DEA-74C9F739367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22" name="Text Box 1">
          <a:extLst>
            <a:ext uri="{FF2B5EF4-FFF2-40B4-BE49-F238E27FC236}">
              <a16:creationId xmlns:a16="http://schemas.microsoft.com/office/drawing/2014/main" id="{4A62312F-F6F0-408B-8DBB-88DEEF0D2C6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23" name="Text Box 1">
          <a:extLst>
            <a:ext uri="{FF2B5EF4-FFF2-40B4-BE49-F238E27FC236}">
              <a16:creationId xmlns:a16="http://schemas.microsoft.com/office/drawing/2014/main" id="{AE222265-9F99-4943-8B33-212B47399AD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24" name="Text Box 1">
          <a:extLst>
            <a:ext uri="{FF2B5EF4-FFF2-40B4-BE49-F238E27FC236}">
              <a16:creationId xmlns:a16="http://schemas.microsoft.com/office/drawing/2014/main" id="{D524281B-16B4-4B05-8C6C-53F3767B354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25" name="Text Box 1">
          <a:extLst>
            <a:ext uri="{FF2B5EF4-FFF2-40B4-BE49-F238E27FC236}">
              <a16:creationId xmlns:a16="http://schemas.microsoft.com/office/drawing/2014/main" id="{3A535D4D-B417-47BE-8941-D6E78FF3ED7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26" name="Text Box 1">
          <a:extLst>
            <a:ext uri="{FF2B5EF4-FFF2-40B4-BE49-F238E27FC236}">
              <a16:creationId xmlns:a16="http://schemas.microsoft.com/office/drawing/2014/main" id="{16574B8A-320B-4D16-AAFC-D41FF1F2FCE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27" name="Text Box 1">
          <a:extLst>
            <a:ext uri="{FF2B5EF4-FFF2-40B4-BE49-F238E27FC236}">
              <a16:creationId xmlns:a16="http://schemas.microsoft.com/office/drawing/2014/main" id="{AC8F73A0-7EA8-4F65-9AEE-DC42150A655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28" name="Text Box 1">
          <a:extLst>
            <a:ext uri="{FF2B5EF4-FFF2-40B4-BE49-F238E27FC236}">
              <a16:creationId xmlns:a16="http://schemas.microsoft.com/office/drawing/2014/main" id="{54263835-B68F-4C56-A9E6-82239E4BAAD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29" name="Text Box 1">
          <a:extLst>
            <a:ext uri="{FF2B5EF4-FFF2-40B4-BE49-F238E27FC236}">
              <a16:creationId xmlns:a16="http://schemas.microsoft.com/office/drawing/2014/main" id="{E0EF5908-FC7A-4C6E-B57C-164F89CEAFF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30" name="Text Box 1">
          <a:extLst>
            <a:ext uri="{FF2B5EF4-FFF2-40B4-BE49-F238E27FC236}">
              <a16:creationId xmlns:a16="http://schemas.microsoft.com/office/drawing/2014/main" id="{967B3E82-8769-44CF-80FD-025D331C9D3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31" name="Text Box 1">
          <a:extLst>
            <a:ext uri="{FF2B5EF4-FFF2-40B4-BE49-F238E27FC236}">
              <a16:creationId xmlns:a16="http://schemas.microsoft.com/office/drawing/2014/main" id="{7F986A0F-D6C1-499B-AAB9-F5944B4B081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32" name="Text Box 1">
          <a:extLst>
            <a:ext uri="{FF2B5EF4-FFF2-40B4-BE49-F238E27FC236}">
              <a16:creationId xmlns:a16="http://schemas.microsoft.com/office/drawing/2014/main" id="{FD57C540-7599-4E65-8D4D-6B39D0000A4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33" name="Text Box 1">
          <a:extLst>
            <a:ext uri="{FF2B5EF4-FFF2-40B4-BE49-F238E27FC236}">
              <a16:creationId xmlns:a16="http://schemas.microsoft.com/office/drawing/2014/main" id="{6E353DC5-39F4-4286-A8E3-24BC5CB39A6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34" name="Text Box 1">
          <a:extLst>
            <a:ext uri="{FF2B5EF4-FFF2-40B4-BE49-F238E27FC236}">
              <a16:creationId xmlns:a16="http://schemas.microsoft.com/office/drawing/2014/main" id="{3AB42879-845E-4944-B153-C925E726BC2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35" name="Text Box 1">
          <a:extLst>
            <a:ext uri="{FF2B5EF4-FFF2-40B4-BE49-F238E27FC236}">
              <a16:creationId xmlns:a16="http://schemas.microsoft.com/office/drawing/2014/main" id="{77A17052-2CD1-43C5-A69B-06D1BAC8D99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36" name="Text Box 1">
          <a:extLst>
            <a:ext uri="{FF2B5EF4-FFF2-40B4-BE49-F238E27FC236}">
              <a16:creationId xmlns:a16="http://schemas.microsoft.com/office/drawing/2014/main" id="{0CCB1E2B-156A-4BB6-986D-2B17A9066E2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37" name="Text Box 1">
          <a:extLst>
            <a:ext uri="{FF2B5EF4-FFF2-40B4-BE49-F238E27FC236}">
              <a16:creationId xmlns:a16="http://schemas.microsoft.com/office/drawing/2014/main" id="{F455C45B-D445-45E4-A910-4343EC4DEB4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38" name="Text Box 1">
          <a:extLst>
            <a:ext uri="{FF2B5EF4-FFF2-40B4-BE49-F238E27FC236}">
              <a16:creationId xmlns:a16="http://schemas.microsoft.com/office/drawing/2014/main" id="{6CF49764-9405-4851-8749-B02D8BCC9C1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39" name="Text Box 1">
          <a:extLst>
            <a:ext uri="{FF2B5EF4-FFF2-40B4-BE49-F238E27FC236}">
              <a16:creationId xmlns:a16="http://schemas.microsoft.com/office/drawing/2014/main" id="{21208F08-D0C7-457B-8491-221FC5C1F52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40" name="Text Box 1">
          <a:extLst>
            <a:ext uri="{FF2B5EF4-FFF2-40B4-BE49-F238E27FC236}">
              <a16:creationId xmlns:a16="http://schemas.microsoft.com/office/drawing/2014/main" id="{E3F965D7-CAE6-4B90-BC26-46654B0F821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41" name="Text Box 1">
          <a:extLst>
            <a:ext uri="{FF2B5EF4-FFF2-40B4-BE49-F238E27FC236}">
              <a16:creationId xmlns:a16="http://schemas.microsoft.com/office/drawing/2014/main" id="{6AB1D5D8-F8EE-4AB8-A99B-771921032DA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42" name="Text Box 1">
          <a:extLst>
            <a:ext uri="{FF2B5EF4-FFF2-40B4-BE49-F238E27FC236}">
              <a16:creationId xmlns:a16="http://schemas.microsoft.com/office/drawing/2014/main" id="{BB79BEEF-AD1D-4B1E-BACD-FA6AA0D440E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43" name="Text Box 1">
          <a:extLst>
            <a:ext uri="{FF2B5EF4-FFF2-40B4-BE49-F238E27FC236}">
              <a16:creationId xmlns:a16="http://schemas.microsoft.com/office/drawing/2014/main" id="{BACC1223-55DA-447A-BFBF-FB1B4885DA1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44" name="Text Box 1">
          <a:extLst>
            <a:ext uri="{FF2B5EF4-FFF2-40B4-BE49-F238E27FC236}">
              <a16:creationId xmlns:a16="http://schemas.microsoft.com/office/drawing/2014/main" id="{00C168DD-7BE6-43AD-9910-B6C7407ED87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45" name="Text Box 1">
          <a:extLst>
            <a:ext uri="{FF2B5EF4-FFF2-40B4-BE49-F238E27FC236}">
              <a16:creationId xmlns:a16="http://schemas.microsoft.com/office/drawing/2014/main" id="{E3EC6A63-D1E1-40B0-B3C5-73D67C7784E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46" name="Text Box 1">
          <a:extLst>
            <a:ext uri="{FF2B5EF4-FFF2-40B4-BE49-F238E27FC236}">
              <a16:creationId xmlns:a16="http://schemas.microsoft.com/office/drawing/2014/main" id="{BB1D583D-3B61-468E-88FB-3CFA632635D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47" name="Text Box 1">
          <a:extLst>
            <a:ext uri="{FF2B5EF4-FFF2-40B4-BE49-F238E27FC236}">
              <a16:creationId xmlns:a16="http://schemas.microsoft.com/office/drawing/2014/main" id="{7A899BE8-224D-4233-808F-B2D21EC8150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48" name="Text Box 1">
          <a:extLst>
            <a:ext uri="{FF2B5EF4-FFF2-40B4-BE49-F238E27FC236}">
              <a16:creationId xmlns:a16="http://schemas.microsoft.com/office/drawing/2014/main" id="{6BF45FFF-D595-45F0-9BFD-20357273BA3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49" name="Text Box 1">
          <a:extLst>
            <a:ext uri="{FF2B5EF4-FFF2-40B4-BE49-F238E27FC236}">
              <a16:creationId xmlns:a16="http://schemas.microsoft.com/office/drawing/2014/main" id="{7F541800-0E8D-4D3A-94D9-B7BCDE3F927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50" name="Text Box 1">
          <a:extLst>
            <a:ext uri="{FF2B5EF4-FFF2-40B4-BE49-F238E27FC236}">
              <a16:creationId xmlns:a16="http://schemas.microsoft.com/office/drawing/2014/main" id="{5FA3D147-1417-473A-ABC5-642DAD3D9AC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51" name="Text Box 1">
          <a:extLst>
            <a:ext uri="{FF2B5EF4-FFF2-40B4-BE49-F238E27FC236}">
              <a16:creationId xmlns:a16="http://schemas.microsoft.com/office/drawing/2014/main" id="{A83A1AC8-4C91-473B-8071-01C9286BBB8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52" name="Text Box 1">
          <a:extLst>
            <a:ext uri="{FF2B5EF4-FFF2-40B4-BE49-F238E27FC236}">
              <a16:creationId xmlns:a16="http://schemas.microsoft.com/office/drawing/2014/main" id="{BC91DF57-7200-4E89-8432-B0C1A5F8D5B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53" name="Text Box 1">
          <a:extLst>
            <a:ext uri="{FF2B5EF4-FFF2-40B4-BE49-F238E27FC236}">
              <a16:creationId xmlns:a16="http://schemas.microsoft.com/office/drawing/2014/main" id="{AEF392F5-1598-49A1-88DE-49E27B00F75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54" name="Text Box 1">
          <a:extLst>
            <a:ext uri="{FF2B5EF4-FFF2-40B4-BE49-F238E27FC236}">
              <a16:creationId xmlns:a16="http://schemas.microsoft.com/office/drawing/2014/main" id="{98736B60-573A-481E-A990-1968F83B850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55" name="Text Box 1">
          <a:extLst>
            <a:ext uri="{FF2B5EF4-FFF2-40B4-BE49-F238E27FC236}">
              <a16:creationId xmlns:a16="http://schemas.microsoft.com/office/drawing/2014/main" id="{69FE1E7E-D648-4845-BC70-559C38157F2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56" name="Text Box 1">
          <a:extLst>
            <a:ext uri="{FF2B5EF4-FFF2-40B4-BE49-F238E27FC236}">
              <a16:creationId xmlns:a16="http://schemas.microsoft.com/office/drawing/2014/main" id="{F741D4DF-6DAC-448A-A4EF-ACD3CB297C3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57" name="Text Box 1">
          <a:extLst>
            <a:ext uri="{FF2B5EF4-FFF2-40B4-BE49-F238E27FC236}">
              <a16:creationId xmlns:a16="http://schemas.microsoft.com/office/drawing/2014/main" id="{CF502424-DC6C-42BA-8445-A1EB2CE8659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58" name="Text Box 1">
          <a:extLst>
            <a:ext uri="{FF2B5EF4-FFF2-40B4-BE49-F238E27FC236}">
              <a16:creationId xmlns:a16="http://schemas.microsoft.com/office/drawing/2014/main" id="{A2EFAD44-93B8-45B8-9312-E3DB3214AA8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59" name="Text Box 1">
          <a:extLst>
            <a:ext uri="{FF2B5EF4-FFF2-40B4-BE49-F238E27FC236}">
              <a16:creationId xmlns:a16="http://schemas.microsoft.com/office/drawing/2014/main" id="{39D827B1-455B-4804-BF00-A372827874A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60" name="Text Box 1">
          <a:extLst>
            <a:ext uri="{FF2B5EF4-FFF2-40B4-BE49-F238E27FC236}">
              <a16:creationId xmlns:a16="http://schemas.microsoft.com/office/drawing/2014/main" id="{232C13AD-520F-4CFE-AD28-6A9BFA6C4DF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61" name="Text Box 1">
          <a:extLst>
            <a:ext uri="{FF2B5EF4-FFF2-40B4-BE49-F238E27FC236}">
              <a16:creationId xmlns:a16="http://schemas.microsoft.com/office/drawing/2014/main" id="{9AA20777-C7F8-43F2-8A46-1980EF6482F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62" name="Text Box 1">
          <a:extLst>
            <a:ext uri="{FF2B5EF4-FFF2-40B4-BE49-F238E27FC236}">
              <a16:creationId xmlns:a16="http://schemas.microsoft.com/office/drawing/2014/main" id="{5F6BC9E9-67F4-40F4-A4B7-059967D200B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63" name="Text Box 1">
          <a:extLst>
            <a:ext uri="{FF2B5EF4-FFF2-40B4-BE49-F238E27FC236}">
              <a16:creationId xmlns:a16="http://schemas.microsoft.com/office/drawing/2014/main" id="{FC6F59DC-9135-41FB-88E5-670091074CB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64" name="Text Box 1">
          <a:extLst>
            <a:ext uri="{FF2B5EF4-FFF2-40B4-BE49-F238E27FC236}">
              <a16:creationId xmlns:a16="http://schemas.microsoft.com/office/drawing/2014/main" id="{9AA6F818-A591-4CE1-B1B2-C282AD93284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65" name="Text Box 1">
          <a:extLst>
            <a:ext uri="{FF2B5EF4-FFF2-40B4-BE49-F238E27FC236}">
              <a16:creationId xmlns:a16="http://schemas.microsoft.com/office/drawing/2014/main" id="{D1AB95A4-6193-4B17-82A2-EE6AD2A23E1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66" name="Text Box 1">
          <a:extLst>
            <a:ext uri="{FF2B5EF4-FFF2-40B4-BE49-F238E27FC236}">
              <a16:creationId xmlns:a16="http://schemas.microsoft.com/office/drawing/2014/main" id="{385A114B-C456-4946-AC3F-F46E933E60F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67" name="Text Box 1">
          <a:extLst>
            <a:ext uri="{FF2B5EF4-FFF2-40B4-BE49-F238E27FC236}">
              <a16:creationId xmlns:a16="http://schemas.microsoft.com/office/drawing/2014/main" id="{68EBCA79-B154-479C-B5FA-426FF76BC02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68" name="Text Box 1">
          <a:extLst>
            <a:ext uri="{FF2B5EF4-FFF2-40B4-BE49-F238E27FC236}">
              <a16:creationId xmlns:a16="http://schemas.microsoft.com/office/drawing/2014/main" id="{441893F1-134B-40A4-8385-77DF1BA761F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69" name="Text Box 1">
          <a:extLst>
            <a:ext uri="{FF2B5EF4-FFF2-40B4-BE49-F238E27FC236}">
              <a16:creationId xmlns:a16="http://schemas.microsoft.com/office/drawing/2014/main" id="{C8CBD2BF-2461-4C00-B4A0-BBAD21D0F2E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70" name="Text Box 1">
          <a:extLst>
            <a:ext uri="{FF2B5EF4-FFF2-40B4-BE49-F238E27FC236}">
              <a16:creationId xmlns:a16="http://schemas.microsoft.com/office/drawing/2014/main" id="{A4A08A03-4930-446E-95C8-95D15A57CF0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71" name="Text Box 1">
          <a:extLst>
            <a:ext uri="{FF2B5EF4-FFF2-40B4-BE49-F238E27FC236}">
              <a16:creationId xmlns:a16="http://schemas.microsoft.com/office/drawing/2014/main" id="{D90C7937-EA9E-4B2E-AF1C-E32A897394E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72" name="Text Box 1">
          <a:extLst>
            <a:ext uri="{FF2B5EF4-FFF2-40B4-BE49-F238E27FC236}">
              <a16:creationId xmlns:a16="http://schemas.microsoft.com/office/drawing/2014/main" id="{A1FE1F41-B3BC-492C-99CC-A6D9702C115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73" name="Text Box 1">
          <a:extLst>
            <a:ext uri="{FF2B5EF4-FFF2-40B4-BE49-F238E27FC236}">
              <a16:creationId xmlns:a16="http://schemas.microsoft.com/office/drawing/2014/main" id="{18357059-3AB9-4A22-941D-CF2FF3234BB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74" name="Text Box 1">
          <a:extLst>
            <a:ext uri="{FF2B5EF4-FFF2-40B4-BE49-F238E27FC236}">
              <a16:creationId xmlns:a16="http://schemas.microsoft.com/office/drawing/2014/main" id="{4AF06982-2DDA-4FD5-A398-2739F97E6B8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75" name="Text Box 1">
          <a:extLst>
            <a:ext uri="{FF2B5EF4-FFF2-40B4-BE49-F238E27FC236}">
              <a16:creationId xmlns:a16="http://schemas.microsoft.com/office/drawing/2014/main" id="{49E71DF9-61DC-40B4-8882-C828E9A499A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76" name="Text Box 1">
          <a:extLst>
            <a:ext uri="{FF2B5EF4-FFF2-40B4-BE49-F238E27FC236}">
              <a16:creationId xmlns:a16="http://schemas.microsoft.com/office/drawing/2014/main" id="{608AD640-3A97-4BDB-9D8F-C365DD0055E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77" name="Text Box 1">
          <a:extLst>
            <a:ext uri="{FF2B5EF4-FFF2-40B4-BE49-F238E27FC236}">
              <a16:creationId xmlns:a16="http://schemas.microsoft.com/office/drawing/2014/main" id="{6975458B-1AA9-4181-B4A6-A68561E6F36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78" name="Text Box 1">
          <a:extLst>
            <a:ext uri="{FF2B5EF4-FFF2-40B4-BE49-F238E27FC236}">
              <a16:creationId xmlns:a16="http://schemas.microsoft.com/office/drawing/2014/main" id="{FACA7E00-9C18-42A5-B7F2-FD1A4E58052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79" name="Text Box 1">
          <a:extLst>
            <a:ext uri="{FF2B5EF4-FFF2-40B4-BE49-F238E27FC236}">
              <a16:creationId xmlns:a16="http://schemas.microsoft.com/office/drawing/2014/main" id="{51389CB0-679F-445B-BA6E-27999BB9F33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80" name="Text Box 1">
          <a:extLst>
            <a:ext uri="{FF2B5EF4-FFF2-40B4-BE49-F238E27FC236}">
              <a16:creationId xmlns:a16="http://schemas.microsoft.com/office/drawing/2014/main" id="{31773498-882A-4ACD-88B7-9014CCD5647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81" name="Text Box 1">
          <a:extLst>
            <a:ext uri="{FF2B5EF4-FFF2-40B4-BE49-F238E27FC236}">
              <a16:creationId xmlns:a16="http://schemas.microsoft.com/office/drawing/2014/main" id="{8363A177-BA4C-4D7E-9C00-75580BE4C80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82" name="Text Box 1">
          <a:extLst>
            <a:ext uri="{FF2B5EF4-FFF2-40B4-BE49-F238E27FC236}">
              <a16:creationId xmlns:a16="http://schemas.microsoft.com/office/drawing/2014/main" id="{C8DB6808-157D-44FF-B227-66F1DAE1160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83" name="Text Box 1">
          <a:extLst>
            <a:ext uri="{FF2B5EF4-FFF2-40B4-BE49-F238E27FC236}">
              <a16:creationId xmlns:a16="http://schemas.microsoft.com/office/drawing/2014/main" id="{31F80257-0848-41A9-8C33-5A505A870FE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84" name="Text Box 1">
          <a:extLst>
            <a:ext uri="{FF2B5EF4-FFF2-40B4-BE49-F238E27FC236}">
              <a16:creationId xmlns:a16="http://schemas.microsoft.com/office/drawing/2014/main" id="{5C2DCCF3-1431-4564-8F47-992E2137BD3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85" name="Text Box 1">
          <a:extLst>
            <a:ext uri="{FF2B5EF4-FFF2-40B4-BE49-F238E27FC236}">
              <a16:creationId xmlns:a16="http://schemas.microsoft.com/office/drawing/2014/main" id="{6B631C95-BB59-4157-B314-8131CD46955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86" name="Text Box 1">
          <a:extLst>
            <a:ext uri="{FF2B5EF4-FFF2-40B4-BE49-F238E27FC236}">
              <a16:creationId xmlns:a16="http://schemas.microsoft.com/office/drawing/2014/main" id="{AF245487-5BB4-42E6-9B0B-77E4A708C9B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87" name="Text Box 1">
          <a:extLst>
            <a:ext uri="{FF2B5EF4-FFF2-40B4-BE49-F238E27FC236}">
              <a16:creationId xmlns:a16="http://schemas.microsoft.com/office/drawing/2014/main" id="{9D89D967-EC2C-49D4-839A-2DE6178FDA5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88" name="Text Box 1">
          <a:extLst>
            <a:ext uri="{FF2B5EF4-FFF2-40B4-BE49-F238E27FC236}">
              <a16:creationId xmlns:a16="http://schemas.microsoft.com/office/drawing/2014/main" id="{0AA59CF1-A346-4E5C-BD13-AB842CA1787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89" name="Text Box 1">
          <a:extLst>
            <a:ext uri="{FF2B5EF4-FFF2-40B4-BE49-F238E27FC236}">
              <a16:creationId xmlns:a16="http://schemas.microsoft.com/office/drawing/2014/main" id="{CD028D88-35D4-41C1-B57D-4986E0BE38A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90" name="Text Box 1">
          <a:extLst>
            <a:ext uri="{FF2B5EF4-FFF2-40B4-BE49-F238E27FC236}">
              <a16:creationId xmlns:a16="http://schemas.microsoft.com/office/drawing/2014/main" id="{8F026B78-2C76-45FF-8B3F-9B802B197F8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91" name="Text Box 1">
          <a:extLst>
            <a:ext uri="{FF2B5EF4-FFF2-40B4-BE49-F238E27FC236}">
              <a16:creationId xmlns:a16="http://schemas.microsoft.com/office/drawing/2014/main" id="{2FF56A37-BF7C-43E1-AC59-BF0E6B667B5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92" name="Text Box 1">
          <a:extLst>
            <a:ext uri="{FF2B5EF4-FFF2-40B4-BE49-F238E27FC236}">
              <a16:creationId xmlns:a16="http://schemas.microsoft.com/office/drawing/2014/main" id="{528092A5-1844-4F99-AB21-E64856123AC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93" name="Text Box 1">
          <a:extLst>
            <a:ext uri="{FF2B5EF4-FFF2-40B4-BE49-F238E27FC236}">
              <a16:creationId xmlns:a16="http://schemas.microsoft.com/office/drawing/2014/main" id="{6D4C1340-2601-4CB9-B1AF-879A7C5AE74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94" name="Text Box 1">
          <a:extLst>
            <a:ext uri="{FF2B5EF4-FFF2-40B4-BE49-F238E27FC236}">
              <a16:creationId xmlns:a16="http://schemas.microsoft.com/office/drawing/2014/main" id="{A390FA81-A4BF-4FC7-A100-E3E70BA9C40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95" name="Text Box 1">
          <a:extLst>
            <a:ext uri="{FF2B5EF4-FFF2-40B4-BE49-F238E27FC236}">
              <a16:creationId xmlns:a16="http://schemas.microsoft.com/office/drawing/2014/main" id="{576B9634-E2DE-4FE7-9C17-0632A1EA5A9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96" name="Text Box 1">
          <a:extLst>
            <a:ext uri="{FF2B5EF4-FFF2-40B4-BE49-F238E27FC236}">
              <a16:creationId xmlns:a16="http://schemas.microsoft.com/office/drawing/2014/main" id="{6386537D-6674-4BF1-A612-9B410FDA721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97" name="Text Box 1">
          <a:extLst>
            <a:ext uri="{FF2B5EF4-FFF2-40B4-BE49-F238E27FC236}">
              <a16:creationId xmlns:a16="http://schemas.microsoft.com/office/drawing/2014/main" id="{F11C9DFD-2ABF-4EED-9E46-0F4A151C788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98" name="Text Box 1">
          <a:extLst>
            <a:ext uri="{FF2B5EF4-FFF2-40B4-BE49-F238E27FC236}">
              <a16:creationId xmlns:a16="http://schemas.microsoft.com/office/drawing/2014/main" id="{208C89E4-7925-4AC6-A526-1C33F202790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499" name="Text Box 1">
          <a:extLst>
            <a:ext uri="{FF2B5EF4-FFF2-40B4-BE49-F238E27FC236}">
              <a16:creationId xmlns:a16="http://schemas.microsoft.com/office/drawing/2014/main" id="{272E29D2-A889-44E8-9810-AACD9D0B875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00" name="Text Box 1">
          <a:extLst>
            <a:ext uri="{FF2B5EF4-FFF2-40B4-BE49-F238E27FC236}">
              <a16:creationId xmlns:a16="http://schemas.microsoft.com/office/drawing/2014/main" id="{B65573E0-39AB-415E-8429-5CEEE8F8346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01" name="Text Box 1">
          <a:extLst>
            <a:ext uri="{FF2B5EF4-FFF2-40B4-BE49-F238E27FC236}">
              <a16:creationId xmlns:a16="http://schemas.microsoft.com/office/drawing/2014/main" id="{5E3A9566-7D3D-485C-B2A9-D52A237549C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02" name="Text Box 1">
          <a:extLst>
            <a:ext uri="{FF2B5EF4-FFF2-40B4-BE49-F238E27FC236}">
              <a16:creationId xmlns:a16="http://schemas.microsoft.com/office/drawing/2014/main" id="{34224FD7-2EEE-411D-9F9B-D1F5ABC12E0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03" name="Text Box 1">
          <a:extLst>
            <a:ext uri="{FF2B5EF4-FFF2-40B4-BE49-F238E27FC236}">
              <a16:creationId xmlns:a16="http://schemas.microsoft.com/office/drawing/2014/main" id="{2ADB299F-3A5D-47FA-B2D0-A8ECEE74400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04" name="Text Box 1">
          <a:extLst>
            <a:ext uri="{FF2B5EF4-FFF2-40B4-BE49-F238E27FC236}">
              <a16:creationId xmlns:a16="http://schemas.microsoft.com/office/drawing/2014/main" id="{D22A2AF4-A990-47E7-A1A5-29285656551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05" name="Text Box 1">
          <a:extLst>
            <a:ext uri="{FF2B5EF4-FFF2-40B4-BE49-F238E27FC236}">
              <a16:creationId xmlns:a16="http://schemas.microsoft.com/office/drawing/2014/main" id="{AB7F017C-4EBE-4708-956C-A372BE13C0B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06" name="Text Box 1">
          <a:extLst>
            <a:ext uri="{FF2B5EF4-FFF2-40B4-BE49-F238E27FC236}">
              <a16:creationId xmlns:a16="http://schemas.microsoft.com/office/drawing/2014/main" id="{A41626FB-3E28-4C0C-BB18-577F90DC318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07" name="Text Box 1">
          <a:extLst>
            <a:ext uri="{FF2B5EF4-FFF2-40B4-BE49-F238E27FC236}">
              <a16:creationId xmlns:a16="http://schemas.microsoft.com/office/drawing/2014/main" id="{B7A0298B-1A70-4D89-A61B-3F6B95B033F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08" name="Text Box 1">
          <a:extLst>
            <a:ext uri="{FF2B5EF4-FFF2-40B4-BE49-F238E27FC236}">
              <a16:creationId xmlns:a16="http://schemas.microsoft.com/office/drawing/2014/main" id="{7DCF531F-B952-4399-970C-C6D4C11FD3E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09" name="Text Box 1">
          <a:extLst>
            <a:ext uri="{FF2B5EF4-FFF2-40B4-BE49-F238E27FC236}">
              <a16:creationId xmlns:a16="http://schemas.microsoft.com/office/drawing/2014/main" id="{45C81EE9-8803-45B7-84A1-C95B673998A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10" name="Text Box 1">
          <a:extLst>
            <a:ext uri="{FF2B5EF4-FFF2-40B4-BE49-F238E27FC236}">
              <a16:creationId xmlns:a16="http://schemas.microsoft.com/office/drawing/2014/main" id="{A4BB4CE8-C667-4592-A863-A0EB7752F38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11" name="Text Box 1">
          <a:extLst>
            <a:ext uri="{FF2B5EF4-FFF2-40B4-BE49-F238E27FC236}">
              <a16:creationId xmlns:a16="http://schemas.microsoft.com/office/drawing/2014/main" id="{57090F17-EE93-4F2F-9E20-4C606ED77FF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12" name="Text Box 1">
          <a:extLst>
            <a:ext uri="{FF2B5EF4-FFF2-40B4-BE49-F238E27FC236}">
              <a16:creationId xmlns:a16="http://schemas.microsoft.com/office/drawing/2014/main" id="{077F6F65-6578-44AD-A4F6-878130AEC2F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13" name="Text Box 1">
          <a:extLst>
            <a:ext uri="{FF2B5EF4-FFF2-40B4-BE49-F238E27FC236}">
              <a16:creationId xmlns:a16="http://schemas.microsoft.com/office/drawing/2014/main" id="{F20C6ED2-5475-4917-8810-3E944B25773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14" name="Text Box 1">
          <a:extLst>
            <a:ext uri="{FF2B5EF4-FFF2-40B4-BE49-F238E27FC236}">
              <a16:creationId xmlns:a16="http://schemas.microsoft.com/office/drawing/2014/main" id="{B9EBBCB2-5B0B-4401-9838-3ED966ED7AD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15" name="Text Box 1">
          <a:extLst>
            <a:ext uri="{FF2B5EF4-FFF2-40B4-BE49-F238E27FC236}">
              <a16:creationId xmlns:a16="http://schemas.microsoft.com/office/drawing/2014/main" id="{3FE99F3F-2A58-420E-BDD6-FC0F1DD9AF7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16" name="Text Box 1">
          <a:extLst>
            <a:ext uri="{FF2B5EF4-FFF2-40B4-BE49-F238E27FC236}">
              <a16:creationId xmlns:a16="http://schemas.microsoft.com/office/drawing/2014/main" id="{9EAB4639-4979-44A0-A1F9-2B1E242AA6D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17" name="Text Box 1">
          <a:extLst>
            <a:ext uri="{FF2B5EF4-FFF2-40B4-BE49-F238E27FC236}">
              <a16:creationId xmlns:a16="http://schemas.microsoft.com/office/drawing/2014/main" id="{1F7C1E93-3DD4-46EB-B0E0-133B0855D45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18" name="Text Box 1">
          <a:extLst>
            <a:ext uri="{FF2B5EF4-FFF2-40B4-BE49-F238E27FC236}">
              <a16:creationId xmlns:a16="http://schemas.microsoft.com/office/drawing/2014/main" id="{ECD347DF-C08E-4CC5-907D-D390BE8F8B7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19" name="Text Box 1">
          <a:extLst>
            <a:ext uri="{FF2B5EF4-FFF2-40B4-BE49-F238E27FC236}">
              <a16:creationId xmlns:a16="http://schemas.microsoft.com/office/drawing/2014/main" id="{548B70C2-A93E-4B2B-871C-AC3D1D93190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20" name="Text Box 1">
          <a:extLst>
            <a:ext uri="{FF2B5EF4-FFF2-40B4-BE49-F238E27FC236}">
              <a16:creationId xmlns:a16="http://schemas.microsoft.com/office/drawing/2014/main" id="{A0214909-1A68-4583-9007-8D87C01E88B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21" name="Text Box 1">
          <a:extLst>
            <a:ext uri="{FF2B5EF4-FFF2-40B4-BE49-F238E27FC236}">
              <a16:creationId xmlns:a16="http://schemas.microsoft.com/office/drawing/2014/main" id="{BF25BE7A-79B0-4E48-A06E-2785275DB4C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22" name="Text Box 1">
          <a:extLst>
            <a:ext uri="{FF2B5EF4-FFF2-40B4-BE49-F238E27FC236}">
              <a16:creationId xmlns:a16="http://schemas.microsoft.com/office/drawing/2014/main" id="{A1B4DFD1-70A0-48E9-B43A-DD15D70BE68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23" name="Text Box 1">
          <a:extLst>
            <a:ext uri="{FF2B5EF4-FFF2-40B4-BE49-F238E27FC236}">
              <a16:creationId xmlns:a16="http://schemas.microsoft.com/office/drawing/2014/main" id="{67BB49C0-01CE-4D0F-9F10-3A05DB11021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24" name="Text Box 1">
          <a:extLst>
            <a:ext uri="{FF2B5EF4-FFF2-40B4-BE49-F238E27FC236}">
              <a16:creationId xmlns:a16="http://schemas.microsoft.com/office/drawing/2014/main" id="{3BB7D8CB-BE13-4CF4-87B1-46FBAB9B595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25" name="Text Box 1">
          <a:extLst>
            <a:ext uri="{FF2B5EF4-FFF2-40B4-BE49-F238E27FC236}">
              <a16:creationId xmlns:a16="http://schemas.microsoft.com/office/drawing/2014/main" id="{0C5F398D-A9E8-4D3C-B21A-E2614436F75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26" name="Text Box 1">
          <a:extLst>
            <a:ext uri="{FF2B5EF4-FFF2-40B4-BE49-F238E27FC236}">
              <a16:creationId xmlns:a16="http://schemas.microsoft.com/office/drawing/2014/main" id="{8F8A53BF-DD5D-46B3-ABF7-E7048A35F8F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27" name="Text Box 1">
          <a:extLst>
            <a:ext uri="{FF2B5EF4-FFF2-40B4-BE49-F238E27FC236}">
              <a16:creationId xmlns:a16="http://schemas.microsoft.com/office/drawing/2014/main" id="{B811F0CB-435E-44E6-8144-54EF42641EC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28" name="Text Box 1">
          <a:extLst>
            <a:ext uri="{FF2B5EF4-FFF2-40B4-BE49-F238E27FC236}">
              <a16:creationId xmlns:a16="http://schemas.microsoft.com/office/drawing/2014/main" id="{91F6AE74-5CFA-4816-B2E3-C1D1DC34A49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29" name="Text Box 1">
          <a:extLst>
            <a:ext uri="{FF2B5EF4-FFF2-40B4-BE49-F238E27FC236}">
              <a16:creationId xmlns:a16="http://schemas.microsoft.com/office/drawing/2014/main" id="{42C90A6B-3023-49EF-969B-E47A43B107A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30" name="Text Box 1">
          <a:extLst>
            <a:ext uri="{FF2B5EF4-FFF2-40B4-BE49-F238E27FC236}">
              <a16:creationId xmlns:a16="http://schemas.microsoft.com/office/drawing/2014/main" id="{6155A9F0-E309-46FF-8A81-3AE0D558747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31" name="Text Box 1">
          <a:extLst>
            <a:ext uri="{FF2B5EF4-FFF2-40B4-BE49-F238E27FC236}">
              <a16:creationId xmlns:a16="http://schemas.microsoft.com/office/drawing/2014/main" id="{041413E1-2405-435F-A2F1-48E76A50675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32" name="Text Box 1">
          <a:extLst>
            <a:ext uri="{FF2B5EF4-FFF2-40B4-BE49-F238E27FC236}">
              <a16:creationId xmlns:a16="http://schemas.microsoft.com/office/drawing/2014/main" id="{A81529F0-EE4A-4E7F-8767-FFDC62EEC03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33" name="Text Box 1">
          <a:extLst>
            <a:ext uri="{FF2B5EF4-FFF2-40B4-BE49-F238E27FC236}">
              <a16:creationId xmlns:a16="http://schemas.microsoft.com/office/drawing/2014/main" id="{D844F961-7936-4C3C-9AE3-B2700EA8609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34" name="Text Box 1">
          <a:extLst>
            <a:ext uri="{FF2B5EF4-FFF2-40B4-BE49-F238E27FC236}">
              <a16:creationId xmlns:a16="http://schemas.microsoft.com/office/drawing/2014/main" id="{1BB369C0-7910-4131-A4E1-F3C5714B0AB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35" name="Text Box 1">
          <a:extLst>
            <a:ext uri="{FF2B5EF4-FFF2-40B4-BE49-F238E27FC236}">
              <a16:creationId xmlns:a16="http://schemas.microsoft.com/office/drawing/2014/main" id="{E42D6600-16F6-474B-9859-6FA66EDDB7F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36" name="Text Box 1">
          <a:extLst>
            <a:ext uri="{FF2B5EF4-FFF2-40B4-BE49-F238E27FC236}">
              <a16:creationId xmlns:a16="http://schemas.microsoft.com/office/drawing/2014/main" id="{E16EF29B-83B1-499C-BBEA-B3E96718C46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37" name="Text Box 1">
          <a:extLst>
            <a:ext uri="{FF2B5EF4-FFF2-40B4-BE49-F238E27FC236}">
              <a16:creationId xmlns:a16="http://schemas.microsoft.com/office/drawing/2014/main" id="{48BF00B4-0766-444A-A835-EC4378474A6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38" name="Text Box 1">
          <a:extLst>
            <a:ext uri="{FF2B5EF4-FFF2-40B4-BE49-F238E27FC236}">
              <a16:creationId xmlns:a16="http://schemas.microsoft.com/office/drawing/2014/main" id="{CEB7A9FA-D7AB-4674-B94E-58105E53503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39" name="Text Box 1">
          <a:extLst>
            <a:ext uri="{FF2B5EF4-FFF2-40B4-BE49-F238E27FC236}">
              <a16:creationId xmlns:a16="http://schemas.microsoft.com/office/drawing/2014/main" id="{DFB31E20-9FF4-4937-B155-0085F7D33C3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40" name="Text Box 1">
          <a:extLst>
            <a:ext uri="{FF2B5EF4-FFF2-40B4-BE49-F238E27FC236}">
              <a16:creationId xmlns:a16="http://schemas.microsoft.com/office/drawing/2014/main" id="{23560AEA-454D-42BB-82A0-2D8F39065D2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41" name="Text Box 1">
          <a:extLst>
            <a:ext uri="{FF2B5EF4-FFF2-40B4-BE49-F238E27FC236}">
              <a16:creationId xmlns:a16="http://schemas.microsoft.com/office/drawing/2014/main" id="{AD29D48E-1385-4B22-930F-E9CD353A909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42" name="Text Box 1">
          <a:extLst>
            <a:ext uri="{FF2B5EF4-FFF2-40B4-BE49-F238E27FC236}">
              <a16:creationId xmlns:a16="http://schemas.microsoft.com/office/drawing/2014/main" id="{4CF885EE-CBCC-4792-ADDF-F70DD670635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43" name="Text Box 1">
          <a:extLst>
            <a:ext uri="{FF2B5EF4-FFF2-40B4-BE49-F238E27FC236}">
              <a16:creationId xmlns:a16="http://schemas.microsoft.com/office/drawing/2014/main" id="{63F2596D-931F-4050-9DEC-4D939E201C6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44" name="Text Box 1">
          <a:extLst>
            <a:ext uri="{FF2B5EF4-FFF2-40B4-BE49-F238E27FC236}">
              <a16:creationId xmlns:a16="http://schemas.microsoft.com/office/drawing/2014/main" id="{CBC32218-00CF-4133-ACA3-B27BAD182D5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45" name="Text Box 1">
          <a:extLst>
            <a:ext uri="{FF2B5EF4-FFF2-40B4-BE49-F238E27FC236}">
              <a16:creationId xmlns:a16="http://schemas.microsoft.com/office/drawing/2014/main" id="{81CC7DF8-0F0F-4E41-91E6-7DA6D179553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46" name="Text Box 1">
          <a:extLst>
            <a:ext uri="{FF2B5EF4-FFF2-40B4-BE49-F238E27FC236}">
              <a16:creationId xmlns:a16="http://schemas.microsoft.com/office/drawing/2014/main" id="{4F74E621-19F1-472F-90F9-778EFF494E8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47" name="Text Box 1">
          <a:extLst>
            <a:ext uri="{FF2B5EF4-FFF2-40B4-BE49-F238E27FC236}">
              <a16:creationId xmlns:a16="http://schemas.microsoft.com/office/drawing/2014/main" id="{7854DCD2-3971-469F-8499-3AE1A16B538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48" name="Text Box 1">
          <a:extLst>
            <a:ext uri="{FF2B5EF4-FFF2-40B4-BE49-F238E27FC236}">
              <a16:creationId xmlns:a16="http://schemas.microsoft.com/office/drawing/2014/main" id="{DE446FCA-D86D-4EFD-958F-C23606CA7EB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49" name="Text Box 1">
          <a:extLst>
            <a:ext uri="{FF2B5EF4-FFF2-40B4-BE49-F238E27FC236}">
              <a16:creationId xmlns:a16="http://schemas.microsoft.com/office/drawing/2014/main" id="{5CCA9868-CF48-4917-A958-76777D2C576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50" name="Text Box 1">
          <a:extLst>
            <a:ext uri="{FF2B5EF4-FFF2-40B4-BE49-F238E27FC236}">
              <a16:creationId xmlns:a16="http://schemas.microsoft.com/office/drawing/2014/main" id="{20E51DA7-B350-4AC4-B0FF-4E1C8EA8922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51" name="Text Box 1">
          <a:extLst>
            <a:ext uri="{FF2B5EF4-FFF2-40B4-BE49-F238E27FC236}">
              <a16:creationId xmlns:a16="http://schemas.microsoft.com/office/drawing/2014/main" id="{140F011D-FDBE-4C05-BE58-0C742B713BA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52" name="Text Box 1">
          <a:extLst>
            <a:ext uri="{FF2B5EF4-FFF2-40B4-BE49-F238E27FC236}">
              <a16:creationId xmlns:a16="http://schemas.microsoft.com/office/drawing/2014/main" id="{3DD0B4A0-734B-4F59-ADF5-6F2271C4DEE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53" name="Text Box 1">
          <a:extLst>
            <a:ext uri="{FF2B5EF4-FFF2-40B4-BE49-F238E27FC236}">
              <a16:creationId xmlns:a16="http://schemas.microsoft.com/office/drawing/2014/main" id="{AC784DB6-DB86-4FC2-9293-1FE2FB5DAF0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54" name="Text Box 1">
          <a:extLst>
            <a:ext uri="{FF2B5EF4-FFF2-40B4-BE49-F238E27FC236}">
              <a16:creationId xmlns:a16="http://schemas.microsoft.com/office/drawing/2014/main" id="{F8B7CB80-E417-4CB6-9843-5F82B61D63A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55" name="Text Box 1">
          <a:extLst>
            <a:ext uri="{FF2B5EF4-FFF2-40B4-BE49-F238E27FC236}">
              <a16:creationId xmlns:a16="http://schemas.microsoft.com/office/drawing/2014/main" id="{9CFAF059-D7BF-4EC2-BB9B-017B5935C15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56" name="Text Box 1">
          <a:extLst>
            <a:ext uri="{FF2B5EF4-FFF2-40B4-BE49-F238E27FC236}">
              <a16:creationId xmlns:a16="http://schemas.microsoft.com/office/drawing/2014/main" id="{88989812-35BB-43E6-A7C9-914314AFA7E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57" name="Text Box 1">
          <a:extLst>
            <a:ext uri="{FF2B5EF4-FFF2-40B4-BE49-F238E27FC236}">
              <a16:creationId xmlns:a16="http://schemas.microsoft.com/office/drawing/2014/main" id="{6074F8B6-26B0-41F2-9997-EB7A52D07B7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58" name="Text Box 1">
          <a:extLst>
            <a:ext uri="{FF2B5EF4-FFF2-40B4-BE49-F238E27FC236}">
              <a16:creationId xmlns:a16="http://schemas.microsoft.com/office/drawing/2014/main" id="{19C08C0D-052D-49E1-A331-CD295C576FF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59" name="Text Box 1">
          <a:extLst>
            <a:ext uri="{FF2B5EF4-FFF2-40B4-BE49-F238E27FC236}">
              <a16:creationId xmlns:a16="http://schemas.microsoft.com/office/drawing/2014/main" id="{06DE9D09-BF05-45AB-B1CA-2EF1E420988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60" name="Text Box 1">
          <a:extLst>
            <a:ext uri="{FF2B5EF4-FFF2-40B4-BE49-F238E27FC236}">
              <a16:creationId xmlns:a16="http://schemas.microsoft.com/office/drawing/2014/main" id="{9FE2EB87-36AA-43BF-BAF7-7CF471EBFF4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61" name="Text Box 1">
          <a:extLst>
            <a:ext uri="{FF2B5EF4-FFF2-40B4-BE49-F238E27FC236}">
              <a16:creationId xmlns:a16="http://schemas.microsoft.com/office/drawing/2014/main" id="{3F39AC8E-B0B0-43F8-8F14-E1C0E02F3E2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62" name="Text Box 1">
          <a:extLst>
            <a:ext uri="{FF2B5EF4-FFF2-40B4-BE49-F238E27FC236}">
              <a16:creationId xmlns:a16="http://schemas.microsoft.com/office/drawing/2014/main" id="{2AC23885-7C74-4A05-8477-B7EE0DB7480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63" name="Text Box 1">
          <a:extLst>
            <a:ext uri="{FF2B5EF4-FFF2-40B4-BE49-F238E27FC236}">
              <a16:creationId xmlns:a16="http://schemas.microsoft.com/office/drawing/2014/main" id="{9A686D10-8242-4270-B2FA-21C6D84971F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64" name="Text Box 1">
          <a:extLst>
            <a:ext uri="{FF2B5EF4-FFF2-40B4-BE49-F238E27FC236}">
              <a16:creationId xmlns:a16="http://schemas.microsoft.com/office/drawing/2014/main" id="{F2795D91-27AA-4697-8DEE-74375C749EA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65" name="Text Box 1">
          <a:extLst>
            <a:ext uri="{FF2B5EF4-FFF2-40B4-BE49-F238E27FC236}">
              <a16:creationId xmlns:a16="http://schemas.microsoft.com/office/drawing/2014/main" id="{F1AE95EA-F3AC-4AA2-B20D-0C19FEC1D83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66" name="Text Box 1">
          <a:extLst>
            <a:ext uri="{FF2B5EF4-FFF2-40B4-BE49-F238E27FC236}">
              <a16:creationId xmlns:a16="http://schemas.microsoft.com/office/drawing/2014/main" id="{33CD9F76-10EB-4D3D-BFE0-F9F6BCA4AF6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67" name="Text Box 1">
          <a:extLst>
            <a:ext uri="{FF2B5EF4-FFF2-40B4-BE49-F238E27FC236}">
              <a16:creationId xmlns:a16="http://schemas.microsoft.com/office/drawing/2014/main" id="{90B484E4-511A-4F36-8980-3E37A104A0D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68" name="Text Box 1">
          <a:extLst>
            <a:ext uri="{FF2B5EF4-FFF2-40B4-BE49-F238E27FC236}">
              <a16:creationId xmlns:a16="http://schemas.microsoft.com/office/drawing/2014/main" id="{607D9E48-2477-4C47-BD36-9E342533C35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69" name="Text Box 1">
          <a:extLst>
            <a:ext uri="{FF2B5EF4-FFF2-40B4-BE49-F238E27FC236}">
              <a16:creationId xmlns:a16="http://schemas.microsoft.com/office/drawing/2014/main" id="{D67D9128-169A-4D78-ADE3-E6E33BE8F12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70" name="Text Box 1">
          <a:extLst>
            <a:ext uri="{FF2B5EF4-FFF2-40B4-BE49-F238E27FC236}">
              <a16:creationId xmlns:a16="http://schemas.microsoft.com/office/drawing/2014/main" id="{B38F489F-5EEF-498B-85FF-DC13E364911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71" name="Text Box 1">
          <a:extLst>
            <a:ext uri="{FF2B5EF4-FFF2-40B4-BE49-F238E27FC236}">
              <a16:creationId xmlns:a16="http://schemas.microsoft.com/office/drawing/2014/main" id="{20F770B1-4283-4D2E-B790-1C99BBB441D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72" name="Text Box 1">
          <a:extLst>
            <a:ext uri="{FF2B5EF4-FFF2-40B4-BE49-F238E27FC236}">
              <a16:creationId xmlns:a16="http://schemas.microsoft.com/office/drawing/2014/main" id="{EA1A0F4D-6281-42C8-8B30-409BA310941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73" name="Text Box 1">
          <a:extLst>
            <a:ext uri="{FF2B5EF4-FFF2-40B4-BE49-F238E27FC236}">
              <a16:creationId xmlns:a16="http://schemas.microsoft.com/office/drawing/2014/main" id="{015219CE-AA0E-4541-80BB-70F2DA07C60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74" name="Text Box 1">
          <a:extLst>
            <a:ext uri="{FF2B5EF4-FFF2-40B4-BE49-F238E27FC236}">
              <a16:creationId xmlns:a16="http://schemas.microsoft.com/office/drawing/2014/main" id="{81A013A3-5523-4623-85B1-F7DF3E43239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75" name="Text Box 1">
          <a:extLst>
            <a:ext uri="{FF2B5EF4-FFF2-40B4-BE49-F238E27FC236}">
              <a16:creationId xmlns:a16="http://schemas.microsoft.com/office/drawing/2014/main" id="{FC967C47-0ECE-4E84-804B-2C8E02FA6D7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76" name="Text Box 1">
          <a:extLst>
            <a:ext uri="{FF2B5EF4-FFF2-40B4-BE49-F238E27FC236}">
              <a16:creationId xmlns:a16="http://schemas.microsoft.com/office/drawing/2014/main" id="{1DF75233-C769-4387-AEC2-0EEE4A7D480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77" name="Text Box 1">
          <a:extLst>
            <a:ext uri="{FF2B5EF4-FFF2-40B4-BE49-F238E27FC236}">
              <a16:creationId xmlns:a16="http://schemas.microsoft.com/office/drawing/2014/main" id="{EE91751C-50EE-447C-8189-C5AA324C12C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78" name="Text Box 1">
          <a:extLst>
            <a:ext uri="{FF2B5EF4-FFF2-40B4-BE49-F238E27FC236}">
              <a16:creationId xmlns:a16="http://schemas.microsoft.com/office/drawing/2014/main" id="{23397433-DB77-4B8D-82EE-D4326F04302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79" name="Text Box 1">
          <a:extLst>
            <a:ext uri="{FF2B5EF4-FFF2-40B4-BE49-F238E27FC236}">
              <a16:creationId xmlns:a16="http://schemas.microsoft.com/office/drawing/2014/main" id="{91BE50FF-E73E-4795-82A1-103DDB8EDF1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80" name="Text Box 1">
          <a:extLst>
            <a:ext uri="{FF2B5EF4-FFF2-40B4-BE49-F238E27FC236}">
              <a16:creationId xmlns:a16="http://schemas.microsoft.com/office/drawing/2014/main" id="{B2F51174-2405-4F6A-9DD8-0BBFD4D8C45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81" name="Text Box 1">
          <a:extLst>
            <a:ext uri="{FF2B5EF4-FFF2-40B4-BE49-F238E27FC236}">
              <a16:creationId xmlns:a16="http://schemas.microsoft.com/office/drawing/2014/main" id="{43AE9E4E-64B2-4C7D-8759-7043888B701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82" name="Text Box 1">
          <a:extLst>
            <a:ext uri="{FF2B5EF4-FFF2-40B4-BE49-F238E27FC236}">
              <a16:creationId xmlns:a16="http://schemas.microsoft.com/office/drawing/2014/main" id="{D2467806-6E8B-4D52-AE4D-A989CACE1DA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83" name="Text Box 1">
          <a:extLst>
            <a:ext uri="{FF2B5EF4-FFF2-40B4-BE49-F238E27FC236}">
              <a16:creationId xmlns:a16="http://schemas.microsoft.com/office/drawing/2014/main" id="{E0F93448-2B71-42F4-88B9-C92B5180EA7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84" name="Text Box 1">
          <a:extLst>
            <a:ext uri="{FF2B5EF4-FFF2-40B4-BE49-F238E27FC236}">
              <a16:creationId xmlns:a16="http://schemas.microsoft.com/office/drawing/2014/main" id="{B4072424-3C2A-470E-A6D8-C77CCB210A5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85" name="Text Box 1">
          <a:extLst>
            <a:ext uri="{FF2B5EF4-FFF2-40B4-BE49-F238E27FC236}">
              <a16:creationId xmlns:a16="http://schemas.microsoft.com/office/drawing/2014/main" id="{9D07AC73-0C13-46BF-8478-C354E60A1F4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86" name="Text Box 1">
          <a:extLst>
            <a:ext uri="{FF2B5EF4-FFF2-40B4-BE49-F238E27FC236}">
              <a16:creationId xmlns:a16="http://schemas.microsoft.com/office/drawing/2014/main" id="{5F741A18-3211-457A-8DF2-3AEC6AA153E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87" name="Text Box 1">
          <a:extLst>
            <a:ext uri="{FF2B5EF4-FFF2-40B4-BE49-F238E27FC236}">
              <a16:creationId xmlns:a16="http://schemas.microsoft.com/office/drawing/2014/main" id="{C767E743-9DDD-4059-9C14-2546A19844F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88" name="Text Box 1">
          <a:extLst>
            <a:ext uri="{FF2B5EF4-FFF2-40B4-BE49-F238E27FC236}">
              <a16:creationId xmlns:a16="http://schemas.microsoft.com/office/drawing/2014/main" id="{8ACB77FC-88D5-4609-9D67-08EE861CDA4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89" name="Text Box 1">
          <a:extLst>
            <a:ext uri="{FF2B5EF4-FFF2-40B4-BE49-F238E27FC236}">
              <a16:creationId xmlns:a16="http://schemas.microsoft.com/office/drawing/2014/main" id="{2DCE550B-00C7-4CC3-899C-9E0F8E2D820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90" name="Text Box 1">
          <a:extLst>
            <a:ext uri="{FF2B5EF4-FFF2-40B4-BE49-F238E27FC236}">
              <a16:creationId xmlns:a16="http://schemas.microsoft.com/office/drawing/2014/main" id="{7C82147B-C597-4C73-BAF0-538DF97FA83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91" name="Text Box 1">
          <a:extLst>
            <a:ext uri="{FF2B5EF4-FFF2-40B4-BE49-F238E27FC236}">
              <a16:creationId xmlns:a16="http://schemas.microsoft.com/office/drawing/2014/main" id="{91148095-215D-4593-B7FF-9E372001A52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92" name="Text Box 1">
          <a:extLst>
            <a:ext uri="{FF2B5EF4-FFF2-40B4-BE49-F238E27FC236}">
              <a16:creationId xmlns:a16="http://schemas.microsoft.com/office/drawing/2014/main" id="{63119410-95A5-4148-9A31-70A895464F5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93" name="Text Box 1">
          <a:extLst>
            <a:ext uri="{FF2B5EF4-FFF2-40B4-BE49-F238E27FC236}">
              <a16:creationId xmlns:a16="http://schemas.microsoft.com/office/drawing/2014/main" id="{0ACED474-4757-4267-B83E-BB3C350D6FA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94" name="Text Box 1">
          <a:extLst>
            <a:ext uri="{FF2B5EF4-FFF2-40B4-BE49-F238E27FC236}">
              <a16:creationId xmlns:a16="http://schemas.microsoft.com/office/drawing/2014/main" id="{FEA1C400-3D92-4C04-B059-9BCEAAB25ED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95" name="Text Box 1">
          <a:extLst>
            <a:ext uri="{FF2B5EF4-FFF2-40B4-BE49-F238E27FC236}">
              <a16:creationId xmlns:a16="http://schemas.microsoft.com/office/drawing/2014/main" id="{B8557DCA-F628-4D99-9D81-DA9AF7B0088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96" name="Text Box 1">
          <a:extLst>
            <a:ext uri="{FF2B5EF4-FFF2-40B4-BE49-F238E27FC236}">
              <a16:creationId xmlns:a16="http://schemas.microsoft.com/office/drawing/2014/main" id="{06DDACD6-3256-463A-911D-35F99416E56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97" name="Text Box 1">
          <a:extLst>
            <a:ext uri="{FF2B5EF4-FFF2-40B4-BE49-F238E27FC236}">
              <a16:creationId xmlns:a16="http://schemas.microsoft.com/office/drawing/2014/main" id="{F6305D89-652A-4F2A-8D68-EAF9AC82DC2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98" name="Text Box 1">
          <a:extLst>
            <a:ext uri="{FF2B5EF4-FFF2-40B4-BE49-F238E27FC236}">
              <a16:creationId xmlns:a16="http://schemas.microsoft.com/office/drawing/2014/main" id="{E1B59616-F261-439B-9B58-D507E4DD5F5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599" name="Text Box 1">
          <a:extLst>
            <a:ext uri="{FF2B5EF4-FFF2-40B4-BE49-F238E27FC236}">
              <a16:creationId xmlns:a16="http://schemas.microsoft.com/office/drawing/2014/main" id="{99EDC8FE-AACA-46E3-BFC8-BB24167DBE5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00" name="Text Box 1">
          <a:extLst>
            <a:ext uri="{FF2B5EF4-FFF2-40B4-BE49-F238E27FC236}">
              <a16:creationId xmlns:a16="http://schemas.microsoft.com/office/drawing/2014/main" id="{BFC14281-A39E-47AF-BD46-1FC668D1633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01" name="Text Box 1">
          <a:extLst>
            <a:ext uri="{FF2B5EF4-FFF2-40B4-BE49-F238E27FC236}">
              <a16:creationId xmlns:a16="http://schemas.microsoft.com/office/drawing/2014/main" id="{A1EA8FED-32B9-4028-A6F3-30DD6C667B7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02" name="Text Box 1">
          <a:extLst>
            <a:ext uri="{FF2B5EF4-FFF2-40B4-BE49-F238E27FC236}">
              <a16:creationId xmlns:a16="http://schemas.microsoft.com/office/drawing/2014/main" id="{1D19008B-1C68-42FF-8CF7-F171BA74DFD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03" name="Text Box 1">
          <a:extLst>
            <a:ext uri="{FF2B5EF4-FFF2-40B4-BE49-F238E27FC236}">
              <a16:creationId xmlns:a16="http://schemas.microsoft.com/office/drawing/2014/main" id="{5DB7FB92-244B-4566-ABF6-10AFFFF7AB8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04" name="Text Box 1">
          <a:extLst>
            <a:ext uri="{FF2B5EF4-FFF2-40B4-BE49-F238E27FC236}">
              <a16:creationId xmlns:a16="http://schemas.microsoft.com/office/drawing/2014/main" id="{FA6BE0A1-78A1-475D-86AB-CA7AB826B1B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05" name="Text Box 1">
          <a:extLst>
            <a:ext uri="{FF2B5EF4-FFF2-40B4-BE49-F238E27FC236}">
              <a16:creationId xmlns:a16="http://schemas.microsoft.com/office/drawing/2014/main" id="{80F63BD1-7C0E-45A9-8A1E-6E32EFDAAE1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06" name="Text Box 1">
          <a:extLst>
            <a:ext uri="{FF2B5EF4-FFF2-40B4-BE49-F238E27FC236}">
              <a16:creationId xmlns:a16="http://schemas.microsoft.com/office/drawing/2014/main" id="{EC41CB8A-3DA4-45FC-AD39-EE4ACC5DC6C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07" name="Text Box 1">
          <a:extLst>
            <a:ext uri="{FF2B5EF4-FFF2-40B4-BE49-F238E27FC236}">
              <a16:creationId xmlns:a16="http://schemas.microsoft.com/office/drawing/2014/main" id="{C1DE5BB4-5E93-4C18-B5F6-DADCEFA617E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08" name="Text Box 1">
          <a:extLst>
            <a:ext uri="{FF2B5EF4-FFF2-40B4-BE49-F238E27FC236}">
              <a16:creationId xmlns:a16="http://schemas.microsoft.com/office/drawing/2014/main" id="{29985C7E-B1AD-441B-B5A1-68103CA2F4C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09" name="Text Box 1">
          <a:extLst>
            <a:ext uri="{FF2B5EF4-FFF2-40B4-BE49-F238E27FC236}">
              <a16:creationId xmlns:a16="http://schemas.microsoft.com/office/drawing/2014/main" id="{4A9B4A9C-D504-4F8A-90DA-BE5A3BA1756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10" name="Text Box 1">
          <a:extLst>
            <a:ext uri="{FF2B5EF4-FFF2-40B4-BE49-F238E27FC236}">
              <a16:creationId xmlns:a16="http://schemas.microsoft.com/office/drawing/2014/main" id="{017BBB51-1828-4A81-AE83-1ADC7764662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11" name="Text Box 1">
          <a:extLst>
            <a:ext uri="{FF2B5EF4-FFF2-40B4-BE49-F238E27FC236}">
              <a16:creationId xmlns:a16="http://schemas.microsoft.com/office/drawing/2014/main" id="{56F2FC08-1053-4E59-98D8-B0B7FF23B54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12" name="Text Box 1">
          <a:extLst>
            <a:ext uri="{FF2B5EF4-FFF2-40B4-BE49-F238E27FC236}">
              <a16:creationId xmlns:a16="http://schemas.microsoft.com/office/drawing/2014/main" id="{2FF522D0-0173-4D6F-A73D-50CD02F8A4C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13" name="Text Box 1">
          <a:extLst>
            <a:ext uri="{FF2B5EF4-FFF2-40B4-BE49-F238E27FC236}">
              <a16:creationId xmlns:a16="http://schemas.microsoft.com/office/drawing/2014/main" id="{1A41AB1F-3D44-4A03-AA36-BF939BB9816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14" name="Text Box 1">
          <a:extLst>
            <a:ext uri="{FF2B5EF4-FFF2-40B4-BE49-F238E27FC236}">
              <a16:creationId xmlns:a16="http://schemas.microsoft.com/office/drawing/2014/main" id="{EC690786-FC00-4C9B-9F7A-1FF76A6451D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15" name="Text Box 1">
          <a:extLst>
            <a:ext uri="{FF2B5EF4-FFF2-40B4-BE49-F238E27FC236}">
              <a16:creationId xmlns:a16="http://schemas.microsoft.com/office/drawing/2014/main" id="{D9D0061F-CDA1-4BF5-B2AA-7D13A92966F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16" name="Text Box 1">
          <a:extLst>
            <a:ext uri="{FF2B5EF4-FFF2-40B4-BE49-F238E27FC236}">
              <a16:creationId xmlns:a16="http://schemas.microsoft.com/office/drawing/2014/main" id="{BE069916-17FE-4520-AE26-D905A72855B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17" name="Text Box 1">
          <a:extLst>
            <a:ext uri="{FF2B5EF4-FFF2-40B4-BE49-F238E27FC236}">
              <a16:creationId xmlns:a16="http://schemas.microsoft.com/office/drawing/2014/main" id="{B7CCBD03-1CD5-4F05-A05A-ACBC53E63F5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18" name="Text Box 1">
          <a:extLst>
            <a:ext uri="{FF2B5EF4-FFF2-40B4-BE49-F238E27FC236}">
              <a16:creationId xmlns:a16="http://schemas.microsoft.com/office/drawing/2014/main" id="{2FADFCFC-B32B-44D0-91DC-01ABBAEB99E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19" name="Text Box 1">
          <a:extLst>
            <a:ext uri="{FF2B5EF4-FFF2-40B4-BE49-F238E27FC236}">
              <a16:creationId xmlns:a16="http://schemas.microsoft.com/office/drawing/2014/main" id="{3CC5ED7A-998E-44DA-B24A-4642DCF76FC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20" name="Text Box 1">
          <a:extLst>
            <a:ext uri="{FF2B5EF4-FFF2-40B4-BE49-F238E27FC236}">
              <a16:creationId xmlns:a16="http://schemas.microsoft.com/office/drawing/2014/main" id="{A335A136-8CB1-4C30-AFD8-CDCC03E095B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21" name="Text Box 1">
          <a:extLst>
            <a:ext uri="{FF2B5EF4-FFF2-40B4-BE49-F238E27FC236}">
              <a16:creationId xmlns:a16="http://schemas.microsoft.com/office/drawing/2014/main" id="{C34AB1B3-94E9-48A1-ADA0-A7D3A2C459D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22" name="Text Box 1">
          <a:extLst>
            <a:ext uri="{FF2B5EF4-FFF2-40B4-BE49-F238E27FC236}">
              <a16:creationId xmlns:a16="http://schemas.microsoft.com/office/drawing/2014/main" id="{F38B4DF8-87ED-490E-8CFD-5FE6EEC012B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23" name="Text Box 1">
          <a:extLst>
            <a:ext uri="{FF2B5EF4-FFF2-40B4-BE49-F238E27FC236}">
              <a16:creationId xmlns:a16="http://schemas.microsoft.com/office/drawing/2014/main" id="{93B36C15-B66D-4A7B-9028-05234F11DDA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24" name="Text Box 1">
          <a:extLst>
            <a:ext uri="{FF2B5EF4-FFF2-40B4-BE49-F238E27FC236}">
              <a16:creationId xmlns:a16="http://schemas.microsoft.com/office/drawing/2014/main" id="{EAFD1004-1FA9-42EB-A8F2-D0A63315E0D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25" name="Text Box 1">
          <a:extLst>
            <a:ext uri="{FF2B5EF4-FFF2-40B4-BE49-F238E27FC236}">
              <a16:creationId xmlns:a16="http://schemas.microsoft.com/office/drawing/2014/main" id="{03FB5A21-514C-4203-9FFD-55CC26E51A2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26" name="Text Box 1">
          <a:extLst>
            <a:ext uri="{FF2B5EF4-FFF2-40B4-BE49-F238E27FC236}">
              <a16:creationId xmlns:a16="http://schemas.microsoft.com/office/drawing/2014/main" id="{15700775-3574-40A1-8215-5FB491AA8C1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27" name="Text Box 1">
          <a:extLst>
            <a:ext uri="{FF2B5EF4-FFF2-40B4-BE49-F238E27FC236}">
              <a16:creationId xmlns:a16="http://schemas.microsoft.com/office/drawing/2014/main" id="{1E3233F1-0EF9-4934-9967-37DA34CF666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28" name="Text Box 1">
          <a:extLst>
            <a:ext uri="{FF2B5EF4-FFF2-40B4-BE49-F238E27FC236}">
              <a16:creationId xmlns:a16="http://schemas.microsoft.com/office/drawing/2014/main" id="{58AFAC7C-A268-4009-8BA9-04DDE39B146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29" name="Text Box 1">
          <a:extLst>
            <a:ext uri="{FF2B5EF4-FFF2-40B4-BE49-F238E27FC236}">
              <a16:creationId xmlns:a16="http://schemas.microsoft.com/office/drawing/2014/main" id="{7BB819ED-E480-4B87-B16B-CE49244103A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30" name="Text Box 1">
          <a:extLst>
            <a:ext uri="{FF2B5EF4-FFF2-40B4-BE49-F238E27FC236}">
              <a16:creationId xmlns:a16="http://schemas.microsoft.com/office/drawing/2014/main" id="{10020AC2-1EB0-4103-A60B-F78E2A7C066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31" name="Text Box 1">
          <a:extLst>
            <a:ext uri="{FF2B5EF4-FFF2-40B4-BE49-F238E27FC236}">
              <a16:creationId xmlns:a16="http://schemas.microsoft.com/office/drawing/2014/main" id="{FA0C6649-0B99-49E5-9A08-21FBD459E15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32" name="Text Box 1">
          <a:extLst>
            <a:ext uri="{FF2B5EF4-FFF2-40B4-BE49-F238E27FC236}">
              <a16:creationId xmlns:a16="http://schemas.microsoft.com/office/drawing/2014/main" id="{4BACF3F0-0476-4BD1-BD3F-763CF9D61E9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33" name="Text Box 1">
          <a:extLst>
            <a:ext uri="{FF2B5EF4-FFF2-40B4-BE49-F238E27FC236}">
              <a16:creationId xmlns:a16="http://schemas.microsoft.com/office/drawing/2014/main" id="{DDBA7083-ED86-49E2-B37A-0933E461AAB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34" name="Text Box 1">
          <a:extLst>
            <a:ext uri="{FF2B5EF4-FFF2-40B4-BE49-F238E27FC236}">
              <a16:creationId xmlns:a16="http://schemas.microsoft.com/office/drawing/2014/main" id="{DC1036CC-6603-44C4-B83C-AEE6EA37F0D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35" name="Text Box 1">
          <a:extLst>
            <a:ext uri="{FF2B5EF4-FFF2-40B4-BE49-F238E27FC236}">
              <a16:creationId xmlns:a16="http://schemas.microsoft.com/office/drawing/2014/main" id="{03F457BD-65CA-4633-BFD7-3F27BDF7CBF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36" name="Text Box 1">
          <a:extLst>
            <a:ext uri="{FF2B5EF4-FFF2-40B4-BE49-F238E27FC236}">
              <a16:creationId xmlns:a16="http://schemas.microsoft.com/office/drawing/2014/main" id="{6CC5EA16-B403-4B04-9D63-1FBACBFFCF8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37" name="Text Box 1">
          <a:extLst>
            <a:ext uri="{FF2B5EF4-FFF2-40B4-BE49-F238E27FC236}">
              <a16:creationId xmlns:a16="http://schemas.microsoft.com/office/drawing/2014/main" id="{4AEB7763-C872-4FD5-923E-2482A469055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38" name="Text Box 1">
          <a:extLst>
            <a:ext uri="{FF2B5EF4-FFF2-40B4-BE49-F238E27FC236}">
              <a16:creationId xmlns:a16="http://schemas.microsoft.com/office/drawing/2014/main" id="{C98BF446-679D-4B07-A3CD-9EE802F5B97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39" name="Text Box 1">
          <a:extLst>
            <a:ext uri="{FF2B5EF4-FFF2-40B4-BE49-F238E27FC236}">
              <a16:creationId xmlns:a16="http://schemas.microsoft.com/office/drawing/2014/main" id="{ED76C396-5C05-4009-A5CD-E9120295876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40" name="Text Box 1">
          <a:extLst>
            <a:ext uri="{FF2B5EF4-FFF2-40B4-BE49-F238E27FC236}">
              <a16:creationId xmlns:a16="http://schemas.microsoft.com/office/drawing/2014/main" id="{131DB6BD-2C9D-4FCA-BC3C-67EA83CA662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41" name="Text Box 1">
          <a:extLst>
            <a:ext uri="{FF2B5EF4-FFF2-40B4-BE49-F238E27FC236}">
              <a16:creationId xmlns:a16="http://schemas.microsoft.com/office/drawing/2014/main" id="{EA10B719-2D11-4413-9614-EA2FFFA21F5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42" name="Text Box 1">
          <a:extLst>
            <a:ext uri="{FF2B5EF4-FFF2-40B4-BE49-F238E27FC236}">
              <a16:creationId xmlns:a16="http://schemas.microsoft.com/office/drawing/2014/main" id="{16435A44-5579-4279-A399-4E7F4434005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43" name="Text Box 1">
          <a:extLst>
            <a:ext uri="{FF2B5EF4-FFF2-40B4-BE49-F238E27FC236}">
              <a16:creationId xmlns:a16="http://schemas.microsoft.com/office/drawing/2014/main" id="{B052C018-E9EB-4C04-816B-E3D4A3579E3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44" name="Text Box 1">
          <a:extLst>
            <a:ext uri="{FF2B5EF4-FFF2-40B4-BE49-F238E27FC236}">
              <a16:creationId xmlns:a16="http://schemas.microsoft.com/office/drawing/2014/main" id="{8B5A9E1E-B251-41E7-A0D5-8462629B166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45" name="Text Box 1">
          <a:extLst>
            <a:ext uri="{FF2B5EF4-FFF2-40B4-BE49-F238E27FC236}">
              <a16:creationId xmlns:a16="http://schemas.microsoft.com/office/drawing/2014/main" id="{D64593CB-4147-4D29-A942-1B7B4567F62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46" name="Text Box 1">
          <a:extLst>
            <a:ext uri="{FF2B5EF4-FFF2-40B4-BE49-F238E27FC236}">
              <a16:creationId xmlns:a16="http://schemas.microsoft.com/office/drawing/2014/main" id="{1B2F8181-48C1-4434-B64D-2633EA4EC39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47" name="Text Box 1">
          <a:extLst>
            <a:ext uri="{FF2B5EF4-FFF2-40B4-BE49-F238E27FC236}">
              <a16:creationId xmlns:a16="http://schemas.microsoft.com/office/drawing/2014/main" id="{51217ED7-CD9E-48F2-9AD8-115D655DD1F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48" name="Text Box 1">
          <a:extLst>
            <a:ext uri="{FF2B5EF4-FFF2-40B4-BE49-F238E27FC236}">
              <a16:creationId xmlns:a16="http://schemas.microsoft.com/office/drawing/2014/main" id="{BDF579B3-BFEB-48A0-8D22-FCDE29A84D1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49" name="Text Box 1">
          <a:extLst>
            <a:ext uri="{FF2B5EF4-FFF2-40B4-BE49-F238E27FC236}">
              <a16:creationId xmlns:a16="http://schemas.microsoft.com/office/drawing/2014/main" id="{DBE59930-1CCD-44E4-A89A-9A6D73A14A8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50" name="Text Box 1">
          <a:extLst>
            <a:ext uri="{FF2B5EF4-FFF2-40B4-BE49-F238E27FC236}">
              <a16:creationId xmlns:a16="http://schemas.microsoft.com/office/drawing/2014/main" id="{11211EE4-2234-4CB6-856D-024E45E78B6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51" name="Text Box 1">
          <a:extLst>
            <a:ext uri="{FF2B5EF4-FFF2-40B4-BE49-F238E27FC236}">
              <a16:creationId xmlns:a16="http://schemas.microsoft.com/office/drawing/2014/main" id="{8B04F0C9-6AF6-4594-B0E8-C68F5C195E4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52" name="Text Box 1">
          <a:extLst>
            <a:ext uri="{FF2B5EF4-FFF2-40B4-BE49-F238E27FC236}">
              <a16:creationId xmlns:a16="http://schemas.microsoft.com/office/drawing/2014/main" id="{10FEEE18-8A3D-4EEC-A705-0141DEAB03A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53" name="Text Box 1">
          <a:extLst>
            <a:ext uri="{FF2B5EF4-FFF2-40B4-BE49-F238E27FC236}">
              <a16:creationId xmlns:a16="http://schemas.microsoft.com/office/drawing/2014/main" id="{09690A28-59E6-480E-AE4C-CB68285F0E2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54" name="Text Box 1">
          <a:extLst>
            <a:ext uri="{FF2B5EF4-FFF2-40B4-BE49-F238E27FC236}">
              <a16:creationId xmlns:a16="http://schemas.microsoft.com/office/drawing/2014/main" id="{22A937A8-8CF6-49BB-AC90-84E277F1BE7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55" name="Text Box 1">
          <a:extLst>
            <a:ext uri="{FF2B5EF4-FFF2-40B4-BE49-F238E27FC236}">
              <a16:creationId xmlns:a16="http://schemas.microsoft.com/office/drawing/2014/main" id="{D027B442-DACD-48C2-806A-D6CB36708BE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56" name="Text Box 1">
          <a:extLst>
            <a:ext uri="{FF2B5EF4-FFF2-40B4-BE49-F238E27FC236}">
              <a16:creationId xmlns:a16="http://schemas.microsoft.com/office/drawing/2014/main" id="{9E26CD96-5E68-441A-A4F0-FC2E803CE6E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57" name="Text Box 1">
          <a:extLst>
            <a:ext uri="{FF2B5EF4-FFF2-40B4-BE49-F238E27FC236}">
              <a16:creationId xmlns:a16="http://schemas.microsoft.com/office/drawing/2014/main" id="{CB077DEE-AA2D-4496-9BF6-5D22509FBAE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58" name="Text Box 1">
          <a:extLst>
            <a:ext uri="{FF2B5EF4-FFF2-40B4-BE49-F238E27FC236}">
              <a16:creationId xmlns:a16="http://schemas.microsoft.com/office/drawing/2014/main" id="{15BE25A8-EFEE-4E37-86E2-9828E7C00FC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59" name="Text Box 1">
          <a:extLst>
            <a:ext uri="{FF2B5EF4-FFF2-40B4-BE49-F238E27FC236}">
              <a16:creationId xmlns:a16="http://schemas.microsoft.com/office/drawing/2014/main" id="{A4E30E03-8349-4913-BEAF-094A489632F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60" name="Text Box 1">
          <a:extLst>
            <a:ext uri="{FF2B5EF4-FFF2-40B4-BE49-F238E27FC236}">
              <a16:creationId xmlns:a16="http://schemas.microsoft.com/office/drawing/2014/main" id="{D5BCAC51-3A79-4C43-97C2-38DBC83CACA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61" name="Text Box 1">
          <a:extLst>
            <a:ext uri="{FF2B5EF4-FFF2-40B4-BE49-F238E27FC236}">
              <a16:creationId xmlns:a16="http://schemas.microsoft.com/office/drawing/2014/main" id="{D7F99061-E395-4FF1-8E89-1E62E2BF123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62" name="Text Box 1">
          <a:extLst>
            <a:ext uri="{FF2B5EF4-FFF2-40B4-BE49-F238E27FC236}">
              <a16:creationId xmlns:a16="http://schemas.microsoft.com/office/drawing/2014/main" id="{7E197FF0-8181-49A2-BE2A-F06DE28E2A6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63" name="Text Box 1">
          <a:extLst>
            <a:ext uri="{FF2B5EF4-FFF2-40B4-BE49-F238E27FC236}">
              <a16:creationId xmlns:a16="http://schemas.microsoft.com/office/drawing/2014/main" id="{2E8CC6FB-7F6C-411F-B976-5A50B11D08A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64" name="Text Box 1">
          <a:extLst>
            <a:ext uri="{FF2B5EF4-FFF2-40B4-BE49-F238E27FC236}">
              <a16:creationId xmlns:a16="http://schemas.microsoft.com/office/drawing/2014/main" id="{AC59F7D4-9A45-4347-B8D0-4D7F576C962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65" name="Text Box 1">
          <a:extLst>
            <a:ext uri="{FF2B5EF4-FFF2-40B4-BE49-F238E27FC236}">
              <a16:creationId xmlns:a16="http://schemas.microsoft.com/office/drawing/2014/main" id="{60712D6C-08EC-4D8A-BFA9-0EFE86882F6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66" name="Text Box 1">
          <a:extLst>
            <a:ext uri="{FF2B5EF4-FFF2-40B4-BE49-F238E27FC236}">
              <a16:creationId xmlns:a16="http://schemas.microsoft.com/office/drawing/2014/main" id="{428DBC51-6718-402A-AC45-77D78AA7A1E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67" name="Text Box 1">
          <a:extLst>
            <a:ext uri="{FF2B5EF4-FFF2-40B4-BE49-F238E27FC236}">
              <a16:creationId xmlns:a16="http://schemas.microsoft.com/office/drawing/2014/main" id="{6C75BEB8-FA16-4C20-800A-11E66AA2D26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68" name="Text Box 1">
          <a:extLst>
            <a:ext uri="{FF2B5EF4-FFF2-40B4-BE49-F238E27FC236}">
              <a16:creationId xmlns:a16="http://schemas.microsoft.com/office/drawing/2014/main" id="{69B3A153-4BC8-4CB5-8BEC-D2DC3CE51C6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69" name="Text Box 1">
          <a:extLst>
            <a:ext uri="{FF2B5EF4-FFF2-40B4-BE49-F238E27FC236}">
              <a16:creationId xmlns:a16="http://schemas.microsoft.com/office/drawing/2014/main" id="{E69D392B-DFE7-47B7-8EA6-66DE219EE91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70" name="Text Box 1">
          <a:extLst>
            <a:ext uri="{FF2B5EF4-FFF2-40B4-BE49-F238E27FC236}">
              <a16:creationId xmlns:a16="http://schemas.microsoft.com/office/drawing/2014/main" id="{B654CA68-AB24-41A2-88E5-9C818EEFE09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71" name="Text Box 1">
          <a:extLst>
            <a:ext uri="{FF2B5EF4-FFF2-40B4-BE49-F238E27FC236}">
              <a16:creationId xmlns:a16="http://schemas.microsoft.com/office/drawing/2014/main" id="{0C952CA9-52EB-43A7-99F5-CE104D046AC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72" name="Text Box 1">
          <a:extLst>
            <a:ext uri="{FF2B5EF4-FFF2-40B4-BE49-F238E27FC236}">
              <a16:creationId xmlns:a16="http://schemas.microsoft.com/office/drawing/2014/main" id="{A99AA7DD-FC80-4E42-AFDB-DE99B0DD9E7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73" name="Text Box 1">
          <a:extLst>
            <a:ext uri="{FF2B5EF4-FFF2-40B4-BE49-F238E27FC236}">
              <a16:creationId xmlns:a16="http://schemas.microsoft.com/office/drawing/2014/main" id="{0212C331-9476-4AE1-9FF3-66C0AAF3BCB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74" name="Text Box 1">
          <a:extLst>
            <a:ext uri="{FF2B5EF4-FFF2-40B4-BE49-F238E27FC236}">
              <a16:creationId xmlns:a16="http://schemas.microsoft.com/office/drawing/2014/main" id="{9B634998-2634-48A3-A906-8ACCEBE2D3C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75" name="Text Box 1">
          <a:extLst>
            <a:ext uri="{FF2B5EF4-FFF2-40B4-BE49-F238E27FC236}">
              <a16:creationId xmlns:a16="http://schemas.microsoft.com/office/drawing/2014/main" id="{CE2EE14A-0D92-4E66-9E33-F56A22CD685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76" name="Text Box 1">
          <a:extLst>
            <a:ext uri="{FF2B5EF4-FFF2-40B4-BE49-F238E27FC236}">
              <a16:creationId xmlns:a16="http://schemas.microsoft.com/office/drawing/2014/main" id="{29FF7595-AD8B-4406-B61D-BB1A5130CBA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77" name="Text Box 1">
          <a:extLst>
            <a:ext uri="{FF2B5EF4-FFF2-40B4-BE49-F238E27FC236}">
              <a16:creationId xmlns:a16="http://schemas.microsoft.com/office/drawing/2014/main" id="{E9A64399-2F07-4544-BE1C-54FC7D4F125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78" name="Text Box 1">
          <a:extLst>
            <a:ext uri="{FF2B5EF4-FFF2-40B4-BE49-F238E27FC236}">
              <a16:creationId xmlns:a16="http://schemas.microsoft.com/office/drawing/2014/main" id="{DB1AB661-9B4F-4F7B-9578-553CA2B7C65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79" name="Text Box 1">
          <a:extLst>
            <a:ext uri="{FF2B5EF4-FFF2-40B4-BE49-F238E27FC236}">
              <a16:creationId xmlns:a16="http://schemas.microsoft.com/office/drawing/2014/main" id="{3DCB6A63-1B6C-4553-BACE-539567E0AA8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80" name="Text Box 1">
          <a:extLst>
            <a:ext uri="{FF2B5EF4-FFF2-40B4-BE49-F238E27FC236}">
              <a16:creationId xmlns:a16="http://schemas.microsoft.com/office/drawing/2014/main" id="{F76E8176-FA2C-4561-9CB2-5514BC3E261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81" name="Text Box 1">
          <a:extLst>
            <a:ext uri="{FF2B5EF4-FFF2-40B4-BE49-F238E27FC236}">
              <a16:creationId xmlns:a16="http://schemas.microsoft.com/office/drawing/2014/main" id="{FC974197-3107-4504-B6E6-85FC3ABB1B9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82" name="Text Box 1">
          <a:extLst>
            <a:ext uri="{FF2B5EF4-FFF2-40B4-BE49-F238E27FC236}">
              <a16:creationId xmlns:a16="http://schemas.microsoft.com/office/drawing/2014/main" id="{17B5A695-2AC7-48B3-96EA-D0FD1E5D533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83" name="Text Box 1">
          <a:extLst>
            <a:ext uri="{FF2B5EF4-FFF2-40B4-BE49-F238E27FC236}">
              <a16:creationId xmlns:a16="http://schemas.microsoft.com/office/drawing/2014/main" id="{BB770B51-852A-40CD-8780-637E0309307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84" name="Text Box 1">
          <a:extLst>
            <a:ext uri="{FF2B5EF4-FFF2-40B4-BE49-F238E27FC236}">
              <a16:creationId xmlns:a16="http://schemas.microsoft.com/office/drawing/2014/main" id="{FA50C0CF-7D93-470F-948E-3B6F9029FD5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85" name="Text Box 1">
          <a:extLst>
            <a:ext uri="{FF2B5EF4-FFF2-40B4-BE49-F238E27FC236}">
              <a16:creationId xmlns:a16="http://schemas.microsoft.com/office/drawing/2014/main" id="{8B829C76-CB61-44CD-B7ED-2370E33D17A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86" name="Text Box 1">
          <a:extLst>
            <a:ext uri="{FF2B5EF4-FFF2-40B4-BE49-F238E27FC236}">
              <a16:creationId xmlns:a16="http://schemas.microsoft.com/office/drawing/2014/main" id="{D6847B84-D774-4403-933D-D370D8632FC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87" name="Text Box 1">
          <a:extLst>
            <a:ext uri="{FF2B5EF4-FFF2-40B4-BE49-F238E27FC236}">
              <a16:creationId xmlns:a16="http://schemas.microsoft.com/office/drawing/2014/main" id="{19BF3885-21A6-4672-8C36-0EFC26F1D85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88" name="Text Box 1">
          <a:extLst>
            <a:ext uri="{FF2B5EF4-FFF2-40B4-BE49-F238E27FC236}">
              <a16:creationId xmlns:a16="http://schemas.microsoft.com/office/drawing/2014/main" id="{1C97089B-1D48-4061-B2A7-B954CD461EC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89" name="Text Box 1">
          <a:extLst>
            <a:ext uri="{FF2B5EF4-FFF2-40B4-BE49-F238E27FC236}">
              <a16:creationId xmlns:a16="http://schemas.microsoft.com/office/drawing/2014/main" id="{F8B33263-B147-4343-A1DB-A3C7938F0D7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90" name="Text Box 1">
          <a:extLst>
            <a:ext uri="{FF2B5EF4-FFF2-40B4-BE49-F238E27FC236}">
              <a16:creationId xmlns:a16="http://schemas.microsoft.com/office/drawing/2014/main" id="{179F7167-DC94-4BC0-9C23-F84A221D037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91" name="Text Box 1">
          <a:extLst>
            <a:ext uri="{FF2B5EF4-FFF2-40B4-BE49-F238E27FC236}">
              <a16:creationId xmlns:a16="http://schemas.microsoft.com/office/drawing/2014/main" id="{93D24F4B-5DA4-4F5A-A2C6-7C15B5EC10C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92" name="Text Box 1">
          <a:extLst>
            <a:ext uri="{FF2B5EF4-FFF2-40B4-BE49-F238E27FC236}">
              <a16:creationId xmlns:a16="http://schemas.microsoft.com/office/drawing/2014/main" id="{85F11C92-A001-4242-9858-0392521CCA0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93" name="Text Box 1">
          <a:extLst>
            <a:ext uri="{FF2B5EF4-FFF2-40B4-BE49-F238E27FC236}">
              <a16:creationId xmlns:a16="http://schemas.microsoft.com/office/drawing/2014/main" id="{D3CFFF21-403E-4834-BFCB-50FD0C422EA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94" name="Text Box 1">
          <a:extLst>
            <a:ext uri="{FF2B5EF4-FFF2-40B4-BE49-F238E27FC236}">
              <a16:creationId xmlns:a16="http://schemas.microsoft.com/office/drawing/2014/main" id="{DE3EC452-51F6-437D-A62A-1ACB3B4EE01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95" name="Text Box 1">
          <a:extLst>
            <a:ext uri="{FF2B5EF4-FFF2-40B4-BE49-F238E27FC236}">
              <a16:creationId xmlns:a16="http://schemas.microsoft.com/office/drawing/2014/main" id="{5F3E9F00-3834-460C-9515-DFFCA952FB9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96" name="Text Box 1">
          <a:extLst>
            <a:ext uri="{FF2B5EF4-FFF2-40B4-BE49-F238E27FC236}">
              <a16:creationId xmlns:a16="http://schemas.microsoft.com/office/drawing/2014/main" id="{EBAFB76E-E0C3-4334-A4DB-FBA291E727D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97" name="Text Box 1">
          <a:extLst>
            <a:ext uri="{FF2B5EF4-FFF2-40B4-BE49-F238E27FC236}">
              <a16:creationId xmlns:a16="http://schemas.microsoft.com/office/drawing/2014/main" id="{0DCAE8B8-A914-4E45-80B1-A706B58CD53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98" name="Text Box 1">
          <a:extLst>
            <a:ext uri="{FF2B5EF4-FFF2-40B4-BE49-F238E27FC236}">
              <a16:creationId xmlns:a16="http://schemas.microsoft.com/office/drawing/2014/main" id="{BEFF63AB-AF68-475F-A383-EF044AF9E38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699" name="Text Box 1">
          <a:extLst>
            <a:ext uri="{FF2B5EF4-FFF2-40B4-BE49-F238E27FC236}">
              <a16:creationId xmlns:a16="http://schemas.microsoft.com/office/drawing/2014/main" id="{45AEF6DD-2544-472F-90D8-DFC89BCF97D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00" name="Text Box 1">
          <a:extLst>
            <a:ext uri="{FF2B5EF4-FFF2-40B4-BE49-F238E27FC236}">
              <a16:creationId xmlns:a16="http://schemas.microsoft.com/office/drawing/2014/main" id="{84129DA3-E098-4A2A-A09F-0140178F3F0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01" name="Text Box 1">
          <a:extLst>
            <a:ext uri="{FF2B5EF4-FFF2-40B4-BE49-F238E27FC236}">
              <a16:creationId xmlns:a16="http://schemas.microsoft.com/office/drawing/2014/main" id="{0D93C4BF-A93C-4CB3-BDA7-160293D4093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02" name="Text Box 1">
          <a:extLst>
            <a:ext uri="{FF2B5EF4-FFF2-40B4-BE49-F238E27FC236}">
              <a16:creationId xmlns:a16="http://schemas.microsoft.com/office/drawing/2014/main" id="{1C50E567-CBBF-4430-9AD5-5155DFBC851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03" name="Text Box 1">
          <a:extLst>
            <a:ext uri="{FF2B5EF4-FFF2-40B4-BE49-F238E27FC236}">
              <a16:creationId xmlns:a16="http://schemas.microsoft.com/office/drawing/2014/main" id="{0EEA905B-5B13-4CA5-8B33-0D84580E9EF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04" name="Text Box 1">
          <a:extLst>
            <a:ext uri="{FF2B5EF4-FFF2-40B4-BE49-F238E27FC236}">
              <a16:creationId xmlns:a16="http://schemas.microsoft.com/office/drawing/2014/main" id="{D9AAC3B8-C6F4-417D-BD3A-9933562EF64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05" name="Text Box 1">
          <a:extLst>
            <a:ext uri="{FF2B5EF4-FFF2-40B4-BE49-F238E27FC236}">
              <a16:creationId xmlns:a16="http://schemas.microsoft.com/office/drawing/2014/main" id="{6CAAEACE-09D5-4CC6-8395-A96AD824A90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06" name="Text Box 1">
          <a:extLst>
            <a:ext uri="{FF2B5EF4-FFF2-40B4-BE49-F238E27FC236}">
              <a16:creationId xmlns:a16="http://schemas.microsoft.com/office/drawing/2014/main" id="{FAB49067-8356-48C3-B660-54222176E5F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07" name="Text Box 1">
          <a:extLst>
            <a:ext uri="{FF2B5EF4-FFF2-40B4-BE49-F238E27FC236}">
              <a16:creationId xmlns:a16="http://schemas.microsoft.com/office/drawing/2014/main" id="{BE6B6E63-78C4-4707-92D1-2DA816FA29E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08" name="Text Box 1">
          <a:extLst>
            <a:ext uri="{FF2B5EF4-FFF2-40B4-BE49-F238E27FC236}">
              <a16:creationId xmlns:a16="http://schemas.microsoft.com/office/drawing/2014/main" id="{AC054DB9-86C8-495C-97BD-5DBF460AE96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09" name="Text Box 1">
          <a:extLst>
            <a:ext uri="{FF2B5EF4-FFF2-40B4-BE49-F238E27FC236}">
              <a16:creationId xmlns:a16="http://schemas.microsoft.com/office/drawing/2014/main" id="{898937D9-E53E-4EAE-BDE5-564642E8289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10" name="Text Box 1">
          <a:extLst>
            <a:ext uri="{FF2B5EF4-FFF2-40B4-BE49-F238E27FC236}">
              <a16:creationId xmlns:a16="http://schemas.microsoft.com/office/drawing/2014/main" id="{BEE267F4-9633-49B3-BFBC-5292D296ED5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11" name="Text Box 1">
          <a:extLst>
            <a:ext uri="{FF2B5EF4-FFF2-40B4-BE49-F238E27FC236}">
              <a16:creationId xmlns:a16="http://schemas.microsoft.com/office/drawing/2014/main" id="{A1A5087A-BF30-4E06-8212-C430748AD87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12" name="Text Box 1">
          <a:extLst>
            <a:ext uri="{FF2B5EF4-FFF2-40B4-BE49-F238E27FC236}">
              <a16:creationId xmlns:a16="http://schemas.microsoft.com/office/drawing/2014/main" id="{B7E327DC-994B-4144-92B3-6F61CF1DACB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13" name="Text Box 1">
          <a:extLst>
            <a:ext uri="{FF2B5EF4-FFF2-40B4-BE49-F238E27FC236}">
              <a16:creationId xmlns:a16="http://schemas.microsoft.com/office/drawing/2014/main" id="{EF7E7343-9FFD-46A9-A97B-425451E31E8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14" name="Text Box 1">
          <a:extLst>
            <a:ext uri="{FF2B5EF4-FFF2-40B4-BE49-F238E27FC236}">
              <a16:creationId xmlns:a16="http://schemas.microsoft.com/office/drawing/2014/main" id="{F222E002-9E24-48C1-8F1E-E3B092B4DBF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15" name="Text Box 1">
          <a:extLst>
            <a:ext uri="{FF2B5EF4-FFF2-40B4-BE49-F238E27FC236}">
              <a16:creationId xmlns:a16="http://schemas.microsoft.com/office/drawing/2014/main" id="{4AA577CE-B2EF-4699-AD86-D01D232C3AF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16" name="Text Box 1">
          <a:extLst>
            <a:ext uri="{FF2B5EF4-FFF2-40B4-BE49-F238E27FC236}">
              <a16:creationId xmlns:a16="http://schemas.microsoft.com/office/drawing/2014/main" id="{FF838B2F-E81A-4DB8-AD11-5CDD040C52D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17" name="Text Box 1">
          <a:extLst>
            <a:ext uri="{FF2B5EF4-FFF2-40B4-BE49-F238E27FC236}">
              <a16:creationId xmlns:a16="http://schemas.microsoft.com/office/drawing/2014/main" id="{8E95F9D4-BBF7-4E7C-9EA1-8C084945837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18" name="Text Box 1">
          <a:extLst>
            <a:ext uri="{FF2B5EF4-FFF2-40B4-BE49-F238E27FC236}">
              <a16:creationId xmlns:a16="http://schemas.microsoft.com/office/drawing/2014/main" id="{6D24D8C8-ED8B-400A-AE00-A0C4D755698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19" name="Text Box 1">
          <a:extLst>
            <a:ext uri="{FF2B5EF4-FFF2-40B4-BE49-F238E27FC236}">
              <a16:creationId xmlns:a16="http://schemas.microsoft.com/office/drawing/2014/main" id="{EA742127-0FD0-4850-B6F8-8E6812AE913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20" name="Text Box 1">
          <a:extLst>
            <a:ext uri="{FF2B5EF4-FFF2-40B4-BE49-F238E27FC236}">
              <a16:creationId xmlns:a16="http://schemas.microsoft.com/office/drawing/2014/main" id="{A29D0A36-673B-44F0-809B-D6608937AAA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21" name="Text Box 1">
          <a:extLst>
            <a:ext uri="{FF2B5EF4-FFF2-40B4-BE49-F238E27FC236}">
              <a16:creationId xmlns:a16="http://schemas.microsoft.com/office/drawing/2014/main" id="{40C22AAE-BC31-435B-9EA7-2DA630E7B19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22" name="Text Box 1">
          <a:extLst>
            <a:ext uri="{FF2B5EF4-FFF2-40B4-BE49-F238E27FC236}">
              <a16:creationId xmlns:a16="http://schemas.microsoft.com/office/drawing/2014/main" id="{7E9C765B-B1B7-48D6-ADF0-434A115219E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23" name="Text Box 1">
          <a:extLst>
            <a:ext uri="{FF2B5EF4-FFF2-40B4-BE49-F238E27FC236}">
              <a16:creationId xmlns:a16="http://schemas.microsoft.com/office/drawing/2014/main" id="{6E3624A4-1693-46C0-B8CA-09E8000C5C7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24" name="Text Box 1">
          <a:extLst>
            <a:ext uri="{FF2B5EF4-FFF2-40B4-BE49-F238E27FC236}">
              <a16:creationId xmlns:a16="http://schemas.microsoft.com/office/drawing/2014/main" id="{CB2BDA4E-5D46-440C-98F6-B2FFC8CCD0A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25" name="Text Box 1">
          <a:extLst>
            <a:ext uri="{FF2B5EF4-FFF2-40B4-BE49-F238E27FC236}">
              <a16:creationId xmlns:a16="http://schemas.microsoft.com/office/drawing/2014/main" id="{AA3C9D50-2BDA-40A0-95C5-80C89D6AACF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26" name="Text Box 1">
          <a:extLst>
            <a:ext uri="{FF2B5EF4-FFF2-40B4-BE49-F238E27FC236}">
              <a16:creationId xmlns:a16="http://schemas.microsoft.com/office/drawing/2014/main" id="{09D65A73-B307-44CC-96BA-A72110A4E28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27" name="Text Box 1">
          <a:extLst>
            <a:ext uri="{FF2B5EF4-FFF2-40B4-BE49-F238E27FC236}">
              <a16:creationId xmlns:a16="http://schemas.microsoft.com/office/drawing/2014/main" id="{92230AF5-6D32-4E99-B30E-86045611857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28" name="Text Box 1">
          <a:extLst>
            <a:ext uri="{FF2B5EF4-FFF2-40B4-BE49-F238E27FC236}">
              <a16:creationId xmlns:a16="http://schemas.microsoft.com/office/drawing/2014/main" id="{0E338470-C09B-4997-BA4D-208EDB7E853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29" name="Text Box 1">
          <a:extLst>
            <a:ext uri="{FF2B5EF4-FFF2-40B4-BE49-F238E27FC236}">
              <a16:creationId xmlns:a16="http://schemas.microsoft.com/office/drawing/2014/main" id="{076B67A2-E4EE-4B6C-8CB2-4A7B34B7000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30" name="Text Box 1">
          <a:extLst>
            <a:ext uri="{FF2B5EF4-FFF2-40B4-BE49-F238E27FC236}">
              <a16:creationId xmlns:a16="http://schemas.microsoft.com/office/drawing/2014/main" id="{EB895131-D984-474A-9765-9A39709FF55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31" name="Text Box 1">
          <a:extLst>
            <a:ext uri="{FF2B5EF4-FFF2-40B4-BE49-F238E27FC236}">
              <a16:creationId xmlns:a16="http://schemas.microsoft.com/office/drawing/2014/main" id="{A93AC436-F36D-417D-B7A9-B1BD3BA7D36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32" name="Text Box 1">
          <a:extLst>
            <a:ext uri="{FF2B5EF4-FFF2-40B4-BE49-F238E27FC236}">
              <a16:creationId xmlns:a16="http://schemas.microsoft.com/office/drawing/2014/main" id="{573763B4-4495-4BE7-A0EA-93BF8AF94DD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33" name="Text Box 1">
          <a:extLst>
            <a:ext uri="{FF2B5EF4-FFF2-40B4-BE49-F238E27FC236}">
              <a16:creationId xmlns:a16="http://schemas.microsoft.com/office/drawing/2014/main" id="{F56A0A7C-4024-4A5A-BBD2-EA637FE437E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34" name="Text Box 1">
          <a:extLst>
            <a:ext uri="{FF2B5EF4-FFF2-40B4-BE49-F238E27FC236}">
              <a16:creationId xmlns:a16="http://schemas.microsoft.com/office/drawing/2014/main" id="{FCE10CE9-A5E4-45E2-9834-DF565246B15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35" name="Text Box 1">
          <a:extLst>
            <a:ext uri="{FF2B5EF4-FFF2-40B4-BE49-F238E27FC236}">
              <a16:creationId xmlns:a16="http://schemas.microsoft.com/office/drawing/2014/main" id="{326C2FB6-B00D-4AD3-A45D-AEC4453B88F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36" name="Text Box 1">
          <a:extLst>
            <a:ext uri="{FF2B5EF4-FFF2-40B4-BE49-F238E27FC236}">
              <a16:creationId xmlns:a16="http://schemas.microsoft.com/office/drawing/2014/main" id="{EF8434CD-A837-45EC-843D-A96CA67348C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37" name="Text Box 1">
          <a:extLst>
            <a:ext uri="{FF2B5EF4-FFF2-40B4-BE49-F238E27FC236}">
              <a16:creationId xmlns:a16="http://schemas.microsoft.com/office/drawing/2014/main" id="{F00DA9BF-507F-4AF3-9A4A-611C8E67934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38" name="Text Box 1">
          <a:extLst>
            <a:ext uri="{FF2B5EF4-FFF2-40B4-BE49-F238E27FC236}">
              <a16:creationId xmlns:a16="http://schemas.microsoft.com/office/drawing/2014/main" id="{B93F87F9-FD45-4CF5-AB71-BC7FECBB10B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39" name="Text Box 1">
          <a:extLst>
            <a:ext uri="{FF2B5EF4-FFF2-40B4-BE49-F238E27FC236}">
              <a16:creationId xmlns:a16="http://schemas.microsoft.com/office/drawing/2014/main" id="{31AFF9CA-5E09-4B42-B9BA-5D4BF9123C5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40" name="Text Box 1">
          <a:extLst>
            <a:ext uri="{FF2B5EF4-FFF2-40B4-BE49-F238E27FC236}">
              <a16:creationId xmlns:a16="http://schemas.microsoft.com/office/drawing/2014/main" id="{224AAEE1-B935-49E3-90DD-BDD0CEC17B6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41" name="Text Box 1">
          <a:extLst>
            <a:ext uri="{FF2B5EF4-FFF2-40B4-BE49-F238E27FC236}">
              <a16:creationId xmlns:a16="http://schemas.microsoft.com/office/drawing/2014/main" id="{29285ACD-7380-4306-A690-ACA4185281C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42" name="Text Box 1">
          <a:extLst>
            <a:ext uri="{FF2B5EF4-FFF2-40B4-BE49-F238E27FC236}">
              <a16:creationId xmlns:a16="http://schemas.microsoft.com/office/drawing/2014/main" id="{B4F4220D-FAB5-4AF2-A4D6-6B4095CFDDE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43" name="Text Box 1">
          <a:extLst>
            <a:ext uri="{FF2B5EF4-FFF2-40B4-BE49-F238E27FC236}">
              <a16:creationId xmlns:a16="http://schemas.microsoft.com/office/drawing/2014/main" id="{CC425E2A-D421-4EF0-AD54-CDE8BFA175F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44" name="Text Box 1">
          <a:extLst>
            <a:ext uri="{FF2B5EF4-FFF2-40B4-BE49-F238E27FC236}">
              <a16:creationId xmlns:a16="http://schemas.microsoft.com/office/drawing/2014/main" id="{31DE8B81-25A7-482C-B80D-8AC04B21C14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45" name="Text Box 1">
          <a:extLst>
            <a:ext uri="{FF2B5EF4-FFF2-40B4-BE49-F238E27FC236}">
              <a16:creationId xmlns:a16="http://schemas.microsoft.com/office/drawing/2014/main" id="{C5B3C14A-3CAA-4924-9CD6-497F5167148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46" name="Text Box 1">
          <a:extLst>
            <a:ext uri="{FF2B5EF4-FFF2-40B4-BE49-F238E27FC236}">
              <a16:creationId xmlns:a16="http://schemas.microsoft.com/office/drawing/2014/main" id="{22993516-BE64-4751-9733-01FC899FC02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47" name="Text Box 1">
          <a:extLst>
            <a:ext uri="{FF2B5EF4-FFF2-40B4-BE49-F238E27FC236}">
              <a16:creationId xmlns:a16="http://schemas.microsoft.com/office/drawing/2014/main" id="{4A629462-43F9-4948-ABBE-57C7CB07202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48" name="Text Box 1">
          <a:extLst>
            <a:ext uri="{FF2B5EF4-FFF2-40B4-BE49-F238E27FC236}">
              <a16:creationId xmlns:a16="http://schemas.microsoft.com/office/drawing/2014/main" id="{E1D1D3E8-B675-4A5E-BBD8-4C562C0D2AE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49" name="Text Box 1">
          <a:extLst>
            <a:ext uri="{FF2B5EF4-FFF2-40B4-BE49-F238E27FC236}">
              <a16:creationId xmlns:a16="http://schemas.microsoft.com/office/drawing/2014/main" id="{3ACB960A-7E34-455D-9517-1C1B68C9938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50" name="Text Box 1">
          <a:extLst>
            <a:ext uri="{FF2B5EF4-FFF2-40B4-BE49-F238E27FC236}">
              <a16:creationId xmlns:a16="http://schemas.microsoft.com/office/drawing/2014/main" id="{F8AC2958-824A-4958-B7D9-3AFACD92662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51" name="Text Box 1">
          <a:extLst>
            <a:ext uri="{FF2B5EF4-FFF2-40B4-BE49-F238E27FC236}">
              <a16:creationId xmlns:a16="http://schemas.microsoft.com/office/drawing/2014/main" id="{C8E174A7-23C1-4F84-BDE6-6CDDFD75843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52" name="Text Box 1">
          <a:extLst>
            <a:ext uri="{FF2B5EF4-FFF2-40B4-BE49-F238E27FC236}">
              <a16:creationId xmlns:a16="http://schemas.microsoft.com/office/drawing/2014/main" id="{BCBACF2F-1CAB-464B-B7CA-1649A211D5F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53" name="Text Box 1">
          <a:extLst>
            <a:ext uri="{FF2B5EF4-FFF2-40B4-BE49-F238E27FC236}">
              <a16:creationId xmlns:a16="http://schemas.microsoft.com/office/drawing/2014/main" id="{4DFC48F3-4762-4E08-9EA9-2A5F1C002A1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54" name="Text Box 1">
          <a:extLst>
            <a:ext uri="{FF2B5EF4-FFF2-40B4-BE49-F238E27FC236}">
              <a16:creationId xmlns:a16="http://schemas.microsoft.com/office/drawing/2014/main" id="{93B03C6D-8D09-40B6-8189-A7A8D34D89E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55" name="Text Box 1">
          <a:extLst>
            <a:ext uri="{FF2B5EF4-FFF2-40B4-BE49-F238E27FC236}">
              <a16:creationId xmlns:a16="http://schemas.microsoft.com/office/drawing/2014/main" id="{C13F2AB6-5BEC-441C-85F9-3D8C179FC6A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56" name="Text Box 1">
          <a:extLst>
            <a:ext uri="{FF2B5EF4-FFF2-40B4-BE49-F238E27FC236}">
              <a16:creationId xmlns:a16="http://schemas.microsoft.com/office/drawing/2014/main" id="{9501DDCE-1713-48C9-8409-CF2E8A7DD78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57" name="Text Box 1">
          <a:extLst>
            <a:ext uri="{FF2B5EF4-FFF2-40B4-BE49-F238E27FC236}">
              <a16:creationId xmlns:a16="http://schemas.microsoft.com/office/drawing/2014/main" id="{B2A2D20F-A503-4822-BAA9-6D0A0454C7A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58" name="Text Box 1">
          <a:extLst>
            <a:ext uri="{FF2B5EF4-FFF2-40B4-BE49-F238E27FC236}">
              <a16:creationId xmlns:a16="http://schemas.microsoft.com/office/drawing/2014/main" id="{1436E2F5-0BA5-45AA-AFBB-540959719F1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59" name="Text Box 1">
          <a:extLst>
            <a:ext uri="{FF2B5EF4-FFF2-40B4-BE49-F238E27FC236}">
              <a16:creationId xmlns:a16="http://schemas.microsoft.com/office/drawing/2014/main" id="{FCF771A0-F61B-4046-BE4B-3B91964FF84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60" name="Text Box 1">
          <a:extLst>
            <a:ext uri="{FF2B5EF4-FFF2-40B4-BE49-F238E27FC236}">
              <a16:creationId xmlns:a16="http://schemas.microsoft.com/office/drawing/2014/main" id="{D3702507-CF08-4657-A8AD-9D1803D2DCA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61" name="Text Box 1">
          <a:extLst>
            <a:ext uri="{FF2B5EF4-FFF2-40B4-BE49-F238E27FC236}">
              <a16:creationId xmlns:a16="http://schemas.microsoft.com/office/drawing/2014/main" id="{D47E91BB-06FC-4B0A-B179-E20D1CE368E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62" name="Text Box 1">
          <a:extLst>
            <a:ext uri="{FF2B5EF4-FFF2-40B4-BE49-F238E27FC236}">
              <a16:creationId xmlns:a16="http://schemas.microsoft.com/office/drawing/2014/main" id="{B5133451-27A9-41EB-ABB3-B19621B373B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63" name="Text Box 1">
          <a:extLst>
            <a:ext uri="{FF2B5EF4-FFF2-40B4-BE49-F238E27FC236}">
              <a16:creationId xmlns:a16="http://schemas.microsoft.com/office/drawing/2014/main" id="{AD762572-6E92-4B6A-837C-9083EA1FA59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64" name="Text Box 1">
          <a:extLst>
            <a:ext uri="{FF2B5EF4-FFF2-40B4-BE49-F238E27FC236}">
              <a16:creationId xmlns:a16="http://schemas.microsoft.com/office/drawing/2014/main" id="{2ABB1DA4-FEE8-4611-BDDA-8F26AB6F58B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65" name="Text Box 1">
          <a:extLst>
            <a:ext uri="{FF2B5EF4-FFF2-40B4-BE49-F238E27FC236}">
              <a16:creationId xmlns:a16="http://schemas.microsoft.com/office/drawing/2014/main" id="{0E85DC91-042C-454F-81D3-E6D0B3B5584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66" name="Text Box 1">
          <a:extLst>
            <a:ext uri="{FF2B5EF4-FFF2-40B4-BE49-F238E27FC236}">
              <a16:creationId xmlns:a16="http://schemas.microsoft.com/office/drawing/2014/main" id="{4E5264E6-DB90-4B64-9CBD-B38ED2E7C43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67" name="Text Box 1">
          <a:extLst>
            <a:ext uri="{FF2B5EF4-FFF2-40B4-BE49-F238E27FC236}">
              <a16:creationId xmlns:a16="http://schemas.microsoft.com/office/drawing/2014/main" id="{2993D8EB-9FAD-4C91-9432-1D3E8F576FB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68" name="Text Box 1">
          <a:extLst>
            <a:ext uri="{FF2B5EF4-FFF2-40B4-BE49-F238E27FC236}">
              <a16:creationId xmlns:a16="http://schemas.microsoft.com/office/drawing/2014/main" id="{36EEE957-5568-42A4-9E43-DC037A5073F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69" name="Text Box 1">
          <a:extLst>
            <a:ext uri="{FF2B5EF4-FFF2-40B4-BE49-F238E27FC236}">
              <a16:creationId xmlns:a16="http://schemas.microsoft.com/office/drawing/2014/main" id="{612EA94F-C63C-42F6-BBF4-B3C3AB9FD47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70" name="Text Box 1">
          <a:extLst>
            <a:ext uri="{FF2B5EF4-FFF2-40B4-BE49-F238E27FC236}">
              <a16:creationId xmlns:a16="http://schemas.microsoft.com/office/drawing/2014/main" id="{7C67BB4E-0F26-46C0-B915-3E9BCA67763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71" name="Text Box 1">
          <a:extLst>
            <a:ext uri="{FF2B5EF4-FFF2-40B4-BE49-F238E27FC236}">
              <a16:creationId xmlns:a16="http://schemas.microsoft.com/office/drawing/2014/main" id="{04AD914E-C0CB-472E-B35E-87C57A9EDB0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72" name="Text Box 1">
          <a:extLst>
            <a:ext uri="{FF2B5EF4-FFF2-40B4-BE49-F238E27FC236}">
              <a16:creationId xmlns:a16="http://schemas.microsoft.com/office/drawing/2014/main" id="{88576471-688F-4488-85C3-ACD33011DA9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73" name="Text Box 1">
          <a:extLst>
            <a:ext uri="{FF2B5EF4-FFF2-40B4-BE49-F238E27FC236}">
              <a16:creationId xmlns:a16="http://schemas.microsoft.com/office/drawing/2014/main" id="{71A5733B-1A9F-41C9-A373-7EF5CB9FF57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74" name="Text Box 1">
          <a:extLst>
            <a:ext uri="{FF2B5EF4-FFF2-40B4-BE49-F238E27FC236}">
              <a16:creationId xmlns:a16="http://schemas.microsoft.com/office/drawing/2014/main" id="{94F55094-5504-454E-BAA7-2B6030302CE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75" name="Text Box 1">
          <a:extLst>
            <a:ext uri="{FF2B5EF4-FFF2-40B4-BE49-F238E27FC236}">
              <a16:creationId xmlns:a16="http://schemas.microsoft.com/office/drawing/2014/main" id="{957A6767-DF3D-45EB-AF1F-8851A0F5EFD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76" name="Text Box 1">
          <a:extLst>
            <a:ext uri="{FF2B5EF4-FFF2-40B4-BE49-F238E27FC236}">
              <a16:creationId xmlns:a16="http://schemas.microsoft.com/office/drawing/2014/main" id="{7FD96844-3C68-4E34-A25F-86B66CDB787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77" name="Text Box 1">
          <a:extLst>
            <a:ext uri="{FF2B5EF4-FFF2-40B4-BE49-F238E27FC236}">
              <a16:creationId xmlns:a16="http://schemas.microsoft.com/office/drawing/2014/main" id="{51E09440-5DEB-4FA5-AD7B-439A40617C9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78" name="Text Box 1">
          <a:extLst>
            <a:ext uri="{FF2B5EF4-FFF2-40B4-BE49-F238E27FC236}">
              <a16:creationId xmlns:a16="http://schemas.microsoft.com/office/drawing/2014/main" id="{719C35F4-8322-42D2-9A6C-2A6A2D22103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79" name="Text Box 1">
          <a:extLst>
            <a:ext uri="{FF2B5EF4-FFF2-40B4-BE49-F238E27FC236}">
              <a16:creationId xmlns:a16="http://schemas.microsoft.com/office/drawing/2014/main" id="{FDA84292-0EA3-48C5-9BA8-B1853E70E2B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80" name="Text Box 1">
          <a:extLst>
            <a:ext uri="{FF2B5EF4-FFF2-40B4-BE49-F238E27FC236}">
              <a16:creationId xmlns:a16="http://schemas.microsoft.com/office/drawing/2014/main" id="{5BCC0D21-F24E-489C-AE8B-1D7C4653BBE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81" name="Text Box 1">
          <a:extLst>
            <a:ext uri="{FF2B5EF4-FFF2-40B4-BE49-F238E27FC236}">
              <a16:creationId xmlns:a16="http://schemas.microsoft.com/office/drawing/2014/main" id="{1D5F4813-1C1B-4A18-9D32-F20E58B9254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82" name="Text Box 1">
          <a:extLst>
            <a:ext uri="{FF2B5EF4-FFF2-40B4-BE49-F238E27FC236}">
              <a16:creationId xmlns:a16="http://schemas.microsoft.com/office/drawing/2014/main" id="{8693CF75-A65D-4967-898A-20E60B8B2E9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83" name="Text Box 1">
          <a:extLst>
            <a:ext uri="{FF2B5EF4-FFF2-40B4-BE49-F238E27FC236}">
              <a16:creationId xmlns:a16="http://schemas.microsoft.com/office/drawing/2014/main" id="{918761DA-44CB-4CF7-90EF-B5552B96D3D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84" name="Text Box 1">
          <a:extLst>
            <a:ext uri="{FF2B5EF4-FFF2-40B4-BE49-F238E27FC236}">
              <a16:creationId xmlns:a16="http://schemas.microsoft.com/office/drawing/2014/main" id="{22DD59FE-5747-4F71-861B-F565F1C5EA8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85" name="Text Box 1">
          <a:extLst>
            <a:ext uri="{FF2B5EF4-FFF2-40B4-BE49-F238E27FC236}">
              <a16:creationId xmlns:a16="http://schemas.microsoft.com/office/drawing/2014/main" id="{38E136A0-83A0-4686-8A02-44D29233467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86" name="Text Box 1">
          <a:extLst>
            <a:ext uri="{FF2B5EF4-FFF2-40B4-BE49-F238E27FC236}">
              <a16:creationId xmlns:a16="http://schemas.microsoft.com/office/drawing/2014/main" id="{BE243880-62E7-4459-A659-275397D4AA3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87" name="Text Box 1">
          <a:extLst>
            <a:ext uri="{FF2B5EF4-FFF2-40B4-BE49-F238E27FC236}">
              <a16:creationId xmlns:a16="http://schemas.microsoft.com/office/drawing/2014/main" id="{8AC7687D-322B-4125-A3BD-397BDBFA65E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88" name="Text Box 1">
          <a:extLst>
            <a:ext uri="{FF2B5EF4-FFF2-40B4-BE49-F238E27FC236}">
              <a16:creationId xmlns:a16="http://schemas.microsoft.com/office/drawing/2014/main" id="{65585356-4014-4C4A-A19F-45414082A4E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89" name="Text Box 1">
          <a:extLst>
            <a:ext uri="{FF2B5EF4-FFF2-40B4-BE49-F238E27FC236}">
              <a16:creationId xmlns:a16="http://schemas.microsoft.com/office/drawing/2014/main" id="{ED3DE875-BC88-4906-AEC9-9FEB2C9F171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90" name="Text Box 1">
          <a:extLst>
            <a:ext uri="{FF2B5EF4-FFF2-40B4-BE49-F238E27FC236}">
              <a16:creationId xmlns:a16="http://schemas.microsoft.com/office/drawing/2014/main" id="{213A221E-9B35-4E6E-93D5-9FF370DA2BB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91" name="Text Box 1">
          <a:extLst>
            <a:ext uri="{FF2B5EF4-FFF2-40B4-BE49-F238E27FC236}">
              <a16:creationId xmlns:a16="http://schemas.microsoft.com/office/drawing/2014/main" id="{433A6B46-7F89-4C41-8C6E-A138C5E13FA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92" name="Text Box 1">
          <a:extLst>
            <a:ext uri="{FF2B5EF4-FFF2-40B4-BE49-F238E27FC236}">
              <a16:creationId xmlns:a16="http://schemas.microsoft.com/office/drawing/2014/main" id="{854B45A2-A403-4356-9B7D-0337E1BFA30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93" name="Text Box 1">
          <a:extLst>
            <a:ext uri="{FF2B5EF4-FFF2-40B4-BE49-F238E27FC236}">
              <a16:creationId xmlns:a16="http://schemas.microsoft.com/office/drawing/2014/main" id="{D559BC34-3693-4E9E-A2CA-12A049246CD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94" name="Text Box 1">
          <a:extLst>
            <a:ext uri="{FF2B5EF4-FFF2-40B4-BE49-F238E27FC236}">
              <a16:creationId xmlns:a16="http://schemas.microsoft.com/office/drawing/2014/main" id="{FB2B7E48-E602-443B-B68F-699CC0BFD46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95" name="Text Box 1">
          <a:extLst>
            <a:ext uri="{FF2B5EF4-FFF2-40B4-BE49-F238E27FC236}">
              <a16:creationId xmlns:a16="http://schemas.microsoft.com/office/drawing/2014/main" id="{63E07CB4-C4E2-47B1-9B55-C5CFC541B1E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96" name="Text Box 1">
          <a:extLst>
            <a:ext uri="{FF2B5EF4-FFF2-40B4-BE49-F238E27FC236}">
              <a16:creationId xmlns:a16="http://schemas.microsoft.com/office/drawing/2014/main" id="{B9630B97-4D90-455E-88CB-20706229BE3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97" name="Text Box 1">
          <a:extLst>
            <a:ext uri="{FF2B5EF4-FFF2-40B4-BE49-F238E27FC236}">
              <a16:creationId xmlns:a16="http://schemas.microsoft.com/office/drawing/2014/main" id="{7138542E-D514-4800-BB3E-7199793DE0D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98" name="Text Box 1">
          <a:extLst>
            <a:ext uri="{FF2B5EF4-FFF2-40B4-BE49-F238E27FC236}">
              <a16:creationId xmlns:a16="http://schemas.microsoft.com/office/drawing/2014/main" id="{B8E6DC3E-1962-4E57-A3BB-B60414E674A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799" name="Text Box 1">
          <a:extLst>
            <a:ext uri="{FF2B5EF4-FFF2-40B4-BE49-F238E27FC236}">
              <a16:creationId xmlns:a16="http://schemas.microsoft.com/office/drawing/2014/main" id="{3EFE56F6-41F4-46C8-955F-71579287AE9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00" name="Text Box 1">
          <a:extLst>
            <a:ext uri="{FF2B5EF4-FFF2-40B4-BE49-F238E27FC236}">
              <a16:creationId xmlns:a16="http://schemas.microsoft.com/office/drawing/2014/main" id="{06255BE1-0AE3-4AE0-8B05-20D9E0C201D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01" name="Text Box 1">
          <a:extLst>
            <a:ext uri="{FF2B5EF4-FFF2-40B4-BE49-F238E27FC236}">
              <a16:creationId xmlns:a16="http://schemas.microsoft.com/office/drawing/2014/main" id="{B5804B2A-B5CC-413D-BAFD-8AD251E34BD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02" name="Text Box 1">
          <a:extLst>
            <a:ext uri="{FF2B5EF4-FFF2-40B4-BE49-F238E27FC236}">
              <a16:creationId xmlns:a16="http://schemas.microsoft.com/office/drawing/2014/main" id="{879802D7-302A-433E-AE8C-618B2399EBF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03" name="Text Box 1">
          <a:extLst>
            <a:ext uri="{FF2B5EF4-FFF2-40B4-BE49-F238E27FC236}">
              <a16:creationId xmlns:a16="http://schemas.microsoft.com/office/drawing/2014/main" id="{F0D106E4-DF20-491B-9E8E-16F899DE5B8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04" name="Text Box 1">
          <a:extLst>
            <a:ext uri="{FF2B5EF4-FFF2-40B4-BE49-F238E27FC236}">
              <a16:creationId xmlns:a16="http://schemas.microsoft.com/office/drawing/2014/main" id="{B5D35CC1-55DD-4C4D-B744-F171EFF6CB6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05" name="Text Box 1">
          <a:extLst>
            <a:ext uri="{FF2B5EF4-FFF2-40B4-BE49-F238E27FC236}">
              <a16:creationId xmlns:a16="http://schemas.microsoft.com/office/drawing/2014/main" id="{7211B46D-B30D-402B-AAC7-50BA89F4355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06" name="Text Box 1">
          <a:extLst>
            <a:ext uri="{FF2B5EF4-FFF2-40B4-BE49-F238E27FC236}">
              <a16:creationId xmlns:a16="http://schemas.microsoft.com/office/drawing/2014/main" id="{274491C5-226E-426E-A473-3D86DB7101E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07" name="Text Box 1">
          <a:extLst>
            <a:ext uri="{FF2B5EF4-FFF2-40B4-BE49-F238E27FC236}">
              <a16:creationId xmlns:a16="http://schemas.microsoft.com/office/drawing/2014/main" id="{F4DE6344-0CFB-40F6-963F-0D5A1637ABA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08" name="Text Box 1">
          <a:extLst>
            <a:ext uri="{FF2B5EF4-FFF2-40B4-BE49-F238E27FC236}">
              <a16:creationId xmlns:a16="http://schemas.microsoft.com/office/drawing/2014/main" id="{397C218F-5F42-45C3-A075-47E9E8B4739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09" name="Text Box 1">
          <a:extLst>
            <a:ext uri="{FF2B5EF4-FFF2-40B4-BE49-F238E27FC236}">
              <a16:creationId xmlns:a16="http://schemas.microsoft.com/office/drawing/2014/main" id="{85D33C05-BAA9-450C-AC98-EF36DEA3EB2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10" name="Text Box 1">
          <a:extLst>
            <a:ext uri="{FF2B5EF4-FFF2-40B4-BE49-F238E27FC236}">
              <a16:creationId xmlns:a16="http://schemas.microsoft.com/office/drawing/2014/main" id="{4E9603A5-B576-4EA7-AE31-A92308A751D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11" name="Text Box 1">
          <a:extLst>
            <a:ext uri="{FF2B5EF4-FFF2-40B4-BE49-F238E27FC236}">
              <a16:creationId xmlns:a16="http://schemas.microsoft.com/office/drawing/2014/main" id="{9E089A12-09B0-4D75-AD13-8963F5B9AD1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12" name="Text Box 1">
          <a:extLst>
            <a:ext uri="{FF2B5EF4-FFF2-40B4-BE49-F238E27FC236}">
              <a16:creationId xmlns:a16="http://schemas.microsoft.com/office/drawing/2014/main" id="{01C70E12-38BE-4425-B82D-FBCC4D3D78A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13" name="Text Box 1">
          <a:extLst>
            <a:ext uri="{FF2B5EF4-FFF2-40B4-BE49-F238E27FC236}">
              <a16:creationId xmlns:a16="http://schemas.microsoft.com/office/drawing/2014/main" id="{37B31CC7-8B32-4F2B-9D64-9FCF1C73F4E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14" name="Text Box 1">
          <a:extLst>
            <a:ext uri="{FF2B5EF4-FFF2-40B4-BE49-F238E27FC236}">
              <a16:creationId xmlns:a16="http://schemas.microsoft.com/office/drawing/2014/main" id="{CCB9103F-1D10-49BF-B029-560BB999A6D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15" name="Text Box 1">
          <a:extLst>
            <a:ext uri="{FF2B5EF4-FFF2-40B4-BE49-F238E27FC236}">
              <a16:creationId xmlns:a16="http://schemas.microsoft.com/office/drawing/2014/main" id="{375331D2-5428-46BC-BC92-F2B3417B634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16" name="Text Box 1">
          <a:extLst>
            <a:ext uri="{FF2B5EF4-FFF2-40B4-BE49-F238E27FC236}">
              <a16:creationId xmlns:a16="http://schemas.microsoft.com/office/drawing/2014/main" id="{3482F2E3-08D6-4910-A402-304E9065821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17" name="Text Box 1">
          <a:extLst>
            <a:ext uri="{FF2B5EF4-FFF2-40B4-BE49-F238E27FC236}">
              <a16:creationId xmlns:a16="http://schemas.microsoft.com/office/drawing/2014/main" id="{64C03004-9391-43C3-9C43-121AD5873D9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18" name="Text Box 1">
          <a:extLst>
            <a:ext uri="{FF2B5EF4-FFF2-40B4-BE49-F238E27FC236}">
              <a16:creationId xmlns:a16="http://schemas.microsoft.com/office/drawing/2014/main" id="{0470A504-07AA-45CF-9E93-397D0CD47AD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19" name="Text Box 1">
          <a:extLst>
            <a:ext uri="{FF2B5EF4-FFF2-40B4-BE49-F238E27FC236}">
              <a16:creationId xmlns:a16="http://schemas.microsoft.com/office/drawing/2014/main" id="{5955E1EE-7FC5-4B5F-9EF5-5CC008BB674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20" name="Text Box 1">
          <a:extLst>
            <a:ext uri="{FF2B5EF4-FFF2-40B4-BE49-F238E27FC236}">
              <a16:creationId xmlns:a16="http://schemas.microsoft.com/office/drawing/2014/main" id="{7920DCDD-8D67-4C00-94F2-4E073EC5617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21" name="Text Box 1">
          <a:extLst>
            <a:ext uri="{FF2B5EF4-FFF2-40B4-BE49-F238E27FC236}">
              <a16:creationId xmlns:a16="http://schemas.microsoft.com/office/drawing/2014/main" id="{9C0E9709-2398-4332-A6E5-14EA161B0A7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22" name="Text Box 1">
          <a:extLst>
            <a:ext uri="{FF2B5EF4-FFF2-40B4-BE49-F238E27FC236}">
              <a16:creationId xmlns:a16="http://schemas.microsoft.com/office/drawing/2014/main" id="{42CFFDA4-C86F-4083-9008-90E441434A5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23" name="Text Box 1">
          <a:extLst>
            <a:ext uri="{FF2B5EF4-FFF2-40B4-BE49-F238E27FC236}">
              <a16:creationId xmlns:a16="http://schemas.microsoft.com/office/drawing/2014/main" id="{E1838849-F3B8-4672-B137-AFC0E493BC0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24" name="Text Box 1">
          <a:extLst>
            <a:ext uri="{FF2B5EF4-FFF2-40B4-BE49-F238E27FC236}">
              <a16:creationId xmlns:a16="http://schemas.microsoft.com/office/drawing/2014/main" id="{3F9998F3-2326-4BEA-B459-150B4FD13A8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25" name="Text Box 1">
          <a:extLst>
            <a:ext uri="{FF2B5EF4-FFF2-40B4-BE49-F238E27FC236}">
              <a16:creationId xmlns:a16="http://schemas.microsoft.com/office/drawing/2014/main" id="{E8F9BA17-F053-4F51-BA98-518D6065BDA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26" name="Text Box 1">
          <a:extLst>
            <a:ext uri="{FF2B5EF4-FFF2-40B4-BE49-F238E27FC236}">
              <a16:creationId xmlns:a16="http://schemas.microsoft.com/office/drawing/2014/main" id="{DEB25D06-7D54-4415-9A48-95704427280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27" name="Text Box 1">
          <a:extLst>
            <a:ext uri="{FF2B5EF4-FFF2-40B4-BE49-F238E27FC236}">
              <a16:creationId xmlns:a16="http://schemas.microsoft.com/office/drawing/2014/main" id="{AA29717D-E9AC-406C-86D4-261135D521E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28" name="Text Box 1">
          <a:extLst>
            <a:ext uri="{FF2B5EF4-FFF2-40B4-BE49-F238E27FC236}">
              <a16:creationId xmlns:a16="http://schemas.microsoft.com/office/drawing/2014/main" id="{2E443799-1FAB-4A0A-8E41-E2A5B36DA36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29" name="Text Box 1">
          <a:extLst>
            <a:ext uri="{FF2B5EF4-FFF2-40B4-BE49-F238E27FC236}">
              <a16:creationId xmlns:a16="http://schemas.microsoft.com/office/drawing/2014/main" id="{5995248D-F28E-4F51-95D7-5C9CBFF71B1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30" name="Text Box 1">
          <a:extLst>
            <a:ext uri="{FF2B5EF4-FFF2-40B4-BE49-F238E27FC236}">
              <a16:creationId xmlns:a16="http://schemas.microsoft.com/office/drawing/2014/main" id="{E09A6E8B-2F5C-4DA9-AEB5-56A4F1D614E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31" name="Text Box 1">
          <a:extLst>
            <a:ext uri="{FF2B5EF4-FFF2-40B4-BE49-F238E27FC236}">
              <a16:creationId xmlns:a16="http://schemas.microsoft.com/office/drawing/2014/main" id="{A070EF82-7077-41CD-A701-BC991290AAB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32" name="Text Box 1">
          <a:extLst>
            <a:ext uri="{FF2B5EF4-FFF2-40B4-BE49-F238E27FC236}">
              <a16:creationId xmlns:a16="http://schemas.microsoft.com/office/drawing/2014/main" id="{2BD704EF-2E68-465D-B9B9-E026A542C18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33" name="Text Box 1">
          <a:extLst>
            <a:ext uri="{FF2B5EF4-FFF2-40B4-BE49-F238E27FC236}">
              <a16:creationId xmlns:a16="http://schemas.microsoft.com/office/drawing/2014/main" id="{D09E226E-E852-49E1-951B-4ADE7531DD2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34" name="Text Box 1">
          <a:extLst>
            <a:ext uri="{FF2B5EF4-FFF2-40B4-BE49-F238E27FC236}">
              <a16:creationId xmlns:a16="http://schemas.microsoft.com/office/drawing/2014/main" id="{8A9C75AE-EBD0-4B7E-9B35-C5EBF89C66B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35" name="Text Box 1">
          <a:extLst>
            <a:ext uri="{FF2B5EF4-FFF2-40B4-BE49-F238E27FC236}">
              <a16:creationId xmlns:a16="http://schemas.microsoft.com/office/drawing/2014/main" id="{6D999B59-DF4A-496B-A82C-0A45CC6757C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36" name="Text Box 1">
          <a:extLst>
            <a:ext uri="{FF2B5EF4-FFF2-40B4-BE49-F238E27FC236}">
              <a16:creationId xmlns:a16="http://schemas.microsoft.com/office/drawing/2014/main" id="{1CCE53AA-5438-41EC-8D1C-990AED75A45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37" name="Text Box 1">
          <a:extLst>
            <a:ext uri="{FF2B5EF4-FFF2-40B4-BE49-F238E27FC236}">
              <a16:creationId xmlns:a16="http://schemas.microsoft.com/office/drawing/2014/main" id="{B79A76FC-11F6-43C6-A800-E130E35E28B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38" name="Text Box 1">
          <a:extLst>
            <a:ext uri="{FF2B5EF4-FFF2-40B4-BE49-F238E27FC236}">
              <a16:creationId xmlns:a16="http://schemas.microsoft.com/office/drawing/2014/main" id="{AB7D5227-1C41-4419-B42E-13A180E0A73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39" name="Text Box 1">
          <a:extLst>
            <a:ext uri="{FF2B5EF4-FFF2-40B4-BE49-F238E27FC236}">
              <a16:creationId xmlns:a16="http://schemas.microsoft.com/office/drawing/2014/main" id="{738F7323-872A-42DC-AE97-B9FDC324399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40" name="Text Box 1">
          <a:extLst>
            <a:ext uri="{FF2B5EF4-FFF2-40B4-BE49-F238E27FC236}">
              <a16:creationId xmlns:a16="http://schemas.microsoft.com/office/drawing/2014/main" id="{4A4FFAAD-44FA-428E-9E08-7FD174E774A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41" name="Text Box 1">
          <a:extLst>
            <a:ext uri="{FF2B5EF4-FFF2-40B4-BE49-F238E27FC236}">
              <a16:creationId xmlns:a16="http://schemas.microsoft.com/office/drawing/2014/main" id="{E70C2379-4785-415F-8327-87D5BD5726F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42" name="Text Box 1">
          <a:extLst>
            <a:ext uri="{FF2B5EF4-FFF2-40B4-BE49-F238E27FC236}">
              <a16:creationId xmlns:a16="http://schemas.microsoft.com/office/drawing/2014/main" id="{5EEBCD64-4D11-442C-87AF-64B71BE64B4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43" name="Text Box 1">
          <a:extLst>
            <a:ext uri="{FF2B5EF4-FFF2-40B4-BE49-F238E27FC236}">
              <a16:creationId xmlns:a16="http://schemas.microsoft.com/office/drawing/2014/main" id="{BB974FB9-83BC-43F2-8BB9-9202481064C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44" name="Text Box 1">
          <a:extLst>
            <a:ext uri="{FF2B5EF4-FFF2-40B4-BE49-F238E27FC236}">
              <a16:creationId xmlns:a16="http://schemas.microsoft.com/office/drawing/2014/main" id="{707BF7A8-F90F-4A6A-B20F-E449D5C02E8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45" name="Text Box 1">
          <a:extLst>
            <a:ext uri="{FF2B5EF4-FFF2-40B4-BE49-F238E27FC236}">
              <a16:creationId xmlns:a16="http://schemas.microsoft.com/office/drawing/2014/main" id="{8AA9097E-082E-413D-88C3-555D0F927C2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46" name="Text Box 1">
          <a:extLst>
            <a:ext uri="{FF2B5EF4-FFF2-40B4-BE49-F238E27FC236}">
              <a16:creationId xmlns:a16="http://schemas.microsoft.com/office/drawing/2014/main" id="{65BA6F8A-827C-405E-AA8C-3D108E332A7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47" name="Text Box 1">
          <a:extLst>
            <a:ext uri="{FF2B5EF4-FFF2-40B4-BE49-F238E27FC236}">
              <a16:creationId xmlns:a16="http://schemas.microsoft.com/office/drawing/2014/main" id="{3200F719-3E48-41C9-B92A-094135E2931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48" name="Text Box 1">
          <a:extLst>
            <a:ext uri="{FF2B5EF4-FFF2-40B4-BE49-F238E27FC236}">
              <a16:creationId xmlns:a16="http://schemas.microsoft.com/office/drawing/2014/main" id="{40322197-8FE8-4743-833F-E9BE277A4C9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49" name="Text Box 1">
          <a:extLst>
            <a:ext uri="{FF2B5EF4-FFF2-40B4-BE49-F238E27FC236}">
              <a16:creationId xmlns:a16="http://schemas.microsoft.com/office/drawing/2014/main" id="{F0B22F3A-4A65-47FF-A738-D5B2C82AEA4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50" name="Text Box 1">
          <a:extLst>
            <a:ext uri="{FF2B5EF4-FFF2-40B4-BE49-F238E27FC236}">
              <a16:creationId xmlns:a16="http://schemas.microsoft.com/office/drawing/2014/main" id="{3DDF8090-DFBC-44F2-8A67-3F89F8428E7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51" name="Text Box 1">
          <a:extLst>
            <a:ext uri="{FF2B5EF4-FFF2-40B4-BE49-F238E27FC236}">
              <a16:creationId xmlns:a16="http://schemas.microsoft.com/office/drawing/2014/main" id="{546B326C-1365-4BA7-AB31-2B1374DF7DB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52" name="Text Box 1">
          <a:extLst>
            <a:ext uri="{FF2B5EF4-FFF2-40B4-BE49-F238E27FC236}">
              <a16:creationId xmlns:a16="http://schemas.microsoft.com/office/drawing/2014/main" id="{3709BC7E-85E8-46E9-8A18-72B7FF754DB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53" name="Text Box 1">
          <a:extLst>
            <a:ext uri="{FF2B5EF4-FFF2-40B4-BE49-F238E27FC236}">
              <a16:creationId xmlns:a16="http://schemas.microsoft.com/office/drawing/2014/main" id="{CDE3A3A1-711C-47A5-A789-727BA45F33B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54" name="Text Box 1">
          <a:extLst>
            <a:ext uri="{FF2B5EF4-FFF2-40B4-BE49-F238E27FC236}">
              <a16:creationId xmlns:a16="http://schemas.microsoft.com/office/drawing/2014/main" id="{8BBD09CF-7BEE-45EC-B3EC-1EEB110085D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55" name="Text Box 1">
          <a:extLst>
            <a:ext uri="{FF2B5EF4-FFF2-40B4-BE49-F238E27FC236}">
              <a16:creationId xmlns:a16="http://schemas.microsoft.com/office/drawing/2014/main" id="{9CAAE322-44B4-484F-A3D6-4C2C60F9BBE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56" name="Text Box 1">
          <a:extLst>
            <a:ext uri="{FF2B5EF4-FFF2-40B4-BE49-F238E27FC236}">
              <a16:creationId xmlns:a16="http://schemas.microsoft.com/office/drawing/2014/main" id="{21BCA664-9F7B-4495-8273-43807051800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57" name="Text Box 1">
          <a:extLst>
            <a:ext uri="{FF2B5EF4-FFF2-40B4-BE49-F238E27FC236}">
              <a16:creationId xmlns:a16="http://schemas.microsoft.com/office/drawing/2014/main" id="{B5FEDB17-52B2-45B5-B6FF-91DDDBAEB32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58" name="Text Box 1">
          <a:extLst>
            <a:ext uri="{FF2B5EF4-FFF2-40B4-BE49-F238E27FC236}">
              <a16:creationId xmlns:a16="http://schemas.microsoft.com/office/drawing/2014/main" id="{4C09684F-68F8-4D7A-8CDD-AD375FAD8A9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59" name="Text Box 1">
          <a:extLst>
            <a:ext uri="{FF2B5EF4-FFF2-40B4-BE49-F238E27FC236}">
              <a16:creationId xmlns:a16="http://schemas.microsoft.com/office/drawing/2014/main" id="{75F5DE8D-7AB7-4850-BD04-03F1F7E0B12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60" name="Text Box 1">
          <a:extLst>
            <a:ext uri="{FF2B5EF4-FFF2-40B4-BE49-F238E27FC236}">
              <a16:creationId xmlns:a16="http://schemas.microsoft.com/office/drawing/2014/main" id="{5290E9DA-95DA-4CB5-8448-D74016DBCC9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61" name="Text Box 1">
          <a:extLst>
            <a:ext uri="{FF2B5EF4-FFF2-40B4-BE49-F238E27FC236}">
              <a16:creationId xmlns:a16="http://schemas.microsoft.com/office/drawing/2014/main" id="{ECBFA044-7DBE-4D1E-A194-CFACC01B8D8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62" name="Text Box 1">
          <a:extLst>
            <a:ext uri="{FF2B5EF4-FFF2-40B4-BE49-F238E27FC236}">
              <a16:creationId xmlns:a16="http://schemas.microsoft.com/office/drawing/2014/main" id="{7E1492B3-AEEE-4A81-BCCE-89792EB452D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63" name="Text Box 1">
          <a:extLst>
            <a:ext uri="{FF2B5EF4-FFF2-40B4-BE49-F238E27FC236}">
              <a16:creationId xmlns:a16="http://schemas.microsoft.com/office/drawing/2014/main" id="{89601570-BCE3-46A2-8154-EBE75BACE3D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64" name="Text Box 1">
          <a:extLst>
            <a:ext uri="{FF2B5EF4-FFF2-40B4-BE49-F238E27FC236}">
              <a16:creationId xmlns:a16="http://schemas.microsoft.com/office/drawing/2014/main" id="{5417AD51-4416-4130-804A-01095F88940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65" name="Text Box 1">
          <a:extLst>
            <a:ext uri="{FF2B5EF4-FFF2-40B4-BE49-F238E27FC236}">
              <a16:creationId xmlns:a16="http://schemas.microsoft.com/office/drawing/2014/main" id="{5E46D334-2333-4BD2-9F18-C96ACC532C7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66" name="Text Box 1">
          <a:extLst>
            <a:ext uri="{FF2B5EF4-FFF2-40B4-BE49-F238E27FC236}">
              <a16:creationId xmlns:a16="http://schemas.microsoft.com/office/drawing/2014/main" id="{28F9F110-EB98-416E-B784-63F79C00B31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67" name="Text Box 1">
          <a:extLst>
            <a:ext uri="{FF2B5EF4-FFF2-40B4-BE49-F238E27FC236}">
              <a16:creationId xmlns:a16="http://schemas.microsoft.com/office/drawing/2014/main" id="{CB66C7DE-0CFA-4428-A223-0181438423E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68" name="Text Box 1">
          <a:extLst>
            <a:ext uri="{FF2B5EF4-FFF2-40B4-BE49-F238E27FC236}">
              <a16:creationId xmlns:a16="http://schemas.microsoft.com/office/drawing/2014/main" id="{3FFB7922-65A6-458C-A68E-A1441BE5F5D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69" name="Text Box 1">
          <a:extLst>
            <a:ext uri="{FF2B5EF4-FFF2-40B4-BE49-F238E27FC236}">
              <a16:creationId xmlns:a16="http://schemas.microsoft.com/office/drawing/2014/main" id="{3C9ED336-0554-4C9A-953D-8A967F5FA2C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70" name="Text Box 1">
          <a:extLst>
            <a:ext uri="{FF2B5EF4-FFF2-40B4-BE49-F238E27FC236}">
              <a16:creationId xmlns:a16="http://schemas.microsoft.com/office/drawing/2014/main" id="{FC65C14B-561A-4A4C-919F-2AE09F5D317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71" name="Text Box 1">
          <a:extLst>
            <a:ext uri="{FF2B5EF4-FFF2-40B4-BE49-F238E27FC236}">
              <a16:creationId xmlns:a16="http://schemas.microsoft.com/office/drawing/2014/main" id="{DA68E200-E436-4F66-A0DD-E307AFF0F9A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72" name="Text Box 1">
          <a:extLst>
            <a:ext uri="{FF2B5EF4-FFF2-40B4-BE49-F238E27FC236}">
              <a16:creationId xmlns:a16="http://schemas.microsoft.com/office/drawing/2014/main" id="{75F68C83-875C-4065-96C6-D775E351028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73" name="Text Box 1">
          <a:extLst>
            <a:ext uri="{FF2B5EF4-FFF2-40B4-BE49-F238E27FC236}">
              <a16:creationId xmlns:a16="http://schemas.microsoft.com/office/drawing/2014/main" id="{61F8E508-B22E-4F70-ADA2-9455A06495B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74" name="Text Box 1">
          <a:extLst>
            <a:ext uri="{FF2B5EF4-FFF2-40B4-BE49-F238E27FC236}">
              <a16:creationId xmlns:a16="http://schemas.microsoft.com/office/drawing/2014/main" id="{A936840F-636B-429E-831D-5F0ECF7C736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75" name="Text Box 1">
          <a:extLst>
            <a:ext uri="{FF2B5EF4-FFF2-40B4-BE49-F238E27FC236}">
              <a16:creationId xmlns:a16="http://schemas.microsoft.com/office/drawing/2014/main" id="{7BEBA6E3-772B-44F6-A564-1AE31E1EF7E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76" name="Text Box 1">
          <a:extLst>
            <a:ext uri="{FF2B5EF4-FFF2-40B4-BE49-F238E27FC236}">
              <a16:creationId xmlns:a16="http://schemas.microsoft.com/office/drawing/2014/main" id="{C17B1BAD-EEAC-4A69-A63E-253165FF5F9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77" name="Text Box 1">
          <a:extLst>
            <a:ext uri="{FF2B5EF4-FFF2-40B4-BE49-F238E27FC236}">
              <a16:creationId xmlns:a16="http://schemas.microsoft.com/office/drawing/2014/main" id="{74293232-34CC-4FEB-A40D-99ABA0B6171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78" name="Text Box 1">
          <a:extLst>
            <a:ext uri="{FF2B5EF4-FFF2-40B4-BE49-F238E27FC236}">
              <a16:creationId xmlns:a16="http://schemas.microsoft.com/office/drawing/2014/main" id="{2967F058-3C24-4B00-941F-73F983EA581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79" name="Text Box 1">
          <a:extLst>
            <a:ext uri="{FF2B5EF4-FFF2-40B4-BE49-F238E27FC236}">
              <a16:creationId xmlns:a16="http://schemas.microsoft.com/office/drawing/2014/main" id="{2C9FFF7D-5A0C-4D46-86E6-0E630E84254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80" name="Text Box 1">
          <a:extLst>
            <a:ext uri="{FF2B5EF4-FFF2-40B4-BE49-F238E27FC236}">
              <a16:creationId xmlns:a16="http://schemas.microsoft.com/office/drawing/2014/main" id="{D563455F-2B04-4957-9D83-EA2A32BDDF7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81" name="Text Box 1">
          <a:extLst>
            <a:ext uri="{FF2B5EF4-FFF2-40B4-BE49-F238E27FC236}">
              <a16:creationId xmlns:a16="http://schemas.microsoft.com/office/drawing/2014/main" id="{1FE39C03-B30E-490F-87F1-81CDCEAF9F1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82" name="Text Box 1">
          <a:extLst>
            <a:ext uri="{FF2B5EF4-FFF2-40B4-BE49-F238E27FC236}">
              <a16:creationId xmlns:a16="http://schemas.microsoft.com/office/drawing/2014/main" id="{A65E3F1C-307C-4A7E-92B3-C17FC1B31B9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83" name="Text Box 1">
          <a:extLst>
            <a:ext uri="{FF2B5EF4-FFF2-40B4-BE49-F238E27FC236}">
              <a16:creationId xmlns:a16="http://schemas.microsoft.com/office/drawing/2014/main" id="{3A46F295-175C-4AA5-8D7A-A233F9CDFB6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84" name="Text Box 1">
          <a:extLst>
            <a:ext uri="{FF2B5EF4-FFF2-40B4-BE49-F238E27FC236}">
              <a16:creationId xmlns:a16="http://schemas.microsoft.com/office/drawing/2014/main" id="{21E6843A-53FF-4234-833D-4042174F3E7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85" name="Text Box 1">
          <a:extLst>
            <a:ext uri="{FF2B5EF4-FFF2-40B4-BE49-F238E27FC236}">
              <a16:creationId xmlns:a16="http://schemas.microsoft.com/office/drawing/2014/main" id="{957E7EFD-86E1-4589-A668-27AC268806D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86" name="Text Box 1">
          <a:extLst>
            <a:ext uri="{FF2B5EF4-FFF2-40B4-BE49-F238E27FC236}">
              <a16:creationId xmlns:a16="http://schemas.microsoft.com/office/drawing/2014/main" id="{D1F05B55-2384-4294-B4C7-DB9D48BDD30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87" name="Text Box 1">
          <a:extLst>
            <a:ext uri="{FF2B5EF4-FFF2-40B4-BE49-F238E27FC236}">
              <a16:creationId xmlns:a16="http://schemas.microsoft.com/office/drawing/2014/main" id="{03F42C42-DBE7-485D-93D9-26C9EFDE5C3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88" name="Text Box 1">
          <a:extLst>
            <a:ext uri="{FF2B5EF4-FFF2-40B4-BE49-F238E27FC236}">
              <a16:creationId xmlns:a16="http://schemas.microsoft.com/office/drawing/2014/main" id="{A639A439-44A6-43BC-8372-BF04E6C9AF9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89" name="Text Box 1">
          <a:extLst>
            <a:ext uri="{FF2B5EF4-FFF2-40B4-BE49-F238E27FC236}">
              <a16:creationId xmlns:a16="http://schemas.microsoft.com/office/drawing/2014/main" id="{D9B99A6B-1DED-4EA5-9F4D-11F08101E4F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90" name="Text Box 1">
          <a:extLst>
            <a:ext uri="{FF2B5EF4-FFF2-40B4-BE49-F238E27FC236}">
              <a16:creationId xmlns:a16="http://schemas.microsoft.com/office/drawing/2014/main" id="{FC21A398-F4D3-4F6D-86F6-307B42132E2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91" name="Text Box 1">
          <a:extLst>
            <a:ext uri="{FF2B5EF4-FFF2-40B4-BE49-F238E27FC236}">
              <a16:creationId xmlns:a16="http://schemas.microsoft.com/office/drawing/2014/main" id="{71D25E8F-5067-4A60-8CD8-92430FA5BAD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92" name="Text Box 1">
          <a:extLst>
            <a:ext uri="{FF2B5EF4-FFF2-40B4-BE49-F238E27FC236}">
              <a16:creationId xmlns:a16="http://schemas.microsoft.com/office/drawing/2014/main" id="{D607128B-CB80-40FB-98A6-1AD9E5E6820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93" name="Text Box 1">
          <a:extLst>
            <a:ext uri="{FF2B5EF4-FFF2-40B4-BE49-F238E27FC236}">
              <a16:creationId xmlns:a16="http://schemas.microsoft.com/office/drawing/2014/main" id="{6449D7A9-FD64-4665-B180-4CDA5E4752D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94" name="Text Box 1">
          <a:extLst>
            <a:ext uri="{FF2B5EF4-FFF2-40B4-BE49-F238E27FC236}">
              <a16:creationId xmlns:a16="http://schemas.microsoft.com/office/drawing/2014/main" id="{D3356983-A7C0-4940-A2EE-504207F1D06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95" name="Text Box 1">
          <a:extLst>
            <a:ext uri="{FF2B5EF4-FFF2-40B4-BE49-F238E27FC236}">
              <a16:creationId xmlns:a16="http://schemas.microsoft.com/office/drawing/2014/main" id="{7FE8248B-1ACB-4987-B3F6-B8820FFCB60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96" name="Text Box 1">
          <a:extLst>
            <a:ext uri="{FF2B5EF4-FFF2-40B4-BE49-F238E27FC236}">
              <a16:creationId xmlns:a16="http://schemas.microsoft.com/office/drawing/2014/main" id="{593F071E-13E7-49F4-B2AB-E151EC54451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97" name="Text Box 1">
          <a:extLst>
            <a:ext uri="{FF2B5EF4-FFF2-40B4-BE49-F238E27FC236}">
              <a16:creationId xmlns:a16="http://schemas.microsoft.com/office/drawing/2014/main" id="{44E1ACCA-22EC-49D4-B7D1-35CBCA183D3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98" name="Text Box 1">
          <a:extLst>
            <a:ext uri="{FF2B5EF4-FFF2-40B4-BE49-F238E27FC236}">
              <a16:creationId xmlns:a16="http://schemas.microsoft.com/office/drawing/2014/main" id="{F06BFD21-029C-40F4-9871-0D7309C2BB5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899" name="Text Box 1">
          <a:extLst>
            <a:ext uri="{FF2B5EF4-FFF2-40B4-BE49-F238E27FC236}">
              <a16:creationId xmlns:a16="http://schemas.microsoft.com/office/drawing/2014/main" id="{B65147AC-F6FC-455C-A221-2812F704C55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00" name="Text Box 1">
          <a:extLst>
            <a:ext uri="{FF2B5EF4-FFF2-40B4-BE49-F238E27FC236}">
              <a16:creationId xmlns:a16="http://schemas.microsoft.com/office/drawing/2014/main" id="{8DD628D8-8DDB-4A8D-B1C0-45A5A8F5586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01" name="Text Box 1">
          <a:extLst>
            <a:ext uri="{FF2B5EF4-FFF2-40B4-BE49-F238E27FC236}">
              <a16:creationId xmlns:a16="http://schemas.microsoft.com/office/drawing/2014/main" id="{5EE8C6CC-F46E-4975-BB5E-D6D6F027523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02" name="Text Box 1">
          <a:extLst>
            <a:ext uri="{FF2B5EF4-FFF2-40B4-BE49-F238E27FC236}">
              <a16:creationId xmlns:a16="http://schemas.microsoft.com/office/drawing/2014/main" id="{816DC44B-8B8F-4582-BC64-E51C202BF9E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03" name="Text Box 1">
          <a:extLst>
            <a:ext uri="{FF2B5EF4-FFF2-40B4-BE49-F238E27FC236}">
              <a16:creationId xmlns:a16="http://schemas.microsoft.com/office/drawing/2014/main" id="{B04E0BFB-ED64-4427-B648-AB812FEA482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04" name="Text Box 1">
          <a:extLst>
            <a:ext uri="{FF2B5EF4-FFF2-40B4-BE49-F238E27FC236}">
              <a16:creationId xmlns:a16="http://schemas.microsoft.com/office/drawing/2014/main" id="{9D407355-9804-4CA8-B2A1-0440AA355E8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05" name="Text Box 1">
          <a:extLst>
            <a:ext uri="{FF2B5EF4-FFF2-40B4-BE49-F238E27FC236}">
              <a16:creationId xmlns:a16="http://schemas.microsoft.com/office/drawing/2014/main" id="{BB06F396-7532-42C9-93A6-EEEDA7C440F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06" name="Text Box 1">
          <a:extLst>
            <a:ext uri="{FF2B5EF4-FFF2-40B4-BE49-F238E27FC236}">
              <a16:creationId xmlns:a16="http://schemas.microsoft.com/office/drawing/2014/main" id="{26A82D61-F921-4D91-B4DF-7E8FE1B030B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07" name="Text Box 1">
          <a:extLst>
            <a:ext uri="{FF2B5EF4-FFF2-40B4-BE49-F238E27FC236}">
              <a16:creationId xmlns:a16="http://schemas.microsoft.com/office/drawing/2014/main" id="{F3D18DDF-009F-4A7F-948A-299490A90E2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08" name="Text Box 1">
          <a:extLst>
            <a:ext uri="{FF2B5EF4-FFF2-40B4-BE49-F238E27FC236}">
              <a16:creationId xmlns:a16="http://schemas.microsoft.com/office/drawing/2014/main" id="{026A528F-48D5-4FE0-8259-4CCD97CAB16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09" name="Text Box 1">
          <a:extLst>
            <a:ext uri="{FF2B5EF4-FFF2-40B4-BE49-F238E27FC236}">
              <a16:creationId xmlns:a16="http://schemas.microsoft.com/office/drawing/2014/main" id="{0869DEB5-3E1B-40BF-B286-A47526612EF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10" name="Text Box 1">
          <a:extLst>
            <a:ext uri="{FF2B5EF4-FFF2-40B4-BE49-F238E27FC236}">
              <a16:creationId xmlns:a16="http://schemas.microsoft.com/office/drawing/2014/main" id="{F87C37DC-8D19-447D-8FD8-18EEAB43EBC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11" name="Text Box 1">
          <a:extLst>
            <a:ext uri="{FF2B5EF4-FFF2-40B4-BE49-F238E27FC236}">
              <a16:creationId xmlns:a16="http://schemas.microsoft.com/office/drawing/2014/main" id="{A454EF99-6D56-408F-9540-F1CE1FA87F2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12" name="Text Box 1">
          <a:extLst>
            <a:ext uri="{FF2B5EF4-FFF2-40B4-BE49-F238E27FC236}">
              <a16:creationId xmlns:a16="http://schemas.microsoft.com/office/drawing/2014/main" id="{C08F7256-DE88-4D7E-BC11-B04942EFCA1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13" name="Text Box 1">
          <a:extLst>
            <a:ext uri="{FF2B5EF4-FFF2-40B4-BE49-F238E27FC236}">
              <a16:creationId xmlns:a16="http://schemas.microsoft.com/office/drawing/2014/main" id="{9D7959B5-06E6-49DA-A957-F81724EF53F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14" name="Text Box 1">
          <a:extLst>
            <a:ext uri="{FF2B5EF4-FFF2-40B4-BE49-F238E27FC236}">
              <a16:creationId xmlns:a16="http://schemas.microsoft.com/office/drawing/2014/main" id="{EA58D1F6-FC3D-4CAA-A40E-1B4CBEFD540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15" name="Text Box 1">
          <a:extLst>
            <a:ext uri="{FF2B5EF4-FFF2-40B4-BE49-F238E27FC236}">
              <a16:creationId xmlns:a16="http://schemas.microsoft.com/office/drawing/2014/main" id="{CFE8DEED-A848-4526-9ACA-B29B623DC90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16" name="Text Box 1">
          <a:extLst>
            <a:ext uri="{FF2B5EF4-FFF2-40B4-BE49-F238E27FC236}">
              <a16:creationId xmlns:a16="http://schemas.microsoft.com/office/drawing/2014/main" id="{2069E85C-D260-46F3-92EE-AFA024ABCF2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17" name="Text Box 1">
          <a:extLst>
            <a:ext uri="{FF2B5EF4-FFF2-40B4-BE49-F238E27FC236}">
              <a16:creationId xmlns:a16="http://schemas.microsoft.com/office/drawing/2014/main" id="{DA2B692B-3F54-40D3-B93B-B812361B2A1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18" name="Text Box 1">
          <a:extLst>
            <a:ext uri="{FF2B5EF4-FFF2-40B4-BE49-F238E27FC236}">
              <a16:creationId xmlns:a16="http://schemas.microsoft.com/office/drawing/2014/main" id="{768BA631-2B08-4A42-B7D9-6D3DC10BE3F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19" name="Text Box 1">
          <a:extLst>
            <a:ext uri="{FF2B5EF4-FFF2-40B4-BE49-F238E27FC236}">
              <a16:creationId xmlns:a16="http://schemas.microsoft.com/office/drawing/2014/main" id="{76D225E1-0F16-4E03-ADF9-BB6B98AC8EE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20" name="Text Box 1">
          <a:extLst>
            <a:ext uri="{FF2B5EF4-FFF2-40B4-BE49-F238E27FC236}">
              <a16:creationId xmlns:a16="http://schemas.microsoft.com/office/drawing/2014/main" id="{2C5823C7-E267-4778-B7C5-ABB33EBA4E6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21" name="Text Box 1">
          <a:extLst>
            <a:ext uri="{FF2B5EF4-FFF2-40B4-BE49-F238E27FC236}">
              <a16:creationId xmlns:a16="http://schemas.microsoft.com/office/drawing/2014/main" id="{B4242A3F-AC7C-4CEA-A4A2-76050C71A5D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22" name="Text Box 1">
          <a:extLst>
            <a:ext uri="{FF2B5EF4-FFF2-40B4-BE49-F238E27FC236}">
              <a16:creationId xmlns:a16="http://schemas.microsoft.com/office/drawing/2014/main" id="{3FA14270-4E12-477F-ABB5-0C0E949FBD0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23" name="Text Box 1">
          <a:extLst>
            <a:ext uri="{FF2B5EF4-FFF2-40B4-BE49-F238E27FC236}">
              <a16:creationId xmlns:a16="http://schemas.microsoft.com/office/drawing/2014/main" id="{423401AA-A6CC-4DD4-A114-5251FAD8454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24" name="Text Box 1">
          <a:extLst>
            <a:ext uri="{FF2B5EF4-FFF2-40B4-BE49-F238E27FC236}">
              <a16:creationId xmlns:a16="http://schemas.microsoft.com/office/drawing/2014/main" id="{5F2450CC-8A19-4045-BA97-C8F60E97927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25" name="Text Box 1">
          <a:extLst>
            <a:ext uri="{FF2B5EF4-FFF2-40B4-BE49-F238E27FC236}">
              <a16:creationId xmlns:a16="http://schemas.microsoft.com/office/drawing/2014/main" id="{707CBB77-A062-4168-AF88-B1DAD87592C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26" name="Text Box 1">
          <a:extLst>
            <a:ext uri="{FF2B5EF4-FFF2-40B4-BE49-F238E27FC236}">
              <a16:creationId xmlns:a16="http://schemas.microsoft.com/office/drawing/2014/main" id="{1801A845-21E5-4DFF-831C-6DF06539D7D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27" name="Text Box 1">
          <a:extLst>
            <a:ext uri="{FF2B5EF4-FFF2-40B4-BE49-F238E27FC236}">
              <a16:creationId xmlns:a16="http://schemas.microsoft.com/office/drawing/2014/main" id="{5C10C5B6-7413-4640-84C1-750AC79F500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28" name="Text Box 1">
          <a:extLst>
            <a:ext uri="{FF2B5EF4-FFF2-40B4-BE49-F238E27FC236}">
              <a16:creationId xmlns:a16="http://schemas.microsoft.com/office/drawing/2014/main" id="{8D41C882-1F93-4508-8063-2CF5BD8D8B7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29" name="Text Box 1">
          <a:extLst>
            <a:ext uri="{FF2B5EF4-FFF2-40B4-BE49-F238E27FC236}">
              <a16:creationId xmlns:a16="http://schemas.microsoft.com/office/drawing/2014/main" id="{0CE1326B-C902-4C94-A811-AA19A20B919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30" name="Text Box 1">
          <a:extLst>
            <a:ext uri="{FF2B5EF4-FFF2-40B4-BE49-F238E27FC236}">
              <a16:creationId xmlns:a16="http://schemas.microsoft.com/office/drawing/2014/main" id="{CFDFF0AE-3BC7-4949-88AB-ACF96396C74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31" name="Text Box 1">
          <a:extLst>
            <a:ext uri="{FF2B5EF4-FFF2-40B4-BE49-F238E27FC236}">
              <a16:creationId xmlns:a16="http://schemas.microsoft.com/office/drawing/2014/main" id="{DCC061D5-EEBD-4E1A-92F6-74A93DEF715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32" name="Text Box 1">
          <a:extLst>
            <a:ext uri="{FF2B5EF4-FFF2-40B4-BE49-F238E27FC236}">
              <a16:creationId xmlns:a16="http://schemas.microsoft.com/office/drawing/2014/main" id="{C774ECB4-F8CC-4CAF-941C-25FEDED5461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33" name="Text Box 1">
          <a:extLst>
            <a:ext uri="{FF2B5EF4-FFF2-40B4-BE49-F238E27FC236}">
              <a16:creationId xmlns:a16="http://schemas.microsoft.com/office/drawing/2014/main" id="{E8F17C37-5612-4009-A283-2E4131C5596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34" name="Text Box 1">
          <a:extLst>
            <a:ext uri="{FF2B5EF4-FFF2-40B4-BE49-F238E27FC236}">
              <a16:creationId xmlns:a16="http://schemas.microsoft.com/office/drawing/2014/main" id="{E4548693-55D2-430C-8365-D69D80F574C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35" name="Text Box 1">
          <a:extLst>
            <a:ext uri="{FF2B5EF4-FFF2-40B4-BE49-F238E27FC236}">
              <a16:creationId xmlns:a16="http://schemas.microsoft.com/office/drawing/2014/main" id="{F0DBDE60-8410-4D9D-8946-170614FFF4C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36" name="Text Box 1">
          <a:extLst>
            <a:ext uri="{FF2B5EF4-FFF2-40B4-BE49-F238E27FC236}">
              <a16:creationId xmlns:a16="http://schemas.microsoft.com/office/drawing/2014/main" id="{E539E3AC-88A9-4BEB-AAFC-BC431231F02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37" name="Text Box 1">
          <a:extLst>
            <a:ext uri="{FF2B5EF4-FFF2-40B4-BE49-F238E27FC236}">
              <a16:creationId xmlns:a16="http://schemas.microsoft.com/office/drawing/2014/main" id="{55595E1F-8137-4781-85A8-66950217AF8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38" name="Text Box 1">
          <a:extLst>
            <a:ext uri="{FF2B5EF4-FFF2-40B4-BE49-F238E27FC236}">
              <a16:creationId xmlns:a16="http://schemas.microsoft.com/office/drawing/2014/main" id="{C422BE6B-9A52-4EE9-9133-57174E4E3FF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39" name="Text Box 1">
          <a:extLst>
            <a:ext uri="{FF2B5EF4-FFF2-40B4-BE49-F238E27FC236}">
              <a16:creationId xmlns:a16="http://schemas.microsoft.com/office/drawing/2014/main" id="{F57C715D-63F5-4174-873F-C3A53A68A61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40" name="Text Box 1">
          <a:extLst>
            <a:ext uri="{FF2B5EF4-FFF2-40B4-BE49-F238E27FC236}">
              <a16:creationId xmlns:a16="http://schemas.microsoft.com/office/drawing/2014/main" id="{AC1BE01B-64AD-4963-B497-F29A37BEF3A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41" name="Text Box 1">
          <a:extLst>
            <a:ext uri="{FF2B5EF4-FFF2-40B4-BE49-F238E27FC236}">
              <a16:creationId xmlns:a16="http://schemas.microsoft.com/office/drawing/2014/main" id="{829F2856-E8F4-47B0-B2A1-F5F9B3B66E5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42" name="Text Box 1">
          <a:extLst>
            <a:ext uri="{FF2B5EF4-FFF2-40B4-BE49-F238E27FC236}">
              <a16:creationId xmlns:a16="http://schemas.microsoft.com/office/drawing/2014/main" id="{01219331-6A58-4817-BF6F-84CFEDEEE0E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43" name="Text Box 1">
          <a:extLst>
            <a:ext uri="{FF2B5EF4-FFF2-40B4-BE49-F238E27FC236}">
              <a16:creationId xmlns:a16="http://schemas.microsoft.com/office/drawing/2014/main" id="{02FAF30D-D949-4964-910B-70BC88BDF3C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44" name="Text Box 1">
          <a:extLst>
            <a:ext uri="{FF2B5EF4-FFF2-40B4-BE49-F238E27FC236}">
              <a16:creationId xmlns:a16="http://schemas.microsoft.com/office/drawing/2014/main" id="{95642EAC-163C-41D9-BBA1-E58527EE20C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45" name="Text Box 1">
          <a:extLst>
            <a:ext uri="{FF2B5EF4-FFF2-40B4-BE49-F238E27FC236}">
              <a16:creationId xmlns:a16="http://schemas.microsoft.com/office/drawing/2014/main" id="{8CFA8E89-128E-45B1-ACD2-F2B9ECF00DD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46" name="Text Box 1">
          <a:extLst>
            <a:ext uri="{FF2B5EF4-FFF2-40B4-BE49-F238E27FC236}">
              <a16:creationId xmlns:a16="http://schemas.microsoft.com/office/drawing/2014/main" id="{219FA2C9-04EB-4058-A2F4-4C6764BF91C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47" name="Text Box 1">
          <a:extLst>
            <a:ext uri="{FF2B5EF4-FFF2-40B4-BE49-F238E27FC236}">
              <a16:creationId xmlns:a16="http://schemas.microsoft.com/office/drawing/2014/main" id="{60186D54-11A5-4855-BD80-DC094471E5A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48" name="Text Box 1">
          <a:extLst>
            <a:ext uri="{FF2B5EF4-FFF2-40B4-BE49-F238E27FC236}">
              <a16:creationId xmlns:a16="http://schemas.microsoft.com/office/drawing/2014/main" id="{A63B2ED7-C676-410B-AB6F-F1125C4690C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49" name="Text Box 1">
          <a:extLst>
            <a:ext uri="{FF2B5EF4-FFF2-40B4-BE49-F238E27FC236}">
              <a16:creationId xmlns:a16="http://schemas.microsoft.com/office/drawing/2014/main" id="{8BAB49AD-073E-401D-B365-647352501E0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50" name="Text Box 1">
          <a:extLst>
            <a:ext uri="{FF2B5EF4-FFF2-40B4-BE49-F238E27FC236}">
              <a16:creationId xmlns:a16="http://schemas.microsoft.com/office/drawing/2014/main" id="{B238D824-3410-42DD-9D0E-910F3158814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51" name="Text Box 1">
          <a:extLst>
            <a:ext uri="{FF2B5EF4-FFF2-40B4-BE49-F238E27FC236}">
              <a16:creationId xmlns:a16="http://schemas.microsoft.com/office/drawing/2014/main" id="{FC3CFB65-1394-487E-AE8F-EDD2DB22EC7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52" name="Text Box 1">
          <a:extLst>
            <a:ext uri="{FF2B5EF4-FFF2-40B4-BE49-F238E27FC236}">
              <a16:creationId xmlns:a16="http://schemas.microsoft.com/office/drawing/2014/main" id="{0689147F-8741-4849-8A9A-ED8AB75E8D7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53" name="Text Box 1">
          <a:extLst>
            <a:ext uri="{FF2B5EF4-FFF2-40B4-BE49-F238E27FC236}">
              <a16:creationId xmlns:a16="http://schemas.microsoft.com/office/drawing/2014/main" id="{A6819ED9-9BFF-4AC9-BCE1-7F753F3774C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54" name="Text Box 1">
          <a:extLst>
            <a:ext uri="{FF2B5EF4-FFF2-40B4-BE49-F238E27FC236}">
              <a16:creationId xmlns:a16="http://schemas.microsoft.com/office/drawing/2014/main" id="{35C424AC-D276-40C3-AA90-D60FCC94E16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55" name="Text Box 1">
          <a:extLst>
            <a:ext uri="{FF2B5EF4-FFF2-40B4-BE49-F238E27FC236}">
              <a16:creationId xmlns:a16="http://schemas.microsoft.com/office/drawing/2014/main" id="{4A06EC4A-35DD-42AA-9825-FD5B679CE04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56" name="Text Box 1">
          <a:extLst>
            <a:ext uri="{FF2B5EF4-FFF2-40B4-BE49-F238E27FC236}">
              <a16:creationId xmlns:a16="http://schemas.microsoft.com/office/drawing/2014/main" id="{6D5B5BD9-78EB-4DE8-98CA-D0B572B509A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57" name="Text Box 1">
          <a:extLst>
            <a:ext uri="{FF2B5EF4-FFF2-40B4-BE49-F238E27FC236}">
              <a16:creationId xmlns:a16="http://schemas.microsoft.com/office/drawing/2014/main" id="{8A59E1B1-AA04-4C4B-8724-B92B9E56E8A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58" name="Text Box 1">
          <a:extLst>
            <a:ext uri="{FF2B5EF4-FFF2-40B4-BE49-F238E27FC236}">
              <a16:creationId xmlns:a16="http://schemas.microsoft.com/office/drawing/2014/main" id="{A44B8A2B-70D9-46E0-B54C-D9210C5C580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59" name="Text Box 1">
          <a:extLst>
            <a:ext uri="{FF2B5EF4-FFF2-40B4-BE49-F238E27FC236}">
              <a16:creationId xmlns:a16="http://schemas.microsoft.com/office/drawing/2014/main" id="{39CFD94E-A8B8-4732-8E8A-19A076F2C55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60" name="Text Box 1">
          <a:extLst>
            <a:ext uri="{FF2B5EF4-FFF2-40B4-BE49-F238E27FC236}">
              <a16:creationId xmlns:a16="http://schemas.microsoft.com/office/drawing/2014/main" id="{150F037D-CE20-4A60-B11F-CA7D3E3E051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61" name="Text Box 1">
          <a:extLst>
            <a:ext uri="{FF2B5EF4-FFF2-40B4-BE49-F238E27FC236}">
              <a16:creationId xmlns:a16="http://schemas.microsoft.com/office/drawing/2014/main" id="{794B7D1A-1B07-4242-A710-7B3A39AF8E9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62" name="Text Box 1">
          <a:extLst>
            <a:ext uri="{FF2B5EF4-FFF2-40B4-BE49-F238E27FC236}">
              <a16:creationId xmlns:a16="http://schemas.microsoft.com/office/drawing/2014/main" id="{894EA628-1BAC-4DF3-A258-B3ADFECB29E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63" name="Text Box 1">
          <a:extLst>
            <a:ext uri="{FF2B5EF4-FFF2-40B4-BE49-F238E27FC236}">
              <a16:creationId xmlns:a16="http://schemas.microsoft.com/office/drawing/2014/main" id="{33A20C5D-FFD5-473A-BD1A-FE820142E3B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64" name="Text Box 1">
          <a:extLst>
            <a:ext uri="{FF2B5EF4-FFF2-40B4-BE49-F238E27FC236}">
              <a16:creationId xmlns:a16="http://schemas.microsoft.com/office/drawing/2014/main" id="{07B6E126-D340-4F77-BCA5-DCDAA316CE6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65" name="Text Box 1">
          <a:extLst>
            <a:ext uri="{FF2B5EF4-FFF2-40B4-BE49-F238E27FC236}">
              <a16:creationId xmlns:a16="http://schemas.microsoft.com/office/drawing/2014/main" id="{91813689-7C07-4701-8AA6-758A23DEF17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66" name="Text Box 1">
          <a:extLst>
            <a:ext uri="{FF2B5EF4-FFF2-40B4-BE49-F238E27FC236}">
              <a16:creationId xmlns:a16="http://schemas.microsoft.com/office/drawing/2014/main" id="{393998E8-DE52-4005-ADE7-D4815C806A2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67" name="Text Box 1">
          <a:extLst>
            <a:ext uri="{FF2B5EF4-FFF2-40B4-BE49-F238E27FC236}">
              <a16:creationId xmlns:a16="http://schemas.microsoft.com/office/drawing/2014/main" id="{2982AA04-CF89-4979-A6EF-C827F462641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68" name="Text Box 1">
          <a:extLst>
            <a:ext uri="{FF2B5EF4-FFF2-40B4-BE49-F238E27FC236}">
              <a16:creationId xmlns:a16="http://schemas.microsoft.com/office/drawing/2014/main" id="{2266D62D-17CF-48A7-A531-DB925291F7F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69" name="Text Box 1">
          <a:extLst>
            <a:ext uri="{FF2B5EF4-FFF2-40B4-BE49-F238E27FC236}">
              <a16:creationId xmlns:a16="http://schemas.microsoft.com/office/drawing/2014/main" id="{EA63F3F1-6076-4075-AEA4-35DEF9802CF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70" name="Text Box 1">
          <a:extLst>
            <a:ext uri="{FF2B5EF4-FFF2-40B4-BE49-F238E27FC236}">
              <a16:creationId xmlns:a16="http://schemas.microsoft.com/office/drawing/2014/main" id="{16AD7A53-C08F-42A9-81C2-8A7833BC4E2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71" name="Text Box 1">
          <a:extLst>
            <a:ext uri="{FF2B5EF4-FFF2-40B4-BE49-F238E27FC236}">
              <a16:creationId xmlns:a16="http://schemas.microsoft.com/office/drawing/2014/main" id="{2F5306EE-EEC0-48CA-A32C-6D88ED4BD2F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72" name="Text Box 1">
          <a:extLst>
            <a:ext uri="{FF2B5EF4-FFF2-40B4-BE49-F238E27FC236}">
              <a16:creationId xmlns:a16="http://schemas.microsoft.com/office/drawing/2014/main" id="{8222515E-3F3E-4684-B8F0-2AEA7170BED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73" name="Text Box 1">
          <a:extLst>
            <a:ext uri="{FF2B5EF4-FFF2-40B4-BE49-F238E27FC236}">
              <a16:creationId xmlns:a16="http://schemas.microsoft.com/office/drawing/2014/main" id="{BEAB0487-DC0C-4D34-A6B3-615D8DB4478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74" name="Text Box 1">
          <a:extLst>
            <a:ext uri="{FF2B5EF4-FFF2-40B4-BE49-F238E27FC236}">
              <a16:creationId xmlns:a16="http://schemas.microsoft.com/office/drawing/2014/main" id="{B514D910-85A1-4C3F-8CDD-C8A5881C6B1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75" name="Text Box 1">
          <a:extLst>
            <a:ext uri="{FF2B5EF4-FFF2-40B4-BE49-F238E27FC236}">
              <a16:creationId xmlns:a16="http://schemas.microsoft.com/office/drawing/2014/main" id="{57B811D7-F772-4FAB-9BFD-FF4B7D27B54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76" name="Text Box 1">
          <a:extLst>
            <a:ext uri="{FF2B5EF4-FFF2-40B4-BE49-F238E27FC236}">
              <a16:creationId xmlns:a16="http://schemas.microsoft.com/office/drawing/2014/main" id="{A56ADDED-76C5-4756-807C-81A70258FD3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77" name="Text Box 1">
          <a:extLst>
            <a:ext uri="{FF2B5EF4-FFF2-40B4-BE49-F238E27FC236}">
              <a16:creationId xmlns:a16="http://schemas.microsoft.com/office/drawing/2014/main" id="{CDE49310-10E6-4139-9300-C5785F00EE0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78" name="Text Box 1">
          <a:extLst>
            <a:ext uri="{FF2B5EF4-FFF2-40B4-BE49-F238E27FC236}">
              <a16:creationId xmlns:a16="http://schemas.microsoft.com/office/drawing/2014/main" id="{56D30B53-CB15-4CDF-BBAF-35574B0FEBB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79" name="Text Box 1">
          <a:extLst>
            <a:ext uri="{FF2B5EF4-FFF2-40B4-BE49-F238E27FC236}">
              <a16:creationId xmlns:a16="http://schemas.microsoft.com/office/drawing/2014/main" id="{32562353-E4F8-45C9-8220-4C3ADB6AD8E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80" name="Text Box 1">
          <a:extLst>
            <a:ext uri="{FF2B5EF4-FFF2-40B4-BE49-F238E27FC236}">
              <a16:creationId xmlns:a16="http://schemas.microsoft.com/office/drawing/2014/main" id="{DCDEFEF9-904A-40E9-BE2B-F028FD186D6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81" name="Text Box 1">
          <a:extLst>
            <a:ext uri="{FF2B5EF4-FFF2-40B4-BE49-F238E27FC236}">
              <a16:creationId xmlns:a16="http://schemas.microsoft.com/office/drawing/2014/main" id="{07FC5DD6-8C6F-4117-8DF9-999391CE89B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82" name="Text Box 1">
          <a:extLst>
            <a:ext uri="{FF2B5EF4-FFF2-40B4-BE49-F238E27FC236}">
              <a16:creationId xmlns:a16="http://schemas.microsoft.com/office/drawing/2014/main" id="{B983D2E5-FCE9-44C8-B7A6-0B3E82885F9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83" name="Text Box 1">
          <a:extLst>
            <a:ext uri="{FF2B5EF4-FFF2-40B4-BE49-F238E27FC236}">
              <a16:creationId xmlns:a16="http://schemas.microsoft.com/office/drawing/2014/main" id="{9D195C65-D009-4EE2-BA0E-933578F5BD5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84" name="Text Box 1">
          <a:extLst>
            <a:ext uri="{FF2B5EF4-FFF2-40B4-BE49-F238E27FC236}">
              <a16:creationId xmlns:a16="http://schemas.microsoft.com/office/drawing/2014/main" id="{300D639C-694D-40EB-97B7-49E104C3ED2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85" name="Text Box 1">
          <a:extLst>
            <a:ext uri="{FF2B5EF4-FFF2-40B4-BE49-F238E27FC236}">
              <a16:creationId xmlns:a16="http://schemas.microsoft.com/office/drawing/2014/main" id="{049B8D64-764E-453B-8C2C-58599FE2299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86" name="Text Box 1">
          <a:extLst>
            <a:ext uri="{FF2B5EF4-FFF2-40B4-BE49-F238E27FC236}">
              <a16:creationId xmlns:a16="http://schemas.microsoft.com/office/drawing/2014/main" id="{D835090F-71CC-4DAC-80A1-5A2403B3A3F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87" name="Text Box 1">
          <a:extLst>
            <a:ext uri="{FF2B5EF4-FFF2-40B4-BE49-F238E27FC236}">
              <a16:creationId xmlns:a16="http://schemas.microsoft.com/office/drawing/2014/main" id="{242F2FEA-E8DC-40D9-A6F5-750AD3C850B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88" name="Text Box 1">
          <a:extLst>
            <a:ext uri="{FF2B5EF4-FFF2-40B4-BE49-F238E27FC236}">
              <a16:creationId xmlns:a16="http://schemas.microsoft.com/office/drawing/2014/main" id="{13C6245B-0DA9-425D-B8BF-F884BFCF48F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89" name="Text Box 1">
          <a:extLst>
            <a:ext uri="{FF2B5EF4-FFF2-40B4-BE49-F238E27FC236}">
              <a16:creationId xmlns:a16="http://schemas.microsoft.com/office/drawing/2014/main" id="{13D57E53-FD63-4E53-99EC-15C9448BF3F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90" name="Text Box 1">
          <a:extLst>
            <a:ext uri="{FF2B5EF4-FFF2-40B4-BE49-F238E27FC236}">
              <a16:creationId xmlns:a16="http://schemas.microsoft.com/office/drawing/2014/main" id="{85DE218A-78F7-4A27-A41C-6BE5DA2B194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91" name="Text Box 1">
          <a:extLst>
            <a:ext uri="{FF2B5EF4-FFF2-40B4-BE49-F238E27FC236}">
              <a16:creationId xmlns:a16="http://schemas.microsoft.com/office/drawing/2014/main" id="{ABF18E49-A5FE-4617-A0FE-3246154A9A9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92" name="Text Box 1">
          <a:extLst>
            <a:ext uri="{FF2B5EF4-FFF2-40B4-BE49-F238E27FC236}">
              <a16:creationId xmlns:a16="http://schemas.microsoft.com/office/drawing/2014/main" id="{F92FE9F0-9224-4EC0-8700-80F0D888AA8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93" name="Text Box 1">
          <a:extLst>
            <a:ext uri="{FF2B5EF4-FFF2-40B4-BE49-F238E27FC236}">
              <a16:creationId xmlns:a16="http://schemas.microsoft.com/office/drawing/2014/main" id="{A75F3BA0-D4EA-4373-B12B-0EF761C3307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94" name="Text Box 1">
          <a:extLst>
            <a:ext uri="{FF2B5EF4-FFF2-40B4-BE49-F238E27FC236}">
              <a16:creationId xmlns:a16="http://schemas.microsoft.com/office/drawing/2014/main" id="{4ECB54A0-8443-496A-8565-E9D7F793ACB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95" name="Text Box 1">
          <a:extLst>
            <a:ext uri="{FF2B5EF4-FFF2-40B4-BE49-F238E27FC236}">
              <a16:creationId xmlns:a16="http://schemas.microsoft.com/office/drawing/2014/main" id="{1E8C601F-FB72-4274-83C1-40B4F23F90A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96" name="Text Box 1">
          <a:extLst>
            <a:ext uri="{FF2B5EF4-FFF2-40B4-BE49-F238E27FC236}">
              <a16:creationId xmlns:a16="http://schemas.microsoft.com/office/drawing/2014/main" id="{BA742139-B344-4770-9275-CE0B8C3FA4E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97" name="Text Box 1">
          <a:extLst>
            <a:ext uri="{FF2B5EF4-FFF2-40B4-BE49-F238E27FC236}">
              <a16:creationId xmlns:a16="http://schemas.microsoft.com/office/drawing/2014/main" id="{B55538BC-0463-48AD-BAEB-CDB9E27FF69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98" name="Text Box 1">
          <a:extLst>
            <a:ext uri="{FF2B5EF4-FFF2-40B4-BE49-F238E27FC236}">
              <a16:creationId xmlns:a16="http://schemas.microsoft.com/office/drawing/2014/main" id="{0FAA1B3B-8EEA-4D6F-97FB-16B04647231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4999" name="Text Box 1">
          <a:extLst>
            <a:ext uri="{FF2B5EF4-FFF2-40B4-BE49-F238E27FC236}">
              <a16:creationId xmlns:a16="http://schemas.microsoft.com/office/drawing/2014/main" id="{DA71D461-E6F5-422F-8116-6FD2450899E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00" name="Text Box 1">
          <a:extLst>
            <a:ext uri="{FF2B5EF4-FFF2-40B4-BE49-F238E27FC236}">
              <a16:creationId xmlns:a16="http://schemas.microsoft.com/office/drawing/2014/main" id="{AB5AB42C-5A21-4647-967D-65D047F75F6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01" name="Text Box 1">
          <a:extLst>
            <a:ext uri="{FF2B5EF4-FFF2-40B4-BE49-F238E27FC236}">
              <a16:creationId xmlns:a16="http://schemas.microsoft.com/office/drawing/2014/main" id="{79EF4082-6E40-44DC-A246-D519E3F053A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02" name="Text Box 1">
          <a:extLst>
            <a:ext uri="{FF2B5EF4-FFF2-40B4-BE49-F238E27FC236}">
              <a16:creationId xmlns:a16="http://schemas.microsoft.com/office/drawing/2014/main" id="{52CDFA15-5000-4B72-A083-859922DD3A3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03" name="Text Box 1">
          <a:extLst>
            <a:ext uri="{FF2B5EF4-FFF2-40B4-BE49-F238E27FC236}">
              <a16:creationId xmlns:a16="http://schemas.microsoft.com/office/drawing/2014/main" id="{B34E587B-74B3-474B-A730-D32A2A75E3A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04" name="Text Box 1">
          <a:extLst>
            <a:ext uri="{FF2B5EF4-FFF2-40B4-BE49-F238E27FC236}">
              <a16:creationId xmlns:a16="http://schemas.microsoft.com/office/drawing/2014/main" id="{12E6464C-B680-4C94-8B0A-C6D4C23DEB8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05" name="Text Box 1">
          <a:extLst>
            <a:ext uri="{FF2B5EF4-FFF2-40B4-BE49-F238E27FC236}">
              <a16:creationId xmlns:a16="http://schemas.microsoft.com/office/drawing/2014/main" id="{B11C7E0C-A485-42F5-9C2D-D10114F0F7D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06" name="Text Box 1">
          <a:extLst>
            <a:ext uri="{FF2B5EF4-FFF2-40B4-BE49-F238E27FC236}">
              <a16:creationId xmlns:a16="http://schemas.microsoft.com/office/drawing/2014/main" id="{9E962BB0-0C82-4C39-BCAE-1E99FC9FE23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07" name="Text Box 1">
          <a:extLst>
            <a:ext uri="{FF2B5EF4-FFF2-40B4-BE49-F238E27FC236}">
              <a16:creationId xmlns:a16="http://schemas.microsoft.com/office/drawing/2014/main" id="{A8F3441E-C9E9-49A2-9432-8E450504AC0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08" name="Text Box 1">
          <a:extLst>
            <a:ext uri="{FF2B5EF4-FFF2-40B4-BE49-F238E27FC236}">
              <a16:creationId xmlns:a16="http://schemas.microsoft.com/office/drawing/2014/main" id="{C24BC55C-A807-4E5B-9CA7-BD0BD032BF2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09" name="Text Box 1">
          <a:extLst>
            <a:ext uri="{FF2B5EF4-FFF2-40B4-BE49-F238E27FC236}">
              <a16:creationId xmlns:a16="http://schemas.microsoft.com/office/drawing/2014/main" id="{D625079A-5942-43A3-8314-68026690FD4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10" name="Text Box 1">
          <a:extLst>
            <a:ext uri="{FF2B5EF4-FFF2-40B4-BE49-F238E27FC236}">
              <a16:creationId xmlns:a16="http://schemas.microsoft.com/office/drawing/2014/main" id="{AE821EBE-7843-4185-9D16-D9259F9A6BB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11" name="Text Box 1">
          <a:extLst>
            <a:ext uri="{FF2B5EF4-FFF2-40B4-BE49-F238E27FC236}">
              <a16:creationId xmlns:a16="http://schemas.microsoft.com/office/drawing/2014/main" id="{ACA3CA9C-B518-412F-BC44-BDCE1B7F678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12" name="Text Box 1">
          <a:extLst>
            <a:ext uri="{FF2B5EF4-FFF2-40B4-BE49-F238E27FC236}">
              <a16:creationId xmlns:a16="http://schemas.microsoft.com/office/drawing/2014/main" id="{332833A5-B5EC-4E74-B3DE-34739434E5E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13" name="Text Box 1">
          <a:extLst>
            <a:ext uri="{FF2B5EF4-FFF2-40B4-BE49-F238E27FC236}">
              <a16:creationId xmlns:a16="http://schemas.microsoft.com/office/drawing/2014/main" id="{2124EA46-DC42-4F2C-ABB1-7525CBC37D4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14" name="Text Box 1">
          <a:extLst>
            <a:ext uri="{FF2B5EF4-FFF2-40B4-BE49-F238E27FC236}">
              <a16:creationId xmlns:a16="http://schemas.microsoft.com/office/drawing/2014/main" id="{F97FCCAE-D13C-478C-A580-2F53805DE8D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15" name="Text Box 1">
          <a:extLst>
            <a:ext uri="{FF2B5EF4-FFF2-40B4-BE49-F238E27FC236}">
              <a16:creationId xmlns:a16="http://schemas.microsoft.com/office/drawing/2014/main" id="{9DF875FC-14D1-4080-BD17-23AAC684025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16" name="Text Box 1">
          <a:extLst>
            <a:ext uri="{FF2B5EF4-FFF2-40B4-BE49-F238E27FC236}">
              <a16:creationId xmlns:a16="http://schemas.microsoft.com/office/drawing/2014/main" id="{8DD761D3-9B97-48D7-878E-0374D090024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17" name="Text Box 1">
          <a:extLst>
            <a:ext uri="{FF2B5EF4-FFF2-40B4-BE49-F238E27FC236}">
              <a16:creationId xmlns:a16="http://schemas.microsoft.com/office/drawing/2014/main" id="{88EB2B6B-D4AF-4DF3-9356-1C2E5BC63EB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18" name="Text Box 1">
          <a:extLst>
            <a:ext uri="{FF2B5EF4-FFF2-40B4-BE49-F238E27FC236}">
              <a16:creationId xmlns:a16="http://schemas.microsoft.com/office/drawing/2014/main" id="{4E553292-C346-4C6C-BAA1-59B5AE967EF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19" name="Text Box 1">
          <a:extLst>
            <a:ext uri="{FF2B5EF4-FFF2-40B4-BE49-F238E27FC236}">
              <a16:creationId xmlns:a16="http://schemas.microsoft.com/office/drawing/2014/main" id="{C159D6F5-3F60-4AE3-9983-17116DEAEC3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20" name="Text Box 1">
          <a:extLst>
            <a:ext uri="{FF2B5EF4-FFF2-40B4-BE49-F238E27FC236}">
              <a16:creationId xmlns:a16="http://schemas.microsoft.com/office/drawing/2014/main" id="{052780B7-FE4E-4ADB-A1B6-48EDCA6E1FB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21" name="Text Box 1">
          <a:extLst>
            <a:ext uri="{FF2B5EF4-FFF2-40B4-BE49-F238E27FC236}">
              <a16:creationId xmlns:a16="http://schemas.microsoft.com/office/drawing/2014/main" id="{F2A73B32-F8A1-488B-A850-711ABA6D7C6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22" name="Text Box 1">
          <a:extLst>
            <a:ext uri="{FF2B5EF4-FFF2-40B4-BE49-F238E27FC236}">
              <a16:creationId xmlns:a16="http://schemas.microsoft.com/office/drawing/2014/main" id="{54BD9E76-B0B5-47AD-A2F8-1CDA6701D26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23" name="Text Box 1">
          <a:extLst>
            <a:ext uri="{FF2B5EF4-FFF2-40B4-BE49-F238E27FC236}">
              <a16:creationId xmlns:a16="http://schemas.microsoft.com/office/drawing/2014/main" id="{E87D5D53-D440-4D4C-9D7A-94886985D87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24" name="Text Box 1">
          <a:extLst>
            <a:ext uri="{FF2B5EF4-FFF2-40B4-BE49-F238E27FC236}">
              <a16:creationId xmlns:a16="http://schemas.microsoft.com/office/drawing/2014/main" id="{E7103F68-74A9-4224-8F85-EF90FA94591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25" name="Text Box 1">
          <a:extLst>
            <a:ext uri="{FF2B5EF4-FFF2-40B4-BE49-F238E27FC236}">
              <a16:creationId xmlns:a16="http://schemas.microsoft.com/office/drawing/2014/main" id="{7FDE8893-C004-4FCE-8E1C-4D17994B1D1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26" name="Text Box 1">
          <a:extLst>
            <a:ext uri="{FF2B5EF4-FFF2-40B4-BE49-F238E27FC236}">
              <a16:creationId xmlns:a16="http://schemas.microsoft.com/office/drawing/2014/main" id="{E7C1114C-D22F-4149-8F22-4F54D9B3C50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27" name="Text Box 1">
          <a:extLst>
            <a:ext uri="{FF2B5EF4-FFF2-40B4-BE49-F238E27FC236}">
              <a16:creationId xmlns:a16="http://schemas.microsoft.com/office/drawing/2014/main" id="{74E20B17-7AAA-4AEE-8D3D-E483737172E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28" name="Text Box 1">
          <a:extLst>
            <a:ext uri="{FF2B5EF4-FFF2-40B4-BE49-F238E27FC236}">
              <a16:creationId xmlns:a16="http://schemas.microsoft.com/office/drawing/2014/main" id="{47A2FA82-6A14-4245-9E26-B3308B2ED88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29" name="Text Box 1">
          <a:extLst>
            <a:ext uri="{FF2B5EF4-FFF2-40B4-BE49-F238E27FC236}">
              <a16:creationId xmlns:a16="http://schemas.microsoft.com/office/drawing/2014/main" id="{AD2EB2A8-C6EC-4E73-890D-1884ED83439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30" name="Text Box 1">
          <a:extLst>
            <a:ext uri="{FF2B5EF4-FFF2-40B4-BE49-F238E27FC236}">
              <a16:creationId xmlns:a16="http://schemas.microsoft.com/office/drawing/2014/main" id="{43552538-F872-4772-A2FA-F3D98BDA1EF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31" name="Text Box 1">
          <a:extLst>
            <a:ext uri="{FF2B5EF4-FFF2-40B4-BE49-F238E27FC236}">
              <a16:creationId xmlns:a16="http://schemas.microsoft.com/office/drawing/2014/main" id="{2ECC0B50-98E4-48AF-A463-FF1964CBE22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32" name="Text Box 1">
          <a:extLst>
            <a:ext uri="{FF2B5EF4-FFF2-40B4-BE49-F238E27FC236}">
              <a16:creationId xmlns:a16="http://schemas.microsoft.com/office/drawing/2014/main" id="{E2A404EC-AE41-4B4B-ACAB-1D81DA623F8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33" name="Text Box 1">
          <a:extLst>
            <a:ext uri="{FF2B5EF4-FFF2-40B4-BE49-F238E27FC236}">
              <a16:creationId xmlns:a16="http://schemas.microsoft.com/office/drawing/2014/main" id="{58BABD36-0AB3-45E9-AAAB-32B778EA16A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34" name="Text Box 1">
          <a:extLst>
            <a:ext uri="{FF2B5EF4-FFF2-40B4-BE49-F238E27FC236}">
              <a16:creationId xmlns:a16="http://schemas.microsoft.com/office/drawing/2014/main" id="{55714FDC-97D7-43E7-A680-8BA934CD396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35" name="Text Box 1">
          <a:extLst>
            <a:ext uri="{FF2B5EF4-FFF2-40B4-BE49-F238E27FC236}">
              <a16:creationId xmlns:a16="http://schemas.microsoft.com/office/drawing/2014/main" id="{0A9F5530-D40C-4EEF-B8C4-97BF7B9B5F0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36" name="Text Box 1">
          <a:extLst>
            <a:ext uri="{FF2B5EF4-FFF2-40B4-BE49-F238E27FC236}">
              <a16:creationId xmlns:a16="http://schemas.microsoft.com/office/drawing/2014/main" id="{A51D2490-B5C2-4107-9491-516938DF99A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37" name="Text Box 1">
          <a:extLst>
            <a:ext uri="{FF2B5EF4-FFF2-40B4-BE49-F238E27FC236}">
              <a16:creationId xmlns:a16="http://schemas.microsoft.com/office/drawing/2014/main" id="{6666060C-84CE-4708-A858-DF7E432CA48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38" name="Text Box 1">
          <a:extLst>
            <a:ext uri="{FF2B5EF4-FFF2-40B4-BE49-F238E27FC236}">
              <a16:creationId xmlns:a16="http://schemas.microsoft.com/office/drawing/2014/main" id="{20B4FE68-8DE1-432E-882E-3C5D87EBE82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39" name="Text Box 1">
          <a:extLst>
            <a:ext uri="{FF2B5EF4-FFF2-40B4-BE49-F238E27FC236}">
              <a16:creationId xmlns:a16="http://schemas.microsoft.com/office/drawing/2014/main" id="{CB2C8338-3E5E-44B0-B01C-942434D5815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40" name="Text Box 1">
          <a:extLst>
            <a:ext uri="{FF2B5EF4-FFF2-40B4-BE49-F238E27FC236}">
              <a16:creationId xmlns:a16="http://schemas.microsoft.com/office/drawing/2014/main" id="{F0C9FEF1-17E7-427D-A1BB-92954C926F8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41" name="Text Box 1">
          <a:extLst>
            <a:ext uri="{FF2B5EF4-FFF2-40B4-BE49-F238E27FC236}">
              <a16:creationId xmlns:a16="http://schemas.microsoft.com/office/drawing/2014/main" id="{4F7145C8-818C-4394-A9D9-36E45DD4E04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42" name="Text Box 1">
          <a:extLst>
            <a:ext uri="{FF2B5EF4-FFF2-40B4-BE49-F238E27FC236}">
              <a16:creationId xmlns:a16="http://schemas.microsoft.com/office/drawing/2014/main" id="{ABD2C854-AAFF-41D0-9FF0-C1977403915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43" name="Text Box 1">
          <a:extLst>
            <a:ext uri="{FF2B5EF4-FFF2-40B4-BE49-F238E27FC236}">
              <a16:creationId xmlns:a16="http://schemas.microsoft.com/office/drawing/2014/main" id="{B4653164-D06E-4466-9F68-5F48957F39F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44" name="Text Box 1">
          <a:extLst>
            <a:ext uri="{FF2B5EF4-FFF2-40B4-BE49-F238E27FC236}">
              <a16:creationId xmlns:a16="http://schemas.microsoft.com/office/drawing/2014/main" id="{51798E5E-D882-4C18-9CFE-A0E0221694C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45" name="Text Box 1">
          <a:extLst>
            <a:ext uri="{FF2B5EF4-FFF2-40B4-BE49-F238E27FC236}">
              <a16:creationId xmlns:a16="http://schemas.microsoft.com/office/drawing/2014/main" id="{7FBEDA2E-7928-493D-AFDB-1830807F559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46" name="Text Box 1">
          <a:extLst>
            <a:ext uri="{FF2B5EF4-FFF2-40B4-BE49-F238E27FC236}">
              <a16:creationId xmlns:a16="http://schemas.microsoft.com/office/drawing/2014/main" id="{110D9316-9223-444E-B600-D23FE341DB5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47" name="Text Box 1">
          <a:extLst>
            <a:ext uri="{FF2B5EF4-FFF2-40B4-BE49-F238E27FC236}">
              <a16:creationId xmlns:a16="http://schemas.microsoft.com/office/drawing/2014/main" id="{F53B90A7-8F9C-42A3-86F8-3D8CC991FF2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48" name="Text Box 1">
          <a:extLst>
            <a:ext uri="{FF2B5EF4-FFF2-40B4-BE49-F238E27FC236}">
              <a16:creationId xmlns:a16="http://schemas.microsoft.com/office/drawing/2014/main" id="{E720A147-91C1-441E-B9EA-7F22FC2D22F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49" name="Text Box 1">
          <a:extLst>
            <a:ext uri="{FF2B5EF4-FFF2-40B4-BE49-F238E27FC236}">
              <a16:creationId xmlns:a16="http://schemas.microsoft.com/office/drawing/2014/main" id="{6FFB4D9F-CF0C-427A-947D-C9D0F1023AC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50" name="Text Box 1">
          <a:extLst>
            <a:ext uri="{FF2B5EF4-FFF2-40B4-BE49-F238E27FC236}">
              <a16:creationId xmlns:a16="http://schemas.microsoft.com/office/drawing/2014/main" id="{977D5BA7-2926-47A6-8C65-95A20AAD757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51" name="Text Box 1">
          <a:extLst>
            <a:ext uri="{FF2B5EF4-FFF2-40B4-BE49-F238E27FC236}">
              <a16:creationId xmlns:a16="http://schemas.microsoft.com/office/drawing/2014/main" id="{F490CF73-A86D-4A4B-BAA9-C68BCABEAC6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52" name="Text Box 1">
          <a:extLst>
            <a:ext uri="{FF2B5EF4-FFF2-40B4-BE49-F238E27FC236}">
              <a16:creationId xmlns:a16="http://schemas.microsoft.com/office/drawing/2014/main" id="{8CC5908C-8FB2-477B-B7A6-A1AD29E0995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53" name="Text Box 1">
          <a:extLst>
            <a:ext uri="{FF2B5EF4-FFF2-40B4-BE49-F238E27FC236}">
              <a16:creationId xmlns:a16="http://schemas.microsoft.com/office/drawing/2014/main" id="{81B2642A-C1B3-4233-8A12-9401AE1FBD2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54" name="Text Box 1">
          <a:extLst>
            <a:ext uri="{FF2B5EF4-FFF2-40B4-BE49-F238E27FC236}">
              <a16:creationId xmlns:a16="http://schemas.microsoft.com/office/drawing/2014/main" id="{58992D8B-4C98-42A8-BDB8-7B156F04A8B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55" name="Text Box 1">
          <a:extLst>
            <a:ext uri="{FF2B5EF4-FFF2-40B4-BE49-F238E27FC236}">
              <a16:creationId xmlns:a16="http://schemas.microsoft.com/office/drawing/2014/main" id="{34093301-7B86-4FE6-999B-BCC3A4CF135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56" name="Text Box 1">
          <a:extLst>
            <a:ext uri="{FF2B5EF4-FFF2-40B4-BE49-F238E27FC236}">
              <a16:creationId xmlns:a16="http://schemas.microsoft.com/office/drawing/2014/main" id="{0E4BB144-2B40-458D-A88D-D2492EE56CC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57" name="Text Box 1">
          <a:extLst>
            <a:ext uri="{FF2B5EF4-FFF2-40B4-BE49-F238E27FC236}">
              <a16:creationId xmlns:a16="http://schemas.microsoft.com/office/drawing/2014/main" id="{6A60D6AD-84E3-4508-A6AB-0D20D1EC77A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58" name="Text Box 1">
          <a:extLst>
            <a:ext uri="{FF2B5EF4-FFF2-40B4-BE49-F238E27FC236}">
              <a16:creationId xmlns:a16="http://schemas.microsoft.com/office/drawing/2014/main" id="{6808AAB0-E76F-41C9-A7E6-B25A11D8982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59" name="Text Box 1">
          <a:extLst>
            <a:ext uri="{FF2B5EF4-FFF2-40B4-BE49-F238E27FC236}">
              <a16:creationId xmlns:a16="http://schemas.microsoft.com/office/drawing/2014/main" id="{711300A9-5582-42BD-8AA0-DD9F42218D5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60" name="Text Box 1">
          <a:extLst>
            <a:ext uri="{FF2B5EF4-FFF2-40B4-BE49-F238E27FC236}">
              <a16:creationId xmlns:a16="http://schemas.microsoft.com/office/drawing/2014/main" id="{13021548-84DC-4179-944C-AE8D3F73152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61" name="Text Box 1">
          <a:extLst>
            <a:ext uri="{FF2B5EF4-FFF2-40B4-BE49-F238E27FC236}">
              <a16:creationId xmlns:a16="http://schemas.microsoft.com/office/drawing/2014/main" id="{721C34D9-7E50-4786-8B7F-F621E90245F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62" name="Text Box 1">
          <a:extLst>
            <a:ext uri="{FF2B5EF4-FFF2-40B4-BE49-F238E27FC236}">
              <a16:creationId xmlns:a16="http://schemas.microsoft.com/office/drawing/2014/main" id="{92CD4F99-742D-42C7-9C7B-9CAE433F08B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63" name="Text Box 1">
          <a:extLst>
            <a:ext uri="{FF2B5EF4-FFF2-40B4-BE49-F238E27FC236}">
              <a16:creationId xmlns:a16="http://schemas.microsoft.com/office/drawing/2014/main" id="{480EA511-E69A-492B-A387-DEEDE96040F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64" name="Text Box 1">
          <a:extLst>
            <a:ext uri="{FF2B5EF4-FFF2-40B4-BE49-F238E27FC236}">
              <a16:creationId xmlns:a16="http://schemas.microsoft.com/office/drawing/2014/main" id="{8E30431E-F3F8-4276-B136-F9029920757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65" name="Text Box 1">
          <a:extLst>
            <a:ext uri="{FF2B5EF4-FFF2-40B4-BE49-F238E27FC236}">
              <a16:creationId xmlns:a16="http://schemas.microsoft.com/office/drawing/2014/main" id="{DBC5CBDC-631D-40EB-AA47-FF5CB2EC3B3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66" name="Text Box 1">
          <a:extLst>
            <a:ext uri="{FF2B5EF4-FFF2-40B4-BE49-F238E27FC236}">
              <a16:creationId xmlns:a16="http://schemas.microsoft.com/office/drawing/2014/main" id="{97BDB04D-6788-4801-A022-37AFB9879D7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67" name="Text Box 1">
          <a:extLst>
            <a:ext uri="{FF2B5EF4-FFF2-40B4-BE49-F238E27FC236}">
              <a16:creationId xmlns:a16="http://schemas.microsoft.com/office/drawing/2014/main" id="{AF353EE5-0507-48F4-8264-FEB5795B851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68" name="Text Box 1">
          <a:extLst>
            <a:ext uri="{FF2B5EF4-FFF2-40B4-BE49-F238E27FC236}">
              <a16:creationId xmlns:a16="http://schemas.microsoft.com/office/drawing/2014/main" id="{15F057BA-BEDF-43C6-AC3A-7E978B6C0D9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69" name="Text Box 1">
          <a:extLst>
            <a:ext uri="{FF2B5EF4-FFF2-40B4-BE49-F238E27FC236}">
              <a16:creationId xmlns:a16="http://schemas.microsoft.com/office/drawing/2014/main" id="{9F282445-7865-47A9-AAB4-A869323F583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70" name="Text Box 1">
          <a:extLst>
            <a:ext uri="{FF2B5EF4-FFF2-40B4-BE49-F238E27FC236}">
              <a16:creationId xmlns:a16="http://schemas.microsoft.com/office/drawing/2014/main" id="{9F92C7C6-E32D-4F4F-8188-9D03C77C39A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71" name="Text Box 1">
          <a:extLst>
            <a:ext uri="{FF2B5EF4-FFF2-40B4-BE49-F238E27FC236}">
              <a16:creationId xmlns:a16="http://schemas.microsoft.com/office/drawing/2014/main" id="{D5B9E6B5-8A40-4E45-BBBF-E1996F7FF6B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72" name="Text Box 1">
          <a:extLst>
            <a:ext uri="{FF2B5EF4-FFF2-40B4-BE49-F238E27FC236}">
              <a16:creationId xmlns:a16="http://schemas.microsoft.com/office/drawing/2014/main" id="{5DE5AB5D-9ECD-47F6-BB0E-05A2FE8CCFF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73" name="Text Box 1">
          <a:extLst>
            <a:ext uri="{FF2B5EF4-FFF2-40B4-BE49-F238E27FC236}">
              <a16:creationId xmlns:a16="http://schemas.microsoft.com/office/drawing/2014/main" id="{0376E057-7399-486E-8ED8-BF14139C567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74" name="Text Box 1">
          <a:extLst>
            <a:ext uri="{FF2B5EF4-FFF2-40B4-BE49-F238E27FC236}">
              <a16:creationId xmlns:a16="http://schemas.microsoft.com/office/drawing/2014/main" id="{310DF9B2-E8C8-4B5E-AE47-2BAE45A8D57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75" name="Text Box 1">
          <a:extLst>
            <a:ext uri="{FF2B5EF4-FFF2-40B4-BE49-F238E27FC236}">
              <a16:creationId xmlns:a16="http://schemas.microsoft.com/office/drawing/2014/main" id="{284A9357-343C-46A3-A128-905872D1356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76" name="Text Box 1">
          <a:extLst>
            <a:ext uri="{FF2B5EF4-FFF2-40B4-BE49-F238E27FC236}">
              <a16:creationId xmlns:a16="http://schemas.microsoft.com/office/drawing/2014/main" id="{F7EA9EDB-199C-4B8F-A174-1D5E7E22E00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77" name="Text Box 1">
          <a:extLst>
            <a:ext uri="{FF2B5EF4-FFF2-40B4-BE49-F238E27FC236}">
              <a16:creationId xmlns:a16="http://schemas.microsoft.com/office/drawing/2014/main" id="{8157C848-ADF3-4F63-BB75-99C8A8B3884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78" name="Text Box 1">
          <a:extLst>
            <a:ext uri="{FF2B5EF4-FFF2-40B4-BE49-F238E27FC236}">
              <a16:creationId xmlns:a16="http://schemas.microsoft.com/office/drawing/2014/main" id="{425BC897-A24D-4C61-A92C-4730D854E2A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79" name="Text Box 1">
          <a:extLst>
            <a:ext uri="{FF2B5EF4-FFF2-40B4-BE49-F238E27FC236}">
              <a16:creationId xmlns:a16="http://schemas.microsoft.com/office/drawing/2014/main" id="{4DD13C7D-43CC-4DDF-B36B-DE96E51346B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80" name="Text Box 1">
          <a:extLst>
            <a:ext uri="{FF2B5EF4-FFF2-40B4-BE49-F238E27FC236}">
              <a16:creationId xmlns:a16="http://schemas.microsoft.com/office/drawing/2014/main" id="{3520F77D-99BC-4F32-9EA9-F795F54CCBC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81" name="Text Box 1">
          <a:extLst>
            <a:ext uri="{FF2B5EF4-FFF2-40B4-BE49-F238E27FC236}">
              <a16:creationId xmlns:a16="http://schemas.microsoft.com/office/drawing/2014/main" id="{655D0DD2-38BB-410E-A361-579096A7C08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82" name="Text Box 1">
          <a:extLst>
            <a:ext uri="{FF2B5EF4-FFF2-40B4-BE49-F238E27FC236}">
              <a16:creationId xmlns:a16="http://schemas.microsoft.com/office/drawing/2014/main" id="{4924735A-98CD-41D0-B718-59B8B158FC9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83" name="Text Box 1">
          <a:extLst>
            <a:ext uri="{FF2B5EF4-FFF2-40B4-BE49-F238E27FC236}">
              <a16:creationId xmlns:a16="http://schemas.microsoft.com/office/drawing/2014/main" id="{ADCB4422-5D79-4041-93DF-DE3D2027B1B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84" name="Text Box 1">
          <a:extLst>
            <a:ext uri="{FF2B5EF4-FFF2-40B4-BE49-F238E27FC236}">
              <a16:creationId xmlns:a16="http://schemas.microsoft.com/office/drawing/2014/main" id="{39E75B96-511D-4512-A41C-9E9749D8083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85" name="Text Box 1">
          <a:extLst>
            <a:ext uri="{FF2B5EF4-FFF2-40B4-BE49-F238E27FC236}">
              <a16:creationId xmlns:a16="http://schemas.microsoft.com/office/drawing/2014/main" id="{C281B096-B0B3-4E0A-8226-1A5653AED2D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86" name="Text Box 1">
          <a:extLst>
            <a:ext uri="{FF2B5EF4-FFF2-40B4-BE49-F238E27FC236}">
              <a16:creationId xmlns:a16="http://schemas.microsoft.com/office/drawing/2014/main" id="{6CB1F329-858C-48D0-B0ED-B43DC40F6A1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87" name="Text Box 1">
          <a:extLst>
            <a:ext uri="{FF2B5EF4-FFF2-40B4-BE49-F238E27FC236}">
              <a16:creationId xmlns:a16="http://schemas.microsoft.com/office/drawing/2014/main" id="{D79A4D50-B1D9-4C68-A199-37E74197428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88" name="Text Box 1">
          <a:extLst>
            <a:ext uri="{FF2B5EF4-FFF2-40B4-BE49-F238E27FC236}">
              <a16:creationId xmlns:a16="http://schemas.microsoft.com/office/drawing/2014/main" id="{004CB06D-E1FA-4824-9A16-346289F7986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89" name="Text Box 1">
          <a:extLst>
            <a:ext uri="{FF2B5EF4-FFF2-40B4-BE49-F238E27FC236}">
              <a16:creationId xmlns:a16="http://schemas.microsoft.com/office/drawing/2014/main" id="{5411E10F-D334-4E16-B4BA-6E5AE3E8070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90" name="Text Box 1">
          <a:extLst>
            <a:ext uri="{FF2B5EF4-FFF2-40B4-BE49-F238E27FC236}">
              <a16:creationId xmlns:a16="http://schemas.microsoft.com/office/drawing/2014/main" id="{21583809-5506-4699-96AC-8640291F8FE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91" name="Text Box 1">
          <a:extLst>
            <a:ext uri="{FF2B5EF4-FFF2-40B4-BE49-F238E27FC236}">
              <a16:creationId xmlns:a16="http://schemas.microsoft.com/office/drawing/2014/main" id="{E93BA5CB-3E00-4539-9B6B-DC146E4E5E9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92" name="Text Box 1">
          <a:extLst>
            <a:ext uri="{FF2B5EF4-FFF2-40B4-BE49-F238E27FC236}">
              <a16:creationId xmlns:a16="http://schemas.microsoft.com/office/drawing/2014/main" id="{125755B7-8D15-4C31-904E-B23C14778A3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93" name="Text Box 1">
          <a:extLst>
            <a:ext uri="{FF2B5EF4-FFF2-40B4-BE49-F238E27FC236}">
              <a16:creationId xmlns:a16="http://schemas.microsoft.com/office/drawing/2014/main" id="{9BB54730-8CED-4646-B021-1A297EAD2C5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94" name="Text Box 1">
          <a:extLst>
            <a:ext uri="{FF2B5EF4-FFF2-40B4-BE49-F238E27FC236}">
              <a16:creationId xmlns:a16="http://schemas.microsoft.com/office/drawing/2014/main" id="{21CF149C-2165-49CF-AF80-4203F718283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95" name="Text Box 1">
          <a:extLst>
            <a:ext uri="{FF2B5EF4-FFF2-40B4-BE49-F238E27FC236}">
              <a16:creationId xmlns:a16="http://schemas.microsoft.com/office/drawing/2014/main" id="{D526BB15-7FB4-41A2-9503-FF72057A98C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96" name="Text Box 1">
          <a:extLst>
            <a:ext uri="{FF2B5EF4-FFF2-40B4-BE49-F238E27FC236}">
              <a16:creationId xmlns:a16="http://schemas.microsoft.com/office/drawing/2014/main" id="{39BBD8E3-F606-4D25-B855-494CC5BAD8A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97" name="Text Box 1">
          <a:extLst>
            <a:ext uri="{FF2B5EF4-FFF2-40B4-BE49-F238E27FC236}">
              <a16:creationId xmlns:a16="http://schemas.microsoft.com/office/drawing/2014/main" id="{AC5FCFD1-33F7-4EF7-A810-B30C3AFE93C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98" name="Text Box 1">
          <a:extLst>
            <a:ext uri="{FF2B5EF4-FFF2-40B4-BE49-F238E27FC236}">
              <a16:creationId xmlns:a16="http://schemas.microsoft.com/office/drawing/2014/main" id="{E15D52E4-EB06-4780-8B1B-6C403AF710B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099" name="Text Box 1">
          <a:extLst>
            <a:ext uri="{FF2B5EF4-FFF2-40B4-BE49-F238E27FC236}">
              <a16:creationId xmlns:a16="http://schemas.microsoft.com/office/drawing/2014/main" id="{180E53A7-0BD0-4C36-B50F-1EC17B51CA4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00" name="Text Box 1">
          <a:extLst>
            <a:ext uri="{FF2B5EF4-FFF2-40B4-BE49-F238E27FC236}">
              <a16:creationId xmlns:a16="http://schemas.microsoft.com/office/drawing/2014/main" id="{28249BC5-CBD6-4CE1-B30E-626748EC67E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01" name="Text Box 1">
          <a:extLst>
            <a:ext uri="{FF2B5EF4-FFF2-40B4-BE49-F238E27FC236}">
              <a16:creationId xmlns:a16="http://schemas.microsoft.com/office/drawing/2014/main" id="{121C3C01-C79E-483D-AA84-2D90EFF18B1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02" name="Text Box 1">
          <a:extLst>
            <a:ext uri="{FF2B5EF4-FFF2-40B4-BE49-F238E27FC236}">
              <a16:creationId xmlns:a16="http://schemas.microsoft.com/office/drawing/2014/main" id="{9749A71E-1F83-4259-849F-28A3C49AEFF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03" name="Text Box 1">
          <a:extLst>
            <a:ext uri="{FF2B5EF4-FFF2-40B4-BE49-F238E27FC236}">
              <a16:creationId xmlns:a16="http://schemas.microsoft.com/office/drawing/2014/main" id="{87290DFE-F0AE-4EB2-9B99-9A1605F3A65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04" name="Text Box 1">
          <a:extLst>
            <a:ext uri="{FF2B5EF4-FFF2-40B4-BE49-F238E27FC236}">
              <a16:creationId xmlns:a16="http://schemas.microsoft.com/office/drawing/2014/main" id="{C529DCF9-28FD-45E3-9F50-D1E2C2ED97F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05" name="Text Box 1">
          <a:extLst>
            <a:ext uri="{FF2B5EF4-FFF2-40B4-BE49-F238E27FC236}">
              <a16:creationId xmlns:a16="http://schemas.microsoft.com/office/drawing/2014/main" id="{E7B0A059-35C5-466C-8DF9-F0EFAFD98AF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06" name="Text Box 1">
          <a:extLst>
            <a:ext uri="{FF2B5EF4-FFF2-40B4-BE49-F238E27FC236}">
              <a16:creationId xmlns:a16="http://schemas.microsoft.com/office/drawing/2014/main" id="{AF3D24ED-25DE-44A2-A821-2CD33F759F8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07" name="Text Box 1">
          <a:extLst>
            <a:ext uri="{FF2B5EF4-FFF2-40B4-BE49-F238E27FC236}">
              <a16:creationId xmlns:a16="http://schemas.microsoft.com/office/drawing/2014/main" id="{0CCF1F55-71F8-4AFD-B132-92CA0DA723D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08" name="Text Box 1">
          <a:extLst>
            <a:ext uri="{FF2B5EF4-FFF2-40B4-BE49-F238E27FC236}">
              <a16:creationId xmlns:a16="http://schemas.microsoft.com/office/drawing/2014/main" id="{8CDD0D1A-FB85-4F94-83C4-C3899C21269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09" name="Text Box 1">
          <a:extLst>
            <a:ext uri="{FF2B5EF4-FFF2-40B4-BE49-F238E27FC236}">
              <a16:creationId xmlns:a16="http://schemas.microsoft.com/office/drawing/2014/main" id="{2763E7BE-5A08-4B4C-BF01-C6FD6CBFDC6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10" name="Text Box 1">
          <a:extLst>
            <a:ext uri="{FF2B5EF4-FFF2-40B4-BE49-F238E27FC236}">
              <a16:creationId xmlns:a16="http://schemas.microsoft.com/office/drawing/2014/main" id="{355C5367-E255-4B78-8748-FEDB15358C8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11" name="Text Box 1">
          <a:extLst>
            <a:ext uri="{FF2B5EF4-FFF2-40B4-BE49-F238E27FC236}">
              <a16:creationId xmlns:a16="http://schemas.microsoft.com/office/drawing/2014/main" id="{0FD76D2D-5927-4049-AA11-DC573CE7859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12" name="Text Box 1">
          <a:extLst>
            <a:ext uri="{FF2B5EF4-FFF2-40B4-BE49-F238E27FC236}">
              <a16:creationId xmlns:a16="http://schemas.microsoft.com/office/drawing/2014/main" id="{540CDC17-A7E7-468B-BEA2-B84E6301F0B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13" name="Text Box 1">
          <a:extLst>
            <a:ext uri="{FF2B5EF4-FFF2-40B4-BE49-F238E27FC236}">
              <a16:creationId xmlns:a16="http://schemas.microsoft.com/office/drawing/2014/main" id="{FB8C9B29-8066-43D4-B793-690F5174029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14" name="Text Box 1">
          <a:extLst>
            <a:ext uri="{FF2B5EF4-FFF2-40B4-BE49-F238E27FC236}">
              <a16:creationId xmlns:a16="http://schemas.microsoft.com/office/drawing/2014/main" id="{2CDECA34-92C7-4F54-B837-084F5B2181A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15" name="Text Box 1">
          <a:extLst>
            <a:ext uri="{FF2B5EF4-FFF2-40B4-BE49-F238E27FC236}">
              <a16:creationId xmlns:a16="http://schemas.microsoft.com/office/drawing/2014/main" id="{6483F452-9773-4DCE-8BC7-E27DAF4577A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16" name="Text Box 1">
          <a:extLst>
            <a:ext uri="{FF2B5EF4-FFF2-40B4-BE49-F238E27FC236}">
              <a16:creationId xmlns:a16="http://schemas.microsoft.com/office/drawing/2014/main" id="{441B2833-5C54-4059-A8D6-13D987FF193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17" name="Text Box 1">
          <a:extLst>
            <a:ext uri="{FF2B5EF4-FFF2-40B4-BE49-F238E27FC236}">
              <a16:creationId xmlns:a16="http://schemas.microsoft.com/office/drawing/2014/main" id="{274666F9-700D-4599-B20F-65B6298B70F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18" name="Text Box 1">
          <a:extLst>
            <a:ext uri="{FF2B5EF4-FFF2-40B4-BE49-F238E27FC236}">
              <a16:creationId xmlns:a16="http://schemas.microsoft.com/office/drawing/2014/main" id="{E1265822-E4C1-4CBD-A2C4-3C1B1DF8218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19" name="Text Box 1">
          <a:extLst>
            <a:ext uri="{FF2B5EF4-FFF2-40B4-BE49-F238E27FC236}">
              <a16:creationId xmlns:a16="http://schemas.microsoft.com/office/drawing/2014/main" id="{AB3C5481-750A-4024-B90F-775BE0B2167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20" name="Text Box 1">
          <a:extLst>
            <a:ext uri="{FF2B5EF4-FFF2-40B4-BE49-F238E27FC236}">
              <a16:creationId xmlns:a16="http://schemas.microsoft.com/office/drawing/2014/main" id="{582E025E-9B7C-473C-9DCD-77616E853D0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21" name="Text Box 1">
          <a:extLst>
            <a:ext uri="{FF2B5EF4-FFF2-40B4-BE49-F238E27FC236}">
              <a16:creationId xmlns:a16="http://schemas.microsoft.com/office/drawing/2014/main" id="{86C92D1D-5AB8-42F8-83A9-E127DFB5F23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22" name="Text Box 1">
          <a:extLst>
            <a:ext uri="{FF2B5EF4-FFF2-40B4-BE49-F238E27FC236}">
              <a16:creationId xmlns:a16="http://schemas.microsoft.com/office/drawing/2014/main" id="{D9E73108-C80A-4BFE-8C5C-DC5C3C9280F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23" name="Text Box 1">
          <a:extLst>
            <a:ext uri="{FF2B5EF4-FFF2-40B4-BE49-F238E27FC236}">
              <a16:creationId xmlns:a16="http://schemas.microsoft.com/office/drawing/2014/main" id="{D097BE7F-BBAE-4444-BAAB-10EFA9A3C3F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24" name="Text Box 1">
          <a:extLst>
            <a:ext uri="{FF2B5EF4-FFF2-40B4-BE49-F238E27FC236}">
              <a16:creationId xmlns:a16="http://schemas.microsoft.com/office/drawing/2014/main" id="{C7F33A93-56E4-47D3-A760-D491A7C800A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25" name="Text Box 1">
          <a:extLst>
            <a:ext uri="{FF2B5EF4-FFF2-40B4-BE49-F238E27FC236}">
              <a16:creationId xmlns:a16="http://schemas.microsoft.com/office/drawing/2014/main" id="{4A0DCBE1-CE5F-4D26-8DF5-DC026C14EBF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26" name="Text Box 1">
          <a:extLst>
            <a:ext uri="{FF2B5EF4-FFF2-40B4-BE49-F238E27FC236}">
              <a16:creationId xmlns:a16="http://schemas.microsoft.com/office/drawing/2014/main" id="{85B4AA9E-D7FB-4C7F-9028-82EC644EA44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27" name="Text Box 1">
          <a:extLst>
            <a:ext uri="{FF2B5EF4-FFF2-40B4-BE49-F238E27FC236}">
              <a16:creationId xmlns:a16="http://schemas.microsoft.com/office/drawing/2014/main" id="{A939B6E3-672C-4183-BC76-0CCDEDA3074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28" name="Text Box 1">
          <a:extLst>
            <a:ext uri="{FF2B5EF4-FFF2-40B4-BE49-F238E27FC236}">
              <a16:creationId xmlns:a16="http://schemas.microsoft.com/office/drawing/2014/main" id="{7E16F514-D786-446A-BADA-BF613DC9F36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29" name="Text Box 1">
          <a:extLst>
            <a:ext uri="{FF2B5EF4-FFF2-40B4-BE49-F238E27FC236}">
              <a16:creationId xmlns:a16="http://schemas.microsoft.com/office/drawing/2014/main" id="{9FD226F4-2BE0-49AD-9AA0-B5A9C099164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30" name="Text Box 1">
          <a:extLst>
            <a:ext uri="{FF2B5EF4-FFF2-40B4-BE49-F238E27FC236}">
              <a16:creationId xmlns:a16="http://schemas.microsoft.com/office/drawing/2014/main" id="{91AF3BE1-0F24-432F-88F6-3A2B9A104E9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31" name="Text Box 1">
          <a:extLst>
            <a:ext uri="{FF2B5EF4-FFF2-40B4-BE49-F238E27FC236}">
              <a16:creationId xmlns:a16="http://schemas.microsoft.com/office/drawing/2014/main" id="{B1918AB1-0E26-4782-BCBE-CBCB0B5ADB4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32" name="Text Box 1">
          <a:extLst>
            <a:ext uri="{FF2B5EF4-FFF2-40B4-BE49-F238E27FC236}">
              <a16:creationId xmlns:a16="http://schemas.microsoft.com/office/drawing/2014/main" id="{64614E6F-A519-4F71-8B9C-7C6B256DB5E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33" name="Text Box 1">
          <a:extLst>
            <a:ext uri="{FF2B5EF4-FFF2-40B4-BE49-F238E27FC236}">
              <a16:creationId xmlns:a16="http://schemas.microsoft.com/office/drawing/2014/main" id="{411D06D4-0490-4535-A96B-9102B4D4AD5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34" name="Text Box 1">
          <a:extLst>
            <a:ext uri="{FF2B5EF4-FFF2-40B4-BE49-F238E27FC236}">
              <a16:creationId xmlns:a16="http://schemas.microsoft.com/office/drawing/2014/main" id="{94B6C803-8697-4B59-A884-4182931603E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35" name="Text Box 1">
          <a:extLst>
            <a:ext uri="{FF2B5EF4-FFF2-40B4-BE49-F238E27FC236}">
              <a16:creationId xmlns:a16="http://schemas.microsoft.com/office/drawing/2014/main" id="{A35892E6-61DA-4FD5-AF38-36B13A4C4B0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36" name="Text Box 1">
          <a:extLst>
            <a:ext uri="{FF2B5EF4-FFF2-40B4-BE49-F238E27FC236}">
              <a16:creationId xmlns:a16="http://schemas.microsoft.com/office/drawing/2014/main" id="{5591D8A5-8128-45A3-9AAF-95B61FEF4BB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37" name="Text Box 1">
          <a:extLst>
            <a:ext uri="{FF2B5EF4-FFF2-40B4-BE49-F238E27FC236}">
              <a16:creationId xmlns:a16="http://schemas.microsoft.com/office/drawing/2014/main" id="{96103B4A-FF60-4EC9-8521-F7F793048AD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38" name="Text Box 1">
          <a:extLst>
            <a:ext uri="{FF2B5EF4-FFF2-40B4-BE49-F238E27FC236}">
              <a16:creationId xmlns:a16="http://schemas.microsoft.com/office/drawing/2014/main" id="{83CFD7D9-3F3A-430C-B61D-CC11E84E158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39" name="Text Box 1">
          <a:extLst>
            <a:ext uri="{FF2B5EF4-FFF2-40B4-BE49-F238E27FC236}">
              <a16:creationId xmlns:a16="http://schemas.microsoft.com/office/drawing/2014/main" id="{20767052-7D30-4A5C-94E5-4352B23A6F8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40" name="Text Box 1">
          <a:extLst>
            <a:ext uri="{FF2B5EF4-FFF2-40B4-BE49-F238E27FC236}">
              <a16:creationId xmlns:a16="http://schemas.microsoft.com/office/drawing/2014/main" id="{3A4A3F1C-5A41-47C6-A956-D5EAA7EBCA8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41" name="Text Box 1">
          <a:extLst>
            <a:ext uri="{FF2B5EF4-FFF2-40B4-BE49-F238E27FC236}">
              <a16:creationId xmlns:a16="http://schemas.microsoft.com/office/drawing/2014/main" id="{9A437C47-4BE8-4E55-A17C-DB57CFE88BB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42" name="Text Box 1">
          <a:extLst>
            <a:ext uri="{FF2B5EF4-FFF2-40B4-BE49-F238E27FC236}">
              <a16:creationId xmlns:a16="http://schemas.microsoft.com/office/drawing/2014/main" id="{3AF48F90-0551-43DF-9CC3-E38CF9BB646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43" name="Text Box 1">
          <a:extLst>
            <a:ext uri="{FF2B5EF4-FFF2-40B4-BE49-F238E27FC236}">
              <a16:creationId xmlns:a16="http://schemas.microsoft.com/office/drawing/2014/main" id="{58D0C37E-F48C-4164-A1C1-78FC7D06E58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44" name="Text Box 1">
          <a:extLst>
            <a:ext uri="{FF2B5EF4-FFF2-40B4-BE49-F238E27FC236}">
              <a16:creationId xmlns:a16="http://schemas.microsoft.com/office/drawing/2014/main" id="{41DF65CF-E8F1-4525-9A09-F9D8216AC8D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45" name="Text Box 1">
          <a:extLst>
            <a:ext uri="{FF2B5EF4-FFF2-40B4-BE49-F238E27FC236}">
              <a16:creationId xmlns:a16="http://schemas.microsoft.com/office/drawing/2014/main" id="{4D4B3D94-6DF9-4213-93B7-53F99C61FAD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46" name="Text Box 1">
          <a:extLst>
            <a:ext uri="{FF2B5EF4-FFF2-40B4-BE49-F238E27FC236}">
              <a16:creationId xmlns:a16="http://schemas.microsoft.com/office/drawing/2014/main" id="{5C904D0C-6B47-4133-A9F1-1EA31A8919F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47" name="Text Box 1">
          <a:extLst>
            <a:ext uri="{FF2B5EF4-FFF2-40B4-BE49-F238E27FC236}">
              <a16:creationId xmlns:a16="http://schemas.microsoft.com/office/drawing/2014/main" id="{1E01D928-4E04-4119-9DF1-B3192F65270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48" name="Text Box 1">
          <a:extLst>
            <a:ext uri="{FF2B5EF4-FFF2-40B4-BE49-F238E27FC236}">
              <a16:creationId xmlns:a16="http://schemas.microsoft.com/office/drawing/2014/main" id="{C8BF2602-C5EA-421E-8FFF-52958ECCBF6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49" name="Text Box 1">
          <a:extLst>
            <a:ext uri="{FF2B5EF4-FFF2-40B4-BE49-F238E27FC236}">
              <a16:creationId xmlns:a16="http://schemas.microsoft.com/office/drawing/2014/main" id="{7A656260-25BC-4D0B-88E7-F73018F31E1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50" name="Text Box 1">
          <a:extLst>
            <a:ext uri="{FF2B5EF4-FFF2-40B4-BE49-F238E27FC236}">
              <a16:creationId xmlns:a16="http://schemas.microsoft.com/office/drawing/2014/main" id="{683D8B6F-FE45-48E0-A04A-B2EF89F952B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51" name="Text Box 1">
          <a:extLst>
            <a:ext uri="{FF2B5EF4-FFF2-40B4-BE49-F238E27FC236}">
              <a16:creationId xmlns:a16="http://schemas.microsoft.com/office/drawing/2014/main" id="{A1ED7767-51B9-438C-B47A-7724979F225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52" name="Text Box 1">
          <a:extLst>
            <a:ext uri="{FF2B5EF4-FFF2-40B4-BE49-F238E27FC236}">
              <a16:creationId xmlns:a16="http://schemas.microsoft.com/office/drawing/2014/main" id="{1FD22794-4778-434F-BAAC-634DEEE684C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53" name="Text Box 1">
          <a:extLst>
            <a:ext uri="{FF2B5EF4-FFF2-40B4-BE49-F238E27FC236}">
              <a16:creationId xmlns:a16="http://schemas.microsoft.com/office/drawing/2014/main" id="{43060548-2B54-492B-9E06-95E61451FE5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54" name="Text Box 1">
          <a:extLst>
            <a:ext uri="{FF2B5EF4-FFF2-40B4-BE49-F238E27FC236}">
              <a16:creationId xmlns:a16="http://schemas.microsoft.com/office/drawing/2014/main" id="{6D74BF57-BD6F-4357-8BBC-4DCA22EE298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55" name="Text Box 1">
          <a:extLst>
            <a:ext uri="{FF2B5EF4-FFF2-40B4-BE49-F238E27FC236}">
              <a16:creationId xmlns:a16="http://schemas.microsoft.com/office/drawing/2014/main" id="{B42793FC-ECB3-4E66-95EC-D798C998DD1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56" name="Text Box 1">
          <a:extLst>
            <a:ext uri="{FF2B5EF4-FFF2-40B4-BE49-F238E27FC236}">
              <a16:creationId xmlns:a16="http://schemas.microsoft.com/office/drawing/2014/main" id="{616E6657-8230-451C-8B92-74DF9D6F55F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57" name="Text Box 1">
          <a:extLst>
            <a:ext uri="{FF2B5EF4-FFF2-40B4-BE49-F238E27FC236}">
              <a16:creationId xmlns:a16="http://schemas.microsoft.com/office/drawing/2014/main" id="{078D63E8-DF18-4940-84E9-8DD01AA8646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58" name="Text Box 1">
          <a:extLst>
            <a:ext uri="{FF2B5EF4-FFF2-40B4-BE49-F238E27FC236}">
              <a16:creationId xmlns:a16="http://schemas.microsoft.com/office/drawing/2014/main" id="{0F2983C3-7C6E-4FBA-89D3-8F51F6E4800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59" name="Text Box 1">
          <a:extLst>
            <a:ext uri="{FF2B5EF4-FFF2-40B4-BE49-F238E27FC236}">
              <a16:creationId xmlns:a16="http://schemas.microsoft.com/office/drawing/2014/main" id="{BAAF24E9-4E59-4190-9526-08E415991F4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60" name="Text Box 1">
          <a:extLst>
            <a:ext uri="{FF2B5EF4-FFF2-40B4-BE49-F238E27FC236}">
              <a16:creationId xmlns:a16="http://schemas.microsoft.com/office/drawing/2014/main" id="{C5B2D8BE-3AB5-4AE7-A892-62B4F027CE9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61" name="Text Box 1">
          <a:extLst>
            <a:ext uri="{FF2B5EF4-FFF2-40B4-BE49-F238E27FC236}">
              <a16:creationId xmlns:a16="http://schemas.microsoft.com/office/drawing/2014/main" id="{D49D27C9-62A1-4AAB-A73F-6A7C431DA65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62" name="Text Box 1">
          <a:extLst>
            <a:ext uri="{FF2B5EF4-FFF2-40B4-BE49-F238E27FC236}">
              <a16:creationId xmlns:a16="http://schemas.microsoft.com/office/drawing/2014/main" id="{5CF42F54-9429-4FE2-AB34-7F20A29E6FC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63" name="Text Box 1">
          <a:extLst>
            <a:ext uri="{FF2B5EF4-FFF2-40B4-BE49-F238E27FC236}">
              <a16:creationId xmlns:a16="http://schemas.microsoft.com/office/drawing/2014/main" id="{B2CC2477-726F-4BAF-80C6-BCAB04D27AA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64" name="Text Box 1">
          <a:extLst>
            <a:ext uri="{FF2B5EF4-FFF2-40B4-BE49-F238E27FC236}">
              <a16:creationId xmlns:a16="http://schemas.microsoft.com/office/drawing/2014/main" id="{039DC62E-FC5E-45B4-B543-C5F27D2CC25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65" name="Text Box 1">
          <a:extLst>
            <a:ext uri="{FF2B5EF4-FFF2-40B4-BE49-F238E27FC236}">
              <a16:creationId xmlns:a16="http://schemas.microsoft.com/office/drawing/2014/main" id="{798E9BEE-2DC1-4AD8-8A0F-D48D89D3A8E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66" name="Text Box 1">
          <a:extLst>
            <a:ext uri="{FF2B5EF4-FFF2-40B4-BE49-F238E27FC236}">
              <a16:creationId xmlns:a16="http://schemas.microsoft.com/office/drawing/2014/main" id="{627B189B-A7BD-4732-8CCD-B07C277CC1F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67" name="Text Box 1">
          <a:extLst>
            <a:ext uri="{FF2B5EF4-FFF2-40B4-BE49-F238E27FC236}">
              <a16:creationId xmlns:a16="http://schemas.microsoft.com/office/drawing/2014/main" id="{CFC26726-CCA1-4F8E-BAC8-6CAA916417B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68" name="Text Box 1">
          <a:extLst>
            <a:ext uri="{FF2B5EF4-FFF2-40B4-BE49-F238E27FC236}">
              <a16:creationId xmlns:a16="http://schemas.microsoft.com/office/drawing/2014/main" id="{F2F15B14-AF71-4F3C-A518-96CA1C5E22C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69" name="Text Box 1">
          <a:extLst>
            <a:ext uri="{FF2B5EF4-FFF2-40B4-BE49-F238E27FC236}">
              <a16:creationId xmlns:a16="http://schemas.microsoft.com/office/drawing/2014/main" id="{15A1E489-517E-4199-8112-22D1C1B23EC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70" name="Text Box 1">
          <a:extLst>
            <a:ext uri="{FF2B5EF4-FFF2-40B4-BE49-F238E27FC236}">
              <a16:creationId xmlns:a16="http://schemas.microsoft.com/office/drawing/2014/main" id="{91C55EC7-705A-4455-9278-2AFCC293AFE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71" name="Text Box 1">
          <a:extLst>
            <a:ext uri="{FF2B5EF4-FFF2-40B4-BE49-F238E27FC236}">
              <a16:creationId xmlns:a16="http://schemas.microsoft.com/office/drawing/2014/main" id="{77B5D41F-8469-4137-97A0-AC261E2F8F8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72" name="Text Box 1">
          <a:extLst>
            <a:ext uri="{FF2B5EF4-FFF2-40B4-BE49-F238E27FC236}">
              <a16:creationId xmlns:a16="http://schemas.microsoft.com/office/drawing/2014/main" id="{B96FB58B-0F05-457A-A336-7E6716A2B72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73" name="Text Box 1">
          <a:extLst>
            <a:ext uri="{FF2B5EF4-FFF2-40B4-BE49-F238E27FC236}">
              <a16:creationId xmlns:a16="http://schemas.microsoft.com/office/drawing/2014/main" id="{125684BE-7235-4C4E-BD8F-52679E9E7F5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74" name="Text Box 1">
          <a:extLst>
            <a:ext uri="{FF2B5EF4-FFF2-40B4-BE49-F238E27FC236}">
              <a16:creationId xmlns:a16="http://schemas.microsoft.com/office/drawing/2014/main" id="{CD2284E7-D37D-45C7-BAB3-D51D0B36FBD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75" name="Text Box 1">
          <a:extLst>
            <a:ext uri="{FF2B5EF4-FFF2-40B4-BE49-F238E27FC236}">
              <a16:creationId xmlns:a16="http://schemas.microsoft.com/office/drawing/2014/main" id="{5637D5BA-2C52-4438-8286-8EEC1C16D2E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76" name="Text Box 1">
          <a:extLst>
            <a:ext uri="{FF2B5EF4-FFF2-40B4-BE49-F238E27FC236}">
              <a16:creationId xmlns:a16="http://schemas.microsoft.com/office/drawing/2014/main" id="{44006AB1-63DA-4A9B-8A8F-A44500E8649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77" name="Text Box 1">
          <a:extLst>
            <a:ext uri="{FF2B5EF4-FFF2-40B4-BE49-F238E27FC236}">
              <a16:creationId xmlns:a16="http://schemas.microsoft.com/office/drawing/2014/main" id="{7426DD6E-BE89-4FB5-ADBD-E38C83BC3A6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78" name="Text Box 1">
          <a:extLst>
            <a:ext uri="{FF2B5EF4-FFF2-40B4-BE49-F238E27FC236}">
              <a16:creationId xmlns:a16="http://schemas.microsoft.com/office/drawing/2014/main" id="{4BEAF894-6595-480F-96D4-1E23AC97B4F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79" name="Text Box 1">
          <a:extLst>
            <a:ext uri="{FF2B5EF4-FFF2-40B4-BE49-F238E27FC236}">
              <a16:creationId xmlns:a16="http://schemas.microsoft.com/office/drawing/2014/main" id="{B50A887D-2CF7-47A2-B8CF-A6B81C99452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80" name="Text Box 1">
          <a:extLst>
            <a:ext uri="{FF2B5EF4-FFF2-40B4-BE49-F238E27FC236}">
              <a16:creationId xmlns:a16="http://schemas.microsoft.com/office/drawing/2014/main" id="{0ECF76C8-0968-400E-B276-3AD1FBBB867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81" name="Text Box 1">
          <a:extLst>
            <a:ext uri="{FF2B5EF4-FFF2-40B4-BE49-F238E27FC236}">
              <a16:creationId xmlns:a16="http://schemas.microsoft.com/office/drawing/2014/main" id="{E58E9048-0291-407F-86F1-5C96898476E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82" name="Text Box 1">
          <a:extLst>
            <a:ext uri="{FF2B5EF4-FFF2-40B4-BE49-F238E27FC236}">
              <a16:creationId xmlns:a16="http://schemas.microsoft.com/office/drawing/2014/main" id="{3071A253-0B93-46FB-B8D7-1C95DB19C5C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83" name="Text Box 1">
          <a:extLst>
            <a:ext uri="{FF2B5EF4-FFF2-40B4-BE49-F238E27FC236}">
              <a16:creationId xmlns:a16="http://schemas.microsoft.com/office/drawing/2014/main" id="{2BA215C7-793F-47F4-B93C-CFFCAD58FDB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84" name="Text Box 1">
          <a:extLst>
            <a:ext uri="{FF2B5EF4-FFF2-40B4-BE49-F238E27FC236}">
              <a16:creationId xmlns:a16="http://schemas.microsoft.com/office/drawing/2014/main" id="{1CE6640F-4925-4128-9E8C-F34AC054D41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85" name="Text Box 1">
          <a:extLst>
            <a:ext uri="{FF2B5EF4-FFF2-40B4-BE49-F238E27FC236}">
              <a16:creationId xmlns:a16="http://schemas.microsoft.com/office/drawing/2014/main" id="{3EF5C44B-78F6-4524-B3CA-CBCC055EF1E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86" name="Text Box 1">
          <a:extLst>
            <a:ext uri="{FF2B5EF4-FFF2-40B4-BE49-F238E27FC236}">
              <a16:creationId xmlns:a16="http://schemas.microsoft.com/office/drawing/2014/main" id="{5EBD47CC-B3C5-467D-BB82-9509C6F7A1F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87" name="Text Box 1">
          <a:extLst>
            <a:ext uri="{FF2B5EF4-FFF2-40B4-BE49-F238E27FC236}">
              <a16:creationId xmlns:a16="http://schemas.microsoft.com/office/drawing/2014/main" id="{A1A105AA-B968-447F-84F5-9F4EE4B76A4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88" name="Text Box 1">
          <a:extLst>
            <a:ext uri="{FF2B5EF4-FFF2-40B4-BE49-F238E27FC236}">
              <a16:creationId xmlns:a16="http://schemas.microsoft.com/office/drawing/2014/main" id="{241FE131-D8C8-4CB4-B198-0DF7750F14C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89" name="Text Box 1">
          <a:extLst>
            <a:ext uri="{FF2B5EF4-FFF2-40B4-BE49-F238E27FC236}">
              <a16:creationId xmlns:a16="http://schemas.microsoft.com/office/drawing/2014/main" id="{CDDC4B5B-4130-4204-A4CB-BAC8296CA73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90" name="Text Box 1">
          <a:extLst>
            <a:ext uri="{FF2B5EF4-FFF2-40B4-BE49-F238E27FC236}">
              <a16:creationId xmlns:a16="http://schemas.microsoft.com/office/drawing/2014/main" id="{00AD2D0C-FA1F-4BAE-91E9-2EBB7879BE2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191" name="Text Box 1">
          <a:extLst>
            <a:ext uri="{FF2B5EF4-FFF2-40B4-BE49-F238E27FC236}">
              <a16:creationId xmlns:a16="http://schemas.microsoft.com/office/drawing/2014/main" id="{C2089580-70D6-49E3-B4C2-F6D22589046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565150</xdr:colOff>
      <xdr:row>48</xdr:row>
      <xdr:rowOff>0</xdr:rowOff>
    </xdr:from>
    <xdr:ext cx="247650" cy="85725"/>
    <xdr:sp macro="" textlink="">
      <xdr:nvSpPr>
        <xdr:cNvPr id="15192" name="Text Box 1">
          <a:extLst>
            <a:ext uri="{FF2B5EF4-FFF2-40B4-BE49-F238E27FC236}">
              <a16:creationId xmlns:a16="http://schemas.microsoft.com/office/drawing/2014/main" id="{38AAE58D-8A85-4306-ABE9-BFFCF2E35F15}"/>
            </a:ext>
          </a:extLst>
        </xdr:cNvPr>
        <xdr:cNvSpPr txBox="1">
          <a:spLocks noChangeArrowheads="1"/>
        </xdr:cNvSpPr>
      </xdr:nvSpPr>
      <xdr:spPr bwMode="auto">
        <a:xfrm>
          <a:off x="155575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21</xdr:col>
      <xdr:colOff>565150</xdr:colOff>
      <xdr:row>48</xdr:row>
      <xdr:rowOff>0</xdr:rowOff>
    </xdr:from>
    <xdr:ext cx="247650" cy="85725"/>
    <xdr:sp macro="" textlink="">
      <xdr:nvSpPr>
        <xdr:cNvPr id="15193" name="Text Box 1">
          <a:extLst>
            <a:ext uri="{FF2B5EF4-FFF2-40B4-BE49-F238E27FC236}">
              <a16:creationId xmlns:a16="http://schemas.microsoft.com/office/drawing/2014/main" id="{7D86C229-BD15-4C2E-880B-4D5ACBBC9DE5}"/>
            </a:ext>
          </a:extLst>
        </xdr:cNvPr>
        <xdr:cNvSpPr txBox="1">
          <a:spLocks noChangeArrowheads="1"/>
        </xdr:cNvSpPr>
      </xdr:nvSpPr>
      <xdr:spPr bwMode="auto">
        <a:xfrm>
          <a:off x="159067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565150</xdr:colOff>
      <xdr:row>48</xdr:row>
      <xdr:rowOff>0</xdr:rowOff>
    </xdr:from>
    <xdr:ext cx="247650" cy="85725"/>
    <xdr:sp macro="" textlink="">
      <xdr:nvSpPr>
        <xdr:cNvPr id="15194" name="Text Box 1">
          <a:extLst>
            <a:ext uri="{FF2B5EF4-FFF2-40B4-BE49-F238E27FC236}">
              <a16:creationId xmlns:a16="http://schemas.microsoft.com/office/drawing/2014/main" id="{25D80A7C-3384-49E3-AFF9-5FFEF6F33F99}"/>
            </a:ext>
          </a:extLst>
        </xdr:cNvPr>
        <xdr:cNvSpPr txBox="1">
          <a:spLocks noChangeArrowheads="1"/>
        </xdr:cNvSpPr>
      </xdr:nvSpPr>
      <xdr:spPr bwMode="auto">
        <a:xfrm>
          <a:off x="170497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24</xdr:col>
      <xdr:colOff>565150</xdr:colOff>
      <xdr:row>48</xdr:row>
      <xdr:rowOff>0</xdr:rowOff>
    </xdr:from>
    <xdr:ext cx="247650" cy="85725"/>
    <xdr:sp macro="" textlink="">
      <xdr:nvSpPr>
        <xdr:cNvPr id="15195" name="Text Box 1">
          <a:extLst>
            <a:ext uri="{FF2B5EF4-FFF2-40B4-BE49-F238E27FC236}">
              <a16:creationId xmlns:a16="http://schemas.microsoft.com/office/drawing/2014/main" id="{E8DAFCE2-1DAD-4EED-977B-68B3DF14178A}"/>
            </a:ext>
          </a:extLst>
        </xdr:cNvPr>
        <xdr:cNvSpPr txBox="1">
          <a:spLocks noChangeArrowheads="1"/>
        </xdr:cNvSpPr>
      </xdr:nvSpPr>
      <xdr:spPr bwMode="auto">
        <a:xfrm>
          <a:off x="176149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25</xdr:col>
      <xdr:colOff>565150</xdr:colOff>
      <xdr:row>48</xdr:row>
      <xdr:rowOff>0</xdr:rowOff>
    </xdr:from>
    <xdr:ext cx="247650" cy="85725"/>
    <xdr:sp macro="" textlink="">
      <xdr:nvSpPr>
        <xdr:cNvPr id="15196" name="Text Box 1">
          <a:extLst>
            <a:ext uri="{FF2B5EF4-FFF2-40B4-BE49-F238E27FC236}">
              <a16:creationId xmlns:a16="http://schemas.microsoft.com/office/drawing/2014/main" id="{43ED18EF-E460-45E5-9189-14C1CCF92EB9}"/>
            </a:ext>
          </a:extLst>
        </xdr:cNvPr>
        <xdr:cNvSpPr txBox="1">
          <a:spLocks noChangeArrowheads="1"/>
        </xdr:cNvSpPr>
      </xdr:nvSpPr>
      <xdr:spPr bwMode="auto">
        <a:xfrm>
          <a:off x="182435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26</xdr:col>
      <xdr:colOff>565150</xdr:colOff>
      <xdr:row>48</xdr:row>
      <xdr:rowOff>0</xdr:rowOff>
    </xdr:from>
    <xdr:ext cx="247650" cy="85725"/>
    <xdr:sp macro="" textlink="">
      <xdr:nvSpPr>
        <xdr:cNvPr id="15197" name="Text Box 1">
          <a:extLst>
            <a:ext uri="{FF2B5EF4-FFF2-40B4-BE49-F238E27FC236}">
              <a16:creationId xmlns:a16="http://schemas.microsoft.com/office/drawing/2014/main" id="{F9C2A64F-0CA3-43A9-A78E-1ED07384FD2E}"/>
            </a:ext>
          </a:extLst>
        </xdr:cNvPr>
        <xdr:cNvSpPr txBox="1">
          <a:spLocks noChangeArrowheads="1"/>
        </xdr:cNvSpPr>
      </xdr:nvSpPr>
      <xdr:spPr bwMode="auto">
        <a:xfrm>
          <a:off x="18764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565150</xdr:colOff>
      <xdr:row>48</xdr:row>
      <xdr:rowOff>0</xdr:rowOff>
    </xdr:from>
    <xdr:ext cx="247650" cy="85725"/>
    <xdr:sp macro="" textlink="">
      <xdr:nvSpPr>
        <xdr:cNvPr id="15198" name="Text Box 1">
          <a:extLst>
            <a:ext uri="{FF2B5EF4-FFF2-40B4-BE49-F238E27FC236}">
              <a16:creationId xmlns:a16="http://schemas.microsoft.com/office/drawing/2014/main" id="{C20AFDAD-0D6D-49FB-BBD9-D721DD14950A}"/>
            </a:ext>
          </a:extLst>
        </xdr:cNvPr>
        <xdr:cNvSpPr txBox="1">
          <a:spLocks noChangeArrowheads="1"/>
        </xdr:cNvSpPr>
      </xdr:nvSpPr>
      <xdr:spPr bwMode="auto">
        <a:xfrm>
          <a:off x="193040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565150</xdr:colOff>
      <xdr:row>48</xdr:row>
      <xdr:rowOff>0</xdr:rowOff>
    </xdr:from>
    <xdr:ext cx="247650" cy="85725"/>
    <xdr:sp macro="" textlink="">
      <xdr:nvSpPr>
        <xdr:cNvPr id="15199" name="Text Box 1">
          <a:extLst>
            <a:ext uri="{FF2B5EF4-FFF2-40B4-BE49-F238E27FC236}">
              <a16:creationId xmlns:a16="http://schemas.microsoft.com/office/drawing/2014/main" id="{E4A14E9B-3651-4A5D-A64E-8911CA1F304F}"/>
            </a:ext>
          </a:extLst>
        </xdr:cNvPr>
        <xdr:cNvSpPr txBox="1">
          <a:spLocks noChangeArrowheads="1"/>
        </xdr:cNvSpPr>
      </xdr:nvSpPr>
      <xdr:spPr bwMode="auto">
        <a:xfrm>
          <a:off x="204089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565150</xdr:colOff>
      <xdr:row>48</xdr:row>
      <xdr:rowOff>0</xdr:rowOff>
    </xdr:from>
    <xdr:ext cx="247650" cy="85725"/>
    <xdr:sp macro="" textlink="">
      <xdr:nvSpPr>
        <xdr:cNvPr id="15200" name="Text Box 1">
          <a:extLst>
            <a:ext uri="{FF2B5EF4-FFF2-40B4-BE49-F238E27FC236}">
              <a16:creationId xmlns:a16="http://schemas.microsoft.com/office/drawing/2014/main" id="{96F450B2-A943-427E-8FB2-5AA002D1B89A}"/>
            </a:ext>
          </a:extLst>
        </xdr:cNvPr>
        <xdr:cNvSpPr txBox="1">
          <a:spLocks noChangeArrowheads="1"/>
        </xdr:cNvSpPr>
      </xdr:nvSpPr>
      <xdr:spPr bwMode="auto">
        <a:xfrm>
          <a:off x="210629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31</xdr:col>
      <xdr:colOff>565150</xdr:colOff>
      <xdr:row>48</xdr:row>
      <xdr:rowOff>0</xdr:rowOff>
    </xdr:from>
    <xdr:ext cx="247650" cy="85725"/>
    <xdr:sp macro="" textlink="">
      <xdr:nvSpPr>
        <xdr:cNvPr id="15201" name="Text Box 1">
          <a:extLst>
            <a:ext uri="{FF2B5EF4-FFF2-40B4-BE49-F238E27FC236}">
              <a16:creationId xmlns:a16="http://schemas.microsoft.com/office/drawing/2014/main" id="{A0B0966A-65B0-4CC4-B5AE-4DFAE2444CA7}"/>
            </a:ext>
          </a:extLst>
        </xdr:cNvPr>
        <xdr:cNvSpPr txBox="1">
          <a:spLocks noChangeArrowheads="1"/>
        </xdr:cNvSpPr>
      </xdr:nvSpPr>
      <xdr:spPr bwMode="auto">
        <a:xfrm>
          <a:off x="216789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32</xdr:col>
      <xdr:colOff>565150</xdr:colOff>
      <xdr:row>48</xdr:row>
      <xdr:rowOff>0</xdr:rowOff>
    </xdr:from>
    <xdr:ext cx="247650" cy="85725"/>
    <xdr:sp macro="" textlink="">
      <xdr:nvSpPr>
        <xdr:cNvPr id="15202" name="Text Box 1">
          <a:extLst>
            <a:ext uri="{FF2B5EF4-FFF2-40B4-BE49-F238E27FC236}">
              <a16:creationId xmlns:a16="http://schemas.microsoft.com/office/drawing/2014/main" id="{D5E5420C-F0C0-4DD7-8132-357651BA6A50}"/>
            </a:ext>
          </a:extLst>
        </xdr:cNvPr>
        <xdr:cNvSpPr txBox="1">
          <a:spLocks noChangeArrowheads="1"/>
        </xdr:cNvSpPr>
      </xdr:nvSpPr>
      <xdr:spPr bwMode="auto">
        <a:xfrm>
          <a:off x="223329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33</xdr:col>
      <xdr:colOff>565150</xdr:colOff>
      <xdr:row>48</xdr:row>
      <xdr:rowOff>0</xdr:rowOff>
    </xdr:from>
    <xdr:ext cx="247650" cy="85725"/>
    <xdr:sp macro="" textlink="">
      <xdr:nvSpPr>
        <xdr:cNvPr id="15203" name="Text Box 1">
          <a:extLst>
            <a:ext uri="{FF2B5EF4-FFF2-40B4-BE49-F238E27FC236}">
              <a16:creationId xmlns:a16="http://schemas.microsoft.com/office/drawing/2014/main" id="{0276E75C-796B-4A1E-9514-46CBC2CB4CD4}"/>
            </a:ext>
          </a:extLst>
        </xdr:cNvPr>
        <xdr:cNvSpPr txBox="1">
          <a:spLocks noChangeArrowheads="1"/>
        </xdr:cNvSpPr>
      </xdr:nvSpPr>
      <xdr:spPr bwMode="auto">
        <a:xfrm>
          <a:off x="229489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565150</xdr:colOff>
      <xdr:row>48</xdr:row>
      <xdr:rowOff>0</xdr:rowOff>
    </xdr:from>
    <xdr:ext cx="247650" cy="85725"/>
    <xdr:sp macro="" textlink="">
      <xdr:nvSpPr>
        <xdr:cNvPr id="15204" name="Text Box 1">
          <a:extLst>
            <a:ext uri="{FF2B5EF4-FFF2-40B4-BE49-F238E27FC236}">
              <a16:creationId xmlns:a16="http://schemas.microsoft.com/office/drawing/2014/main" id="{5E3D2AC5-2BB6-440B-B8D6-E4CF9F04F571}"/>
            </a:ext>
          </a:extLst>
        </xdr:cNvPr>
        <xdr:cNvSpPr txBox="1">
          <a:spLocks noChangeArrowheads="1"/>
        </xdr:cNvSpPr>
      </xdr:nvSpPr>
      <xdr:spPr bwMode="auto">
        <a:xfrm>
          <a:off x="235648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35</xdr:col>
      <xdr:colOff>565150</xdr:colOff>
      <xdr:row>48</xdr:row>
      <xdr:rowOff>0</xdr:rowOff>
    </xdr:from>
    <xdr:ext cx="247650" cy="85725"/>
    <xdr:sp macro="" textlink="">
      <xdr:nvSpPr>
        <xdr:cNvPr id="15205" name="Text Box 1">
          <a:extLst>
            <a:ext uri="{FF2B5EF4-FFF2-40B4-BE49-F238E27FC236}">
              <a16:creationId xmlns:a16="http://schemas.microsoft.com/office/drawing/2014/main" id="{B792ADD2-7F0F-43CF-BF71-FF0F6BE5EA34}"/>
            </a:ext>
          </a:extLst>
        </xdr:cNvPr>
        <xdr:cNvSpPr txBox="1">
          <a:spLocks noChangeArrowheads="1"/>
        </xdr:cNvSpPr>
      </xdr:nvSpPr>
      <xdr:spPr bwMode="auto">
        <a:xfrm>
          <a:off x="245935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36</xdr:col>
      <xdr:colOff>565150</xdr:colOff>
      <xdr:row>48</xdr:row>
      <xdr:rowOff>0</xdr:rowOff>
    </xdr:from>
    <xdr:ext cx="247650" cy="85725"/>
    <xdr:sp macro="" textlink="">
      <xdr:nvSpPr>
        <xdr:cNvPr id="15206" name="Text Box 1">
          <a:extLst>
            <a:ext uri="{FF2B5EF4-FFF2-40B4-BE49-F238E27FC236}">
              <a16:creationId xmlns:a16="http://schemas.microsoft.com/office/drawing/2014/main" id="{79681B37-AC7D-421E-B841-41A1E30504D2}"/>
            </a:ext>
          </a:extLst>
        </xdr:cNvPr>
        <xdr:cNvSpPr txBox="1">
          <a:spLocks noChangeArrowheads="1"/>
        </xdr:cNvSpPr>
      </xdr:nvSpPr>
      <xdr:spPr bwMode="auto">
        <a:xfrm>
          <a:off x="252095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565150</xdr:colOff>
      <xdr:row>48</xdr:row>
      <xdr:rowOff>0</xdr:rowOff>
    </xdr:from>
    <xdr:ext cx="247650" cy="85725"/>
    <xdr:sp macro="" textlink="">
      <xdr:nvSpPr>
        <xdr:cNvPr id="15207" name="Text Box 1">
          <a:extLst>
            <a:ext uri="{FF2B5EF4-FFF2-40B4-BE49-F238E27FC236}">
              <a16:creationId xmlns:a16="http://schemas.microsoft.com/office/drawing/2014/main" id="{BB57B924-F080-418B-882C-5B723DD4E9AD}"/>
            </a:ext>
          </a:extLst>
        </xdr:cNvPr>
        <xdr:cNvSpPr txBox="1">
          <a:spLocks noChangeArrowheads="1"/>
        </xdr:cNvSpPr>
      </xdr:nvSpPr>
      <xdr:spPr bwMode="auto">
        <a:xfrm>
          <a:off x="264414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565150</xdr:colOff>
      <xdr:row>48</xdr:row>
      <xdr:rowOff>0</xdr:rowOff>
    </xdr:from>
    <xdr:ext cx="247650" cy="85725"/>
    <xdr:sp macro="" textlink="">
      <xdr:nvSpPr>
        <xdr:cNvPr id="15208" name="Text Box 1">
          <a:extLst>
            <a:ext uri="{FF2B5EF4-FFF2-40B4-BE49-F238E27FC236}">
              <a16:creationId xmlns:a16="http://schemas.microsoft.com/office/drawing/2014/main" id="{9DF16A13-A830-4EAD-ACA6-023EE4D20713}"/>
            </a:ext>
          </a:extLst>
        </xdr:cNvPr>
        <xdr:cNvSpPr txBox="1">
          <a:spLocks noChangeArrowheads="1"/>
        </xdr:cNvSpPr>
      </xdr:nvSpPr>
      <xdr:spPr bwMode="auto">
        <a:xfrm>
          <a:off x="270954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09" name="Text Box 1">
          <a:extLst>
            <a:ext uri="{FF2B5EF4-FFF2-40B4-BE49-F238E27FC236}">
              <a16:creationId xmlns:a16="http://schemas.microsoft.com/office/drawing/2014/main" id="{BC670B17-7CC7-4263-A12D-BEEF18D1C39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10" name="Text Box 1">
          <a:extLst>
            <a:ext uri="{FF2B5EF4-FFF2-40B4-BE49-F238E27FC236}">
              <a16:creationId xmlns:a16="http://schemas.microsoft.com/office/drawing/2014/main" id="{15935071-835D-4C23-B6C6-0250B29F41C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11" name="Text Box 1">
          <a:extLst>
            <a:ext uri="{FF2B5EF4-FFF2-40B4-BE49-F238E27FC236}">
              <a16:creationId xmlns:a16="http://schemas.microsoft.com/office/drawing/2014/main" id="{E4883C5E-6484-47D4-9301-CD55354A4C9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12" name="Text Box 1">
          <a:extLst>
            <a:ext uri="{FF2B5EF4-FFF2-40B4-BE49-F238E27FC236}">
              <a16:creationId xmlns:a16="http://schemas.microsoft.com/office/drawing/2014/main" id="{806E84F9-5577-4BDD-82BA-42D278B2C0F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13" name="Text Box 1">
          <a:extLst>
            <a:ext uri="{FF2B5EF4-FFF2-40B4-BE49-F238E27FC236}">
              <a16:creationId xmlns:a16="http://schemas.microsoft.com/office/drawing/2014/main" id="{BABD3629-F611-4ECA-9351-386A53E2C12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14" name="Text Box 1">
          <a:extLst>
            <a:ext uri="{FF2B5EF4-FFF2-40B4-BE49-F238E27FC236}">
              <a16:creationId xmlns:a16="http://schemas.microsoft.com/office/drawing/2014/main" id="{D9565AEF-AC7B-465E-9907-F2075B33941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15" name="Text Box 1">
          <a:extLst>
            <a:ext uri="{FF2B5EF4-FFF2-40B4-BE49-F238E27FC236}">
              <a16:creationId xmlns:a16="http://schemas.microsoft.com/office/drawing/2014/main" id="{8FAB71DC-5495-4461-B3E3-0782DF9F61A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16" name="Text Box 1">
          <a:extLst>
            <a:ext uri="{FF2B5EF4-FFF2-40B4-BE49-F238E27FC236}">
              <a16:creationId xmlns:a16="http://schemas.microsoft.com/office/drawing/2014/main" id="{625F532C-8C73-4E06-AEA4-EF9CD69C55B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17" name="Text Box 1">
          <a:extLst>
            <a:ext uri="{FF2B5EF4-FFF2-40B4-BE49-F238E27FC236}">
              <a16:creationId xmlns:a16="http://schemas.microsoft.com/office/drawing/2014/main" id="{98105D80-BD19-4EE8-8939-02620500938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18" name="Text Box 1">
          <a:extLst>
            <a:ext uri="{FF2B5EF4-FFF2-40B4-BE49-F238E27FC236}">
              <a16:creationId xmlns:a16="http://schemas.microsoft.com/office/drawing/2014/main" id="{B3031B71-18E0-45A9-9D2B-BCB79370212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19" name="Text Box 1">
          <a:extLst>
            <a:ext uri="{FF2B5EF4-FFF2-40B4-BE49-F238E27FC236}">
              <a16:creationId xmlns:a16="http://schemas.microsoft.com/office/drawing/2014/main" id="{E856D330-E89B-4825-BE70-7DA6507A759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20" name="Text Box 1">
          <a:extLst>
            <a:ext uri="{FF2B5EF4-FFF2-40B4-BE49-F238E27FC236}">
              <a16:creationId xmlns:a16="http://schemas.microsoft.com/office/drawing/2014/main" id="{FDABCA42-9200-452A-A358-11CE34C5D30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21" name="Text Box 1">
          <a:extLst>
            <a:ext uri="{FF2B5EF4-FFF2-40B4-BE49-F238E27FC236}">
              <a16:creationId xmlns:a16="http://schemas.microsoft.com/office/drawing/2014/main" id="{23885E48-069F-453E-B20D-A83C43543BE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22" name="Text Box 1">
          <a:extLst>
            <a:ext uri="{FF2B5EF4-FFF2-40B4-BE49-F238E27FC236}">
              <a16:creationId xmlns:a16="http://schemas.microsoft.com/office/drawing/2014/main" id="{853436BF-DEC5-45B6-B1D8-00CD46AFEA8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23" name="Text Box 1">
          <a:extLst>
            <a:ext uri="{FF2B5EF4-FFF2-40B4-BE49-F238E27FC236}">
              <a16:creationId xmlns:a16="http://schemas.microsoft.com/office/drawing/2014/main" id="{333B6F46-B25C-47D5-8F40-47BA0F3F0F6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24" name="Text Box 1">
          <a:extLst>
            <a:ext uri="{FF2B5EF4-FFF2-40B4-BE49-F238E27FC236}">
              <a16:creationId xmlns:a16="http://schemas.microsoft.com/office/drawing/2014/main" id="{DD6F6C10-77DE-472E-87B6-F94DEECA0E0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25" name="Text Box 1">
          <a:extLst>
            <a:ext uri="{FF2B5EF4-FFF2-40B4-BE49-F238E27FC236}">
              <a16:creationId xmlns:a16="http://schemas.microsoft.com/office/drawing/2014/main" id="{80065AD4-1F68-455C-A1B3-9B96C669EE7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26" name="Text Box 1">
          <a:extLst>
            <a:ext uri="{FF2B5EF4-FFF2-40B4-BE49-F238E27FC236}">
              <a16:creationId xmlns:a16="http://schemas.microsoft.com/office/drawing/2014/main" id="{0675CCEE-4942-4F59-A713-7E218367EF0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27" name="Text Box 1">
          <a:extLst>
            <a:ext uri="{FF2B5EF4-FFF2-40B4-BE49-F238E27FC236}">
              <a16:creationId xmlns:a16="http://schemas.microsoft.com/office/drawing/2014/main" id="{64EE30D7-A7BE-47B8-A42B-E0F3049464D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28" name="Text Box 1">
          <a:extLst>
            <a:ext uri="{FF2B5EF4-FFF2-40B4-BE49-F238E27FC236}">
              <a16:creationId xmlns:a16="http://schemas.microsoft.com/office/drawing/2014/main" id="{233B102F-695A-4007-ABE3-A99AEB1682C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29" name="Text Box 1">
          <a:extLst>
            <a:ext uri="{FF2B5EF4-FFF2-40B4-BE49-F238E27FC236}">
              <a16:creationId xmlns:a16="http://schemas.microsoft.com/office/drawing/2014/main" id="{E260902C-7AF6-4E9C-AAB1-E50FF1844C3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30" name="Text Box 1">
          <a:extLst>
            <a:ext uri="{FF2B5EF4-FFF2-40B4-BE49-F238E27FC236}">
              <a16:creationId xmlns:a16="http://schemas.microsoft.com/office/drawing/2014/main" id="{25B95973-176A-4D47-B9D0-C8CB3578E02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31" name="Text Box 1">
          <a:extLst>
            <a:ext uri="{FF2B5EF4-FFF2-40B4-BE49-F238E27FC236}">
              <a16:creationId xmlns:a16="http://schemas.microsoft.com/office/drawing/2014/main" id="{C61494B1-691E-49B3-AE28-7D46B60092A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32" name="Text Box 1">
          <a:extLst>
            <a:ext uri="{FF2B5EF4-FFF2-40B4-BE49-F238E27FC236}">
              <a16:creationId xmlns:a16="http://schemas.microsoft.com/office/drawing/2014/main" id="{46599BAD-1F7A-4BD8-9508-F32CC046E7A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33" name="Text Box 1">
          <a:extLst>
            <a:ext uri="{FF2B5EF4-FFF2-40B4-BE49-F238E27FC236}">
              <a16:creationId xmlns:a16="http://schemas.microsoft.com/office/drawing/2014/main" id="{91A3A2B2-4526-40DE-8EB3-70C67D724AC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34" name="Text Box 1">
          <a:extLst>
            <a:ext uri="{FF2B5EF4-FFF2-40B4-BE49-F238E27FC236}">
              <a16:creationId xmlns:a16="http://schemas.microsoft.com/office/drawing/2014/main" id="{65B6194C-A4A2-4917-935E-08EDCF52391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35" name="Text Box 1">
          <a:extLst>
            <a:ext uri="{FF2B5EF4-FFF2-40B4-BE49-F238E27FC236}">
              <a16:creationId xmlns:a16="http://schemas.microsoft.com/office/drawing/2014/main" id="{912200DE-D3D0-4EFC-9BAF-0A5C4C7FCC8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36" name="Text Box 1">
          <a:extLst>
            <a:ext uri="{FF2B5EF4-FFF2-40B4-BE49-F238E27FC236}">
              <a16:creationId xmlns:a16="http://schemas.microsoft.com/office/drawing/2014/main" id="{404FD3E6-D5E2-484E-9D57-3BB148A9FCB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37" name="Text Box 1">
          <a:extLst>
            <a:ext uri="{FF2B5EF4-FFF2-40B4-BE49-F238E27FC236}">
              <a16:creationId xmlns:a16="http://schemas.microsoft.com/office/drawing/2014/main" id="{A0D1FBF2-31B7-4BBD-8AC1-F46C6D755D6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38" name="Text Box 1">
          <a:extLst>
            <a:ext uri="{FF2B5EF4-FFF2-40B4-BE49-F238E27FC236}">
              <a16:creationId xmlns:a16="http://schemas.microsoft.com/office/drawing/2014/main" id="{2E3742AB-F874-4542-AFE2-E6A156F1C45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39" name="Text Box 1">
          <a:extLst>
            <a:ext uri="{FF2B5EF4-FFF2-40B4-BE49-F238E27FC236}">
              <a16:creationId xmlns:a16="http://schemas.microsoft.com/office/drawing/2014/main" id="{CE770A24-A97F-47D1-826F-E9924D558A1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40" name="Text Box 1">
          <a:extLst>
            <a:ext uri="{FF2B5EF4-FFF2-40B4-BE49-F238E27FC236}">
              <a16:creationId xmlns:a16="http://schemas.microsoft.com/office/drawing/2014/main" id="{1C87DDD5-B592-443C-B0DA-F0A1771DA62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41" name="Text Box 1">
          <a:extLst>
            <a:ext uri="{FF2B5EF4-FFF2-40B4-BE49-F238E27FC236}">
              <a16:creationId xmlns:a16="http://schemas.microsoft.com/office/drawing/2014/main" id="{053915CA-7BC8-4F23-87D6-1B98BDB7217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42" name="Text Box 1">
          <a:extLst>
            <a:ext uri="{FF2B5EF4-FFF2-40B4-BE49-F238E27FC236}">
              <a16:creationId xmlns:a16="http://schemas.microsoft.com/office/drawing/2014/main" id="{9FB2CE5D-1077-4614-8F1C-E40CB373BDE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43" name="Text Box 1">
          <a:extLst>
            <a:ext uri="{FF2B5EF4-FFF2-40B4-BE49-F238E27FC236}">
              <a16:creationId xmlns:a16="http://schemas.microsoft.com/office/drawing/2014/main" id="{AA0094BA-9632-44CD-8CF0-51DAC644E2A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44" name="Text Box 1">
          <a:extLst>
            <a:ext uri="{FF2B5EF4-FFF2-40B4-BE49-F238E27FC236}">
              <a16:creationId xmlns:a16="http://schemas.microsoft.com/office/drawing/2014/main" id="{554654BC-9F2A-4822-8C9B-83EF7C5E442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45" name="Text Box 1">
          <a:extLst>
            <a:ext uri="{FF2B5EF4-FFF2-40B4-BE49-F238E27FC236}">
              <a16:creationId xmlns:a16="http://schemas.microsoft.com/office/drawing/2014/main" id="{B748424E-8FB8-4564-A54B-7B7F53FFB82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46" name="Text Box 1">
          <a:extLst>
            <a:ext uri="{FF2B5EF4-FFF2-40B4-BE49-F238E27FC236}">
              <a16:creationId xmlns:a16="http://schemas.microsoft.com/office/drawing/2014/main" id="{34DABAE3-0A78-4FEC-ACF1-3388D72BD1E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47" name="Text Box 1">
          <a:extLst>
            <a:ext uri="{FF2B5EF4-FFF2-40B4-BE49-F238E27FC236}">
              <a16:creationId xmlns:a16="http://schemas.microsoft.com/office/drawing/2014/main" id="{53540D77-C964-4B7C-90EF-67B5A9CAC5D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48" name="Text Box 1">
          <a:extLst>
            <a:ext uri="{FF2B5EF4-FFF2-40B4-BE49-F238E27FC236}">
              <a16:creationId xmlns:a16="http://schemas.microsoft.com/office/drawing/2014/main" id="{588E832F-9137-4622-8C5F-58DAC03CDF5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49" name="Text Box 1">
          <a:extLst>
            <a:ext uri="{FF2B5EF4-FFF2-40B4-BE49-F238E27FC236}">
              <a16:creationId xmlns:a16="http://schemas.microsoft.com/office/drawing/2014/main" id="{3E83DED7-75D8-4754-8D79-13369F72061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50" name="Text Box 1">
          <a:extLst>
            <a:ext uri="{FF2B5EF4-FFF2-40B4-BE49-F238E27FC236}">
              <a16:creationId xmlns:a16="http://schemas.microsoft.com/office/drawing/2014/main" id="{5D3847D7-48C7-44CC-8823-49EBAFCD542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51" name="Text Box 1">
          <a:extLst>
            <a:ext uri="{FF2B5EF4-FFF2-40B4-BE49-F238E27FC236}">
              <a16:creationId xmlns:a16="http://schemas.microsoft.com/office/drawing/2014/main" id="{84F2C0A9-FA81-459B-BA44-7405F2FDB97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52" name="Text Box 1">
          <a:extLst>
            <a:ext uri="{FF2B5EF4-FFF2-40B4-BE49-F238E27FC236}">
              <a16:creationId xmlns:a16="http://schemas.microsoft.com/office/drawing/2014/main" id="{152778F8-0E00-4E67-A0C3-260B0524164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53" name="Text Box 1">
          <a:extLst>
            <a:ext uri="{FF2B5EF4-FFF2-40B4-BE49-F238E27FC236}">
              <a16:creationId xmlns:a16="http://schemas.microsoft.com/office/drawing/2014/main" id="{52C3B03D-D066-4256-A0F6-831F1AE4A33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54" name="Text Box 1">
          <a:extLst>
            <a:ext uri="{FF2B5EF4-FFF2-40B4-BE49-F238E27FC236}">
              <a16:creationId xmlns:a16="http://schemas.microsoft.com/office/drawing/2014/main" id="{C46221A1-33FE-4AFA-B6A9-27923FD8267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55" name="Text Box 1">
          <a:extLst>
            <a:ext uri="{FF2B5EF4-FFF2-40B4-BE49-F238E27FC236}">
              <a16:creationId xmlns:a16="http://schemas.microsoft.com/office/drawing/2014/main" id="{27F0A2AC-E210-49A9-A8E3-A6394ED6178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56" name="Text Box 1">
          <a:extLst>
            <a:ext uri="{FF2B5EF4-FFF2-40B4-BE49-F238E27FC236}">
              <a16:creationId xmlns:a16="http://schemas.microsoft.com/office/drawing/2014/main" id="{8DB4050A-1149-4BFC-AFFC-9408C3479CB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57" name="Text Box 1">
          <a:extLst>
            <a:ext uri="{FF2B5EF4-FFF2-40B4-BE49-F238E27FC236}">
              <a16:creationId xmlns:a16="http://schemas.microsoft.com/office/drawing/2014/main" id="{60DAF3A9-E8B2-4EA6-BBF7-DDE8B68B4D6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58" name="Text Box 1">
          <a:extLst>
            <a:ext uri="{FF2B5EF4-FFF2-40B4-BE49-F238E27FC236}">
              <a16:creationId xmlns:a16="http://schemas.microsoft.com/office/drawing/2014/main" id="{1EDA57CC-616D-40E9-963F-01C1572B056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59" name="Text Box 1">
          <a:extLst>
            <a:ext uri="{FF2B5EF4-FFF2-40B4-BE49-F238E27FC236}">
              <a16:creationId xmlns:a16="http://schemas.microsoft.com/office/drawing/2014/main" id="{8BAF2034-BB97-4CD0-BCA0-7DB6D97384A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60" name="Text Box 1">
          <a:extLst>
            <a:ext uri="{FF2B5EF4-FFF2-40B4-BE49-F238E27FC236}">
              <a16:creationId xmlns:a16="http://schemas.microsoft.com/office/drawing/2014/main" id="{BDDEB737-4F99-49C9-B593-0418E5495BA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61" name="Text Box 1">
          <a:extLst>
            <a:ext uri="{FF2B5EF4-FFF2-40B4-BE49-F238E27FC236}">
              <a16:creationId xmlns:a16="http://schemas.microsoft.com/office/drawing/2014/main" id="{EE9F832B-A0B7-4A93-B1A2-F6500F6A224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62" name="Text Box 1">
          <a:extLst>
            <a:ext uri="{FF2B5EF4-FFF2-40B4-BE49-F238E27FC236}">
              <a16:creationId xmlns:a16="http://schemas.microsoft.com/office/drawing/2014/main" id="{693C197C-FFBB-4C26-8CAE-198AEA9CB6E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63" name="Text Box 1">
          <a:extLst>
            <a:ext uri="{FF2B5EF4-FFF2-40B4-BE49-F238E27FC236}">
              <a16:creationId xmlns:a16="http://schemas.microsoft.com/office/drawing/2014/main" id="{F9E20743-8E44-4628-AA02-484AF64FFF9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64" name="Text Box 1">
          <a:extLst>
            <a:ext uri="{FF2B5EF4-FFF2-40B4-BE49-F238E27FC236}">
              <a16:creationId xmlns:a16="http://schemas.microsoft.com/office/drawing/2014/main" id="{0FFB04CB-C29E-4E29-9D02-F1C05A17B90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65" name="Text Box 1">
          <a:extLst>
            <a:ext uri="{FF2B5EF4-FFF2-40B4-BE49-F238E27FC236}">
              <a16:creationId xmlns:a16="http://schemas.microsoft.com/office/drawing/2014/main" id="{7170D08E-A7DE-4B82-9D97-552954CDF5B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66" name="Text Box 1">
          <a:extLst>
            <a:ext uri="{FF2B5EF4-FFF2-40B4-BE49-F238E27FC236}">
              <a16:creationId xmlns:a16="http://schemas.microsoft.com/office/drawing/2014/main" id="{221CE4E7-E644-4248-BF5D-3A980D4AF8D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67" name="Text Box 1">
          <a:extLst>
            <a:ext uri="{FF2B5EF4-FFF2-40B4-BE49-F238E27FC236}">
              <a16:creationId xmlns:a16="http://schemas.microsoft.com/office/drawing/2014/main" id="{51278AA3-713C-4453-BC53-FCE1E8C768E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68" name="Text Box 1">
          <a:extLst>
            <a:ext uri="{FF2B5EF4-FFF2-40B4-BE49-F238E27FC236}">
              <a16:creationId xmlns:a16="http://schemas.microsoft.com/office/drawing/2014/main" id="{F2896DDC-724D-46E0-96E6-43E9BBF1FB0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69" name="Text Box 1">
          <a:extLst>
            <a:ext uri="{FF2B5EF4-FFF2-40B4-BE49-F238E27FC236}">
              <a16:creationId xmlns:a16="http://schemas.microsoft.com/office/drawing/2014/main" id="{F72DCB19-E0E1-4AA0-A2A6-40A491CC1AE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70" name="Text Box 1">
          <a:extLst>
            <a:ext uri="{FF2B5EF4-FFF2-40B4-BE49-F238E27FC236}">
              <a16:creationId xmlns:a16="http://schemas.microsoft.com/office/drawing/2014/main" id="{C48E3459-A7F7-47DB-8933-09281704EF8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71" name="Text Box 1">
          <a:extLst>
            <a:ext uri="{FF2B5EF4-FFF2-40B4-BE49-F238E27FC236}">
              <a16:creationId xmlns:a16="http://schemas.microsoft.com/office/drawing/2014/main" id="{D351448F-5994-4567-9579-6EC8A2B85E9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72" name="Text Box 1">
          <a:extLst>
            <a:ext uri="{FF2B5EF4-FFF2-40B4-BE49-F238E27FC236}">
              <a16:creationId xmlns:a16="http://schemas.microsoft.com/office/drawing/2014/main" id="{7E5CC3C6-6D16-4D2D-BF6B-C19B55C0A08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73" name="Text Box 1">
          <a:extLst>
            <a:ext uri="{FF2B5EF4-FFF2-40B4-BE49-F238E27FC236}">
              <a16:creationId xmlns:a16="http://schemas.microsoft.com/office/drawing/2014/main" id="{0603B789-D9DE-432A-9F29-35CB7366B57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74" name="Text Box 1">
          <a:extLst>
            <a:ext uri="{FF2B5EF4-FFF2-40B4-BE49-F238E27FC236}">
              <a16:creationId xmlns:a16="http://schemas.microsoft.com/office/drawing/2014/main" id="{295A111A-6CD7-43CC-A2E1-A300AFB5E88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75" name="Text Box 1">
          <a:extLst>
            <a:ext uri="{FF2B5EF4-FFF2-40B4-BE49-F238E27FC236}">
              <a16:creationId xmlns:a16="http://schemas.microsoft.com/office/drawing/2014/main" id="{9AE79F94-BB32-4770-8ED5-050223BF3C0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76" name="Text Box 1">
          <a:extLst>
            <a:ext uri="{FF2B5EF4-FFF2-40B4-BE49-F238E27FC236}">
              <a16:creationId xmlns:a16="http://schemas.microsoft.com/office/drawing/2014/main" id="{79065C50-E047-4C75-839D-91B33663023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77" name="Text Box 1">
          <a:extLst>
            <a:ext uri="{FF2B5EF4-FFF2-40B4-BE49-F238E27FC236}">
              <a16:creationId xmlns:a16="http://schemas.microsoft.com/office/drawing/2014/main" id="{C8F5FAFE-13EF-4B3C-9643-64270E8BC16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78" name="Text Box 1">
          <a:extLst>
            <a:ext uri="{FF2B5EF4-FFF2-40B4-BE49-F238E27FC236}">
              <a16:creationId xmlns:a16="http://schemas.microsoft.com/office/drawing/2014/main" id="{2F126EAA-FCC1-445E-9BD6-C2F57B91564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79" name="Text Box 1">
          <a:extLst>
            <a:ext uri="{FF2B5EF4-FFF2-40B4-BE49-F238E27FC236}">
              <a16:creationId xmlns:a16="http://schemas.microsoft.com/office/drawing/2014/main" id="{4E1330B8-3984-47A2-9D5D-88EB3ECF8D0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80" name="Text Box 1">
          <a:extLst>
            <a:ext uri="{FF2B5EF4-FFF2-40B4-BE49-F238E27FC236}">
              <a16:creationId xmlns:a16="http://schemas.microsoft.com/office/drawing/2014/main" id="{1F81FF3C-F3F4-49EB-A554-03E82AA8AF2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81" name="Text Box 1">
          <a:extLst>
            <a:ext uri="{FF2B5EF4-FFF2-40B4-BE49-F238E27FC236}">
              <a16:creationId xmlns:a16="http://schemas.microsoft.com/office/drawing/2014/main" id="{890079DD-97E8-4E0F-865B-B4C6E771195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82" name="Text Box 1">
          <a:extLst>
            <a:ext uri="{FF2B5EF4-FFF2-40B4-BE49-F238E27FC236}">
              <a16:creationId xmlns:a16="http://schemas.microsoft.com/office/drawing/2014/main" id="{96896D9B-C421-4436-A335-1314BC94B35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83" name="Text Box 1">
          <a:extLst>
            <a:ext uri="{FF2B5EF4-FFF2-40B4-BE49-F238E27FC236}">
              <a16:creationId xmlns:a16="http://schemas.microsoft.com/office/drawing/2014/main" id="{5D979BA4-E314-44F2-8B74-F4A0E1D11D8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84" name="Text Box 1">
          <a:extLst>
            <a:ext uri="{FF2B5EF4-FFF2-40B4-BE49-F238E27FC236}">
              <a16:creationId xmlns:a16="http://schemas.microsoft.com/office/drawing/2014/main" id="{AC8875CA-D0DD-4E4E-8E42-0BD6A7BF20D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85" name="Text Box 1">
          <a:extLst>
            <a:ext uri="{FF2B5EF4-FFF2-40B4-BE49-F238E27FC236}">
              <a16:creationId xmlns:a16="http://schemas.microsoft.com/office/drawing/2014/main" id="{160E4B1C-D019-4B6E-9AF0-141E1D8C7CB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86" name="Text Box 1">
          <a:extLst>
            <a:ext uri="{FF2B5EF4-FFF2-40B4-BE49-F238E27FC236}">
              <a16:creationId xmlns:a16="http://schemas.microsoft.com/office/drawing/2014/main" id="{27433BD0-895B-4D21-B24A-A5E9D758C35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87" name="Text Box 1">
          <a:extLst>
            <a:ext uri="{FF2B5EF4-FFF2-40B4-BE49-F238E27FC236}">
              <a16:creationId xmlns:a16="http://schemas.microsoft.com/office/drawing/2014/main" id="{4234C553-9B9F-40FF-84C1-51CD33D6319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88" name="Text Box 1">
          <a:extLst>
            <a:ext uri="{FF2B5EF4-FFF2-40B4-BE49-F238E27FC236}">
              <a16:creationId xmlns:a16="http://schemas.microsoft.com/office/drawing/2014/main" id="{8AE15944-BAA2-4993-849A-04CF59F22B2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89" name="Text Box 1">
          <a:extLst>
            <a:ext uri="{FF2B5EF4-FFF2-40B4-BE49-F238E27FC236}">
              <a16:creationId xmlns:a16="http://schemas.microsoft.com/office/drawing/2014/main" id="{902EDE39-6BE4-44C8-9FF3-450C4DFBF68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90" name="Text Box 1">
          <a:extLst>
            <a:ext uri="{FF2B5EF4-FFF2-40B4-BE49-F238E27FC236}">
              <a16:creationId xmlns:a16="http://schemas.microsoft.com/office/drawing/2014/main" id="{6AADA9A1-5963-42F8-A17F-6BD929908C3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91" name="Text Box 1">
          <a:extLst>
            <a:ext uri="{FF2B5EF4-FFF2-40B4-BE49-F238E27FC236}">
              <a16:creationId xmlns:a16="http://schemas.microsoft.com/office/drawing/2014/main" id="{D17000A3-2841-4643-8F7D-A4B2AA6E126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92" name="Text Box 1">
          <a:extLst>
            <a:ext uri="{FF2B5EF4-FFF2-40B4-BE49-F238E27FC236}">
              <a16:creationId xmlns:a16="http://schemas.microsoft.com/office/drawing/2014/main" id="{3FAF492F-DF1D-4F3C-BC50-E140580EEFB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93" name="Text Box 1">
          <a:extLst>
            <a:ext uri="{FF2B5EF4-FFF2-40B4-BE49-F238E27FC236}">
              <a16:creationId xmlns:a16="http://schemas.microsoft.com/office/drawing/2014/main" id="{972ED2A6-3341-4455-8A86-9FB5F3E6B95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94" name="Text Box 1">
          <a:extLst>
            <a:ext uri="{FF2B5EF4-FFF2-40B4-BE49-F238E27FC236}">
              <a16:creationId xmlns:a16="http://schemas.microsoft.com/office/drawing/2014/main" id="{880579D6-4985-4FAF-A448-84209690302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95" name="Text Box 1">
          <a:extLst>
            <a:ext uri="{FF2B5EF4-FFF2-40B4-BE49-F238E27FC236}">
              <a16:creationId xmlns:a16="http://schemas.microsoft.com/office/drawing/2014/main" id="{E52256CA-1C38-4C0A-862E-5FA85CA0795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96" name="Text Box 1">
          <a:extLst>
            <a:ext uri="{FF2B5EF4-FFF2-40B4-BE49-F238E27FC236}">
              <a16:creationId xmlns:a16="http://schemas.microsoft.com/office/drawing/2014/main" id="{CB1C9296-F3F8-48EA-BC15-2443538BD95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97" name="Text Box 1">
          <a:extLst>
            <a:ext uri="{FF2B5EF4-FFF2-40B4-BE49-F238E27FC236}">
              <a16:creationId xmlns:a16="http://schemas.microsoft.com/office/drawing/2014/main" id="{92838A34-3FB6-4F1C-99F0-CF3FB2ACCA9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98" name="Text Box 1">
          <a:extLst>
            <a:ext uri="{FF2B5EF4-FFF2-40B4-BE49-F238E27FC236}">
              <a16:creationId xmlns:a16="http://schemas.microsoft.com/office/drawing/2014/main" id="{5D658722-7555-4145-8390-6C5B6FD09B9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299" name="Text Box 1">
          <a:extLst>
            <a:ext uri="{FF2B5EF4-FFF2-40B4-BE49-F238E27FC236}">
              <a16:creationId xmlns:a16="http://schemas.microsoft.com/office/drawing/2014/main" id="{AD9C59DE-A234-4812-B91E-31BE15C130B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00" name="Text Box 1">
          <a:extLst>
            <a:ext uri="{FF2B5EF4-FFF2-40B4-BE49-F238E27FC236}">
              <a16:creationId xmlns:a16="http://schemas.microsoft.com/office/drawing/2014/main" id="{34CF2377-04D8-41A3-8180-8A769C71573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01" name="Text Box 1">
          <a:extLst>
            <a:ext uri="{FF2B5EF4-FFF2-40B4-BE49-F238E27FC236}">
              <a16:creationId xmlns:a16="http://schemas.microsoft.com/office/drawing/2014/main" id="{9B84C067-6968-40AE-B4AE-D0276C4A6D6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02" name="Text Box 1">
          <a:extLst>
            <a:ext uri="{FF2B5EF4-FFF2-40B4-BE49-F238E27FC236}">
              <a16:creationId xmlns:a16="http://schemas.microsoft.com/office/drawing/2014/main" id="{D7DAF0D0-D598-4A6A-90F3-2E49032A9BF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03" name="Text Box 1">
          <a:extLst>
            <a:ext uri="{FF2B5EF4-FFF2-40B4-BE49-F238E27FC236}">
              <a16:creationId xmlns:a16="http://schemas.microsoft.com/office/drawing/2014/main" id="{24020CDF-8690-4EDD-89FF-5FCCCAF8CC5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04" name="Text Box 1">
          <a:extLst>
            <a:ext uri="{FF2B5EF4-FFF2-40B4-BE49-F238E27FC236}">
              <a16:creationId xmlns:a16="http://schemas.microsoft.com/office/drawing/2014/main" id="{6B674721-6209-43C4-880A-B44E2C4D530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05" name="Text Box 1">
          <a:extLst>
            <a:ext uri="{FF2B5EF4-FFF2-40B4-BE49-F238E27FC236}">
              <a16:creationId xmlns:a16="http://schemas.microsoft.com/office/drawing/2014/main" id="{7629463E-910F-4CBE-BD25-1B01FEB32D4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06" name="Text Box 1">
          <a:extLst>
            <a:ext uri="{FF2B5EF4-FFF2-40B4-BE49-F238E27FC236}">
              <a16:creationId xmlns:a16="http://schemas.microsoft.com/office/drawing/2014/main" id="{6A62BC63-A3FE-4210-8168-7A0648C5338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07" name="Text Box 1">
          <a:extLst>
            <a:ext uri="{FF2B5EF4-FFF2-40B4-BE49-F238E27FC236}">
              <a16:creationId xmlns:a16="http://schemas.microsoft.com/office/drawing/2014/main" id="{A8EA5887-36B5-417D-9CF1-BA7999D53C1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08" name="Text Box 1">
          <a:extLst>
            <a:ext uri="{FF2B5EF4-FFF2-40B4-BE49-F238E27FC236}">
              <a16:creationId xmlns:a16="http://schemas.microsoft.com/office/drawing/2014/main" id="{7A332055-8F68-464F-8B49-E4FFDFADF74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09" name="Text Box 1">
          <a:extLst>
            <a:ext uri="{FF2B5EF4-FFF2-40B4-BE49-F238E27FC236}">
              <a16:creationId xmlns:a16="http://schemas.microsoft.com/office/drawing/2014/main" id="{4FA180C4-111F-4020-83CC-43C124961C7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10" name="Text Box 1">
          <a:extLst>
            <a:ext uri="{FF2B5EF4-FFF2-40B4-BE49-F238E27FC236}">
              <a16:creationId xmlns:a16="http://schemas.microsoft.com/office/drawing/2014/main" id="{A3009ECD-BB43-4F7B-ABD9-A5FE850D92B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11" name="Text Box 1">
          <a:extLst>
            <a:ext uri="{FF2B5EF4-FFF2-40B4-BE49-F238E27FC236}">
              <a16:creationId xmlns:a16="http://schemas.microsoft.com/office/drawing/2014/main" id="{7513FF5F-8DDF-45C1-A190-F67ECAA298D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12" name="Text Box 1">
          <a:extLst>
            <a:ext uri="{FF2B5EF4-FFF2-40B4-BE49-F238E27FC236}">
              <a16:creationId xmlns:a16="http://schemas.microsoft.com/office/drawing/2014/main" id="{F6C2614D-7196-4A97-AFF6-2D49C3F8024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13" name="Text Box 1">
          <a:extLst>
            <a:ext uri="{FF2B5EF4-FFF2-40B4-BE49-F238E27FC236}">
              <a16:creationId xmlns:a16="http://schemas.microsoft.com/office/drawing/2014/main" id="{2E5376D4-8D08-4934-B19D-5E1E25570A8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14" name="Text Box 1">
          <a:extLst>
            <a:ext uri="{FF2B5EF4-FFF2-40B4-BE49-F238E27FC236}">
              <a16:creationId xmlns:a16="http://schemas.microsoft.com/office/drawing/2014/main" id="{6615D644-7659-4D41-941C-31F31A38294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15" name="Text Box 1">
          <a:extLst>
            <a:ext uri="{FF2B5EF4-FFF2-40B4-BE49-F238E27FC236}">
              <a16:creationId xmlns:a16="http://schemas.microsoft.com/office/drawing/2014/main" id="{AB2BEAE7-D272-4CB9-B0CD-3C9C2175BAA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16" name="Text Box 1">
          <a:extLst>
            <a:ext uri="{FF2B5EF4-FFF2-40B4-BE49-F238E27FC236}">
              <a16:creationId xmlns:a16="http://schemas.microsoft.com/office/drawing/2014/main" id="{B5D1EC4D-7B7F-40EA-9B9F-3EF31373339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17" name="Text Box 1">
          <a:extLst>
            <a:ext uri="{FF2B5EF4-FFF2-40B4-BE49-F238E27FC236}">
              <a16:creationId xmlns:a16="http://schemas.microsoft.com/office/drawing/2014/main" id="{254E0E3C-7B4C-4581-B82E-7D5A8452939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18" name="Text Box 1">
          <a:extLst>
            <a:ext uri="{FF2B5EF4-FFF2-40B4-BE49-F238E27FC236}">
              <a16:creationId xmlns:a16="http://schemas.microsoft.com/office/drawing/2014/main" id="{33FA8950-EF42-4507-BD36-DA8DC076060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19" name="Text Box 1">
          <a:extLst>
            <a:ext uri="{FF2B5EF4-FFF2-40B4-BE49-F238E27FC236}">
              <a16:creationId xmlns:a16="http://schemas.microsoft.com/office/drawing/2014/main" id="{CDD47CB5-3257-47B2-9B59-4AA2ACC91A0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20" name="Text Box 1">
          <a:extLst>
            <a:ext uri="{FF2B5EF4-FFF2-40B4-BE49-F238E27FC236}">
              <a16:creationId xmlns:a16="http://schemas.microsoft.com/office/drawing/2014/main" id="{DB2DFC5D-562C-48C3-A219-4B2EECE73B7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21" name="Text Box 1">
          <a:extLst>
            <a:ext uri="{FF2B5EF4-FFF2-40B4-BE49-F238E27FC236}">
              <a16:creationId xmlns:a16="http://schemas.microsoft.com/office/drawing/2014/main" id="{36092798-E304-4910-95A1-146CF9CE6DF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22" name="Text Box 1">
          <a:extLst>
            <a:ext uri="{FF2B5EF4-FFF2-40B4-BE49-F238E27FC236}">
              <a16:creationId xmlns:a16="http://schemas.microsoft.com/office/drawing/2014/main" id="{70154B22-B626-4EBB-90CD-A0731630C48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23" name="Text Box 1">
          <a:extLst>
            <a:ext uri="{FF2B5EF4-FFF2-40B4-BE49-F238E27FC236}">
              <a16:creationId xmlns:a16="http://schemas.microsoft.com/office/drawing/2014/main" id="{B9DA13EE-C8EF-426A-A7DD-17EAF6B609E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24" name="Text Box 1">
          <a:extLst>
            <a:ext uri="{FF2B5EF4-FFF2-40B4-BE49-F238E27FC236}">
              <a16:creationId xmlns:a16="http://schemas.microsoft.com/office/drawing/2014/main" id="{8D59CFEF-6F8E-4683-A3C1-4806E699DC8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25" name="Text Box 1">
          <a:extLst>
            <a:ext uri="{FF2B5EF4-FFF2-40B4-BE49-F238E27FC236}">
              <a16:creationId xmlns:a16="http://schemas.microsoft.com/office/drawing/2014/main" id="{22E10440-CCAD-49A3-AF03-5554AB6787E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26" name="Text Box 1">
          <a:extLst>
            <a:ext uri="{FF2B5EF4-FFF2-40B4-BE49-F238E27FC236}">
              <a16:creationId xmlns:a16="http://schemas.microsoft.com/office/drawing/2014/main" id="{73C7C413-18C9-42FE-A0D0-ACA3F37276F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27" name="Text Box 1">
          <a:extLst>
            <a:ext uri="{FF2B5EF4-FFF2-40B4-BE49-F238E27FC236}">
              <a16:creationId xmlns:a16="http://schemas.microsoft.com/office/drawing/2014/main" id="{4449B71F-0B90-49BD-B597-6204FA87B33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28" name="Text Box 1">
          <a:extLst>
            <a:ext uri="{FF2B5EF4-FFF2-40B4-BE49-F238E27FC236}">
              <a16:creationId xmlns:a16="http://schemas.microsoft.com/office/drawing/2014/main" id="{930AD759-C04B-4847-9959-2E4F7FDDE8D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29" name="Text Box 1">
          <a:extLst>
            <a:ext uri="{FF2B5EF4-FFF2-40B4-BE49-F238E27FC236}">
              <a16:creationId xmlns:a16="http://schemas.microsoft.com/office/drawing/2014/main" id="{66D8D093-F297-442E-803E-F54B109462C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30" name="Text Box 1">
          <a:extLst>
            <a:ext uri="{FF2B5EF4-FFF2-40B4-BE49-F238E27FC236}">
              <a16:creationId xmlns:a16="http://schemas.microsoft.com/office/drawing/2014/main" id="{1844F167-6EFD-4236-A3D0-2C7AF7F98A1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31" name="Text Box 1">
          <a:extLst>
            <a:ext uri="{FF2B5EF4-FFF2-40B4-BE49-F238E27FC236}">
              <a16:creationId xmlns:a16="http://schemas.microsoft.com/office/drawing/2014/main" id="{88BA9D8F-AF5A-4583-9B88-33AE70DB4BF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32" name="Text Box 1">
          <a:extLst>
            <a:ext uri="{FF2B5EF4-FFF2-40B4-BE49-F238E27FC236}">
              <a16:creationId xmlns:a16="http://schemas.microsoft.com/office/drawing/2014/main" id="{12123271-5461-4C94-A12F-CC9EC9A3C48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33" name="Text Box 1">
          <a:extLst>
            <a:ext uri="{FF2B5EF4-FFF2-40B4-BE49-F238E27FC236}">
              <a16:creationId xmlns:a16="http://schemas.microsoft.com/office/drawing/2014/main" id="{0441C36A-765D-4680-A487-91C1335747D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34" name="Text Box 1">
          <a:extLst>
            <a:ext uri="{FF2B5EF4-FFF2-40B4-BE49-F238E27FC236}">
              <a16:creationId xmlns:a16="http://schemas.microsoft.com/office/drawing/2014/main" id="{2B55E242-F9C8-482F-87D2-855DCCAF108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35" name="Text Box 1">
          <a:extLst>
            <a:ext uri="{FF2B5EF4-FFF2-40B4-BE49-F238E27FC236}">
              <a16:creationId xmlns:a16="http://schemas.microsoft.com/office/drawing/2014/main" id="{E3E4D9EA-50CB-47B0-9590-9671364FD2A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36" name="Text Box 1">
          <a:extLst>
            <a:ext uri="{FF2B5EF4-FFF2-40B4-BE49-F238E27FC236}">
              <a16:creationId xmlns:a16="http://schemas.microsoft.com/office/drawing/2014/main" id="{ACAE0619-788E-4680-AF6D-DD3DA4B0757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37" name="Text Box 1">
          <a:extLst>
            <a:ext uri="{FF2B5EF4-FFF2-40B4-BE49-F238E27FC236}">
              <a16:creationId xmlns:a16="http://schemas.microsoft.com/office/drawing/2014/main" id="{B107E8FE-F5C8-4321-B7F3-BC410EB2664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38" name="Text Box 1">
          <a:extLst>
            <a:ext uri="{FF2B5EF4-FFF2-40B4-BE49-F238E27FC236}">
              <a16:creationId xmlns:a16="http://schemas.microsoft.com/office/drawing/2014/main" id="{075A7BDA-6C10-4CF3-B130-A8C965B085A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39" name="Text Box 1">
          <a:extLst>
            <a:ext uri="{FF2B5EF4-FFF2-40B4-BE49-F238E27FC236}">
              <a16:creationId xmlns:a16="http://schemas.microsoft.com/office/drawing/2014/main" id="{E899AB73-AC83-4636-A47B-C0766D2DDBB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40" name="Text Box 1">
          <a:extLst>
            <a:ext uri="{FF2B5EF4-FFF2-40B4-BE49-F238E27FC236}">
              <a16:creationId xmlns:a16="http://schemas.microsoft.com/office/drawing/2014/main" id="{F89D7637-CD9F-480B-ABE4-3C2057F06B4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41" name="Text Box 1">
          <a:extLst>
            <a:ext uri="{FF2B5EF4-FFF2-40B4-BE49-F238E27FC236}">
              <a16:creationId xmlns:a16="http://schemas.microsoft.com/office/drawing/2014/main" id="{B9AA88B3-6A01-4E70-98BA-1BF02C9A2DB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42" name="Text Box 1">
          <a:extLst>
            <a:ext uri="{FF2B5EF4-FFF2-40B4-BE49-F238E27FC236}">
              <a16:creationId xmlns:a16="http://schemas.microsoft.com/office/drawing/2014/main" id="{6AED89A1-C44A-433A-BF46-C5BDC0F8160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43" name="Text Box 1">
          <a:extLst>
            <a:ext uri="{FF2B5EF4-FFF2-40B4-BE49-F238E27FC236}">
              <a16:creationId xmlns:a16="http://schemas.microsoft.com/office/drawing/2014/main" id="{9BD77E8B-542B-4AF4-9B9C-18C9972FAAF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44" name="Text Box 1">
          <a:extLst>
            <a:ext uri="{FF2B5EF4-FFF2-40B4-BE49-F238E27FC236}">
              <a16:creationId xmlns:a16="http://schemas.microsoft.com/office/drawing/2014/main" id="{5FABA5DD-1B4D-4DA9-A01D-CFC624ED53D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45" name="Text Box 1">
          <a:extLst>
            <a:ext uri="{FF2B5EF4-FFF2-40B4-BE49-F238E27FC236}">
              <a16:creationId xmlns:a16="http://schemas.microsoft.com/office/drawing/2014/main" id="{C29DC5FC-3748-4D01-871C-6B74BAFBFB0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46" name="Text Box 1">
          <a:extLst>
            <a:ext uri="{FF2B5EF4-FFF2-40B4-BE49-F238E27FC236}">
              <a16:creationId xmlns:a16="http://schemas.microsoft.com/office/drawing/2014/main" id="{3B00334B-06C9-493C-9BDC-C90B3D57EE9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47" name="Text Box 1">
          <a:extLst>
            <a:ext uri="{FF2B5EF4-FFF2-40B4-BE49-F238E27FC236}">
              <a16:creationId xmlns:a16="http://schemas.microsoft.com/office/drawing/2014/main" id="{3A5CDBDF-8F2F-419D-817D-133A84FB4B5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48" name="Text Box 1">
          <a:extLst>
            <a:ext uri="{FF2B5EF4-FFF2-40B4-BE49-F238E27FC236}">
              <a16:creationId xmlns:a16="http://schemas.microsoft.com/office/drawing/2014/main" id="{9337758E-F1BA-4199-98F2-288306921E2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49" name="Text Box 1">
          <a:extLst>
            <a:ext uri="{FF2B5EF4-FFF2-40B4-BE49-F238E27FC236}">
              <a16:creationId xmlns:a16="http://schemas.microsoft.com/office/drawing/2014/main" id="{21AD6F2A-9325-4C5A-8A04-4B3D5515669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50" name="Text Box 1">
          <a:extLst>
            <a:ext uri="{FF2B5EF4-FFF2-40B4-BE49-F238E27FC236}">
              <a16:creationId xmlns:a16="http://schemas.microsoft.com/office/drawing/2014/main" id="{2E4B8439-C751-4128-864C-41E9B83CB9D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51" name="Text Box 1">
          <a:extLst>
            <a:ext uri="{FF2B5EF4-FFF2-40B4-BE49-F238E27FC236}">
              <a16:creationId xmlns:a16="http://schemas.microsoft.com/office/drawing/2014/main" id="{2D0AD92C-4B0E-4F13-BEC3-33FE192247E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52" name="Text Box 1">
          <a:extLst>
            <a:ext uri="{FF2B5EF4-FFF2-40B4-BE49-F238E27FC236}">
              <a16:creationId xmlns:a16="http://schemas.microsoft.com/office/drawing/2014/main" id="{57E60512-C2DF-4A29-9757-213DA8EAED9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53" name="Text Box 1">
          <a:extLst>
            <a:ext uri="{FF2B5EF4-FFF2-40B4-BE49-F238E27FC236}">
              <a16:creationId xmlns:a16="http://schemas.microsoft.com/office/drawing/2014/main" id="{F71295B3-2090-40DC-859B-877FDECA35A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54" name="Text Box 1">
          <a:extLst>
            <a:ext uri="{FF2B5EF4-FFF2-40B4-BE49-F238E27FC236}">
              <a16:creationId xmlns:a16="http://schemas.microsoft.com/office/drawing/2014/main" id="{264CCA6C-88D5-437D-A7DF-430E125DA00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55" name="Text Box 1">
          <a:extLst>
            <a:ext uri="{FF2B5EF4-FFF2-40B4-BE49-F238E27FC236}">
              <a16:creationId xmlns:a16="http://schemas.microsoft.com/office/drawing/2014/main" id="{8B55613D-1C29-4B69-83A4-875418ACD62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56" name="Text Box 1">
          <a:extLst>
            <a:ext uri="{FF2B5EF4-FFF2-40B4-BE49-F238E27FC236}">
              <a16:creationId xmlns:a16="http://schemas.microsoft.com/office/drawing/2014/main" id="{386DDFC2-8CDC-4D8C-B7FA-7ED12AC25A3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57" name="Text Box 1">
          <a:extLst>
            <a:ext uri="{FF2B5EF4-FFF2-40B4-BE49-F238E27FC236}">
              <a16:creationId xmlns:a16="http://schemas.microsoft.com/office/drawing/2014/main" id="{76115FAE-B920-4AF4-9A5A-ECEA3536D23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58" name="Text Box 1">
          <a:extLst>
            <a:ext uri="{FF2B5EF4-FFF2-40B4-BE49-F238E27FC236}">
              <a16:creationId xmlns:a16="http://schemas.microsoft.com/office/drawing/2014/main" id="{881DC820-5FEF-4D54-9121-9AB3B9C331C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59" name="Text Box 1">
          <a:extLst>
            <a:ext uri="{FF2B5EF4-FFF2-40B4-BE49-F238E27FC236}">
              <a16:creationId xmlns:a16="http://schemas.microsoft.com/office/drawing/2014/main" id="{7D11F4B9-5638-4EF0-A1A1-F63B01D540D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60" name="Text Box 1">
          <a:extLst>
            <a:ext uri="{FF2B5EF4-FFF2-40B4-BE49-F238E27FC236}">
              <a16:creationId xmlns:a16="http://schemas.microsoft.com/office/drawing/2014/main" id="{2538BD4B-8417-4A38-8AD7-00F4D1177FC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61" name="Text Box 1">
          <a:extLst>
            <a:ext uri="{FF2B5EF4-FFF2-40B4-BE49-F238E27FC236}">
              <a16:creationId xmlns:a16="http://schemas.microsoft.com/office/drawing/2014/main" id="{9BE8A449-DBB1-4D80-BDED-BDC1E9F3A4C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62" name="Text Box 1">
          <a:extLst>
            <a:ext uri="{FF2B5EF4-FFF2-40B4-BE49-F238E27FC236}">
              <a16:creationId xmlns:a16="http://schemas.microsoft.com/office/drawing/2014/main" id="{CCFF4B54-5304-481C-ACCE-FFE0EAC56D4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63" name="Text Box 1">
          <a:extLst>
            <a:ext uri="{FF2B5EF4-FFF2-40B4-BE49-F238E27FC236}">
              <a16:creationId xmlns:a16="http://schemas.microsoft.com/office/drawing/2014/main" id="{4ECBEBC1-7C5B-40EF-BEE5-1DD930F4A44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64" name="Text Box 1">
          <a:extLst>
            <a:ext uri="{FF2B5EF4-FFF2-40B4-BE49-F238E27FC236}">
              <a16:creationId xmlns:a16="http://schemas.microsoft.com/office/drawing/2014/main" id="{E749E77E-2CF1-4A09-9148-43BBA788FAF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65" name="Text Box 1">
          <a:extLst>
            <a:ext uri="{FF2B5EF4-FFF2-40B4-BE49-F238E27FC236}">
              <a16:creationId xmlns:a16="http://schemas.microsoft.com/office/drawing/2014/main" id="{2CE84290-4842-4413-8E74-779711DED5B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66" name="Text Box 1">
          <a:extLst>
            <a:ext uri="{FF2B5EF4-FFF2-40B4-BE49-F238E27FC236}">
              <a16:creationId xmlns:a16="http://schemas.microsoft.com/office/drawing/2014/main" id="{B914FBBC-DBF5-4BF6-9633-D5E81577CA9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67" name="Text Box 1">
          <a:extLst>
            <a:ext uri="{FF2B5EF4-FFF2-40B4-BE49-F238E27FC236}">
              <a16:creationId xmlns:a16="http://schemas.microsoft.com/office/drawing/2014/main" id="{36E0D2AB-9228-43F7-BDBC-5321590B2E0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68" name="Text Box 1">
          <a:extLst>
            <a:ext uri="{FF2B5EF4-FFF2-40B4-BE49-F238E27FC236}">
              <a16:creationId xmlns:a16="http://schemas.microsoft.com/office/drawing/2014/main" id="{3A83C273-B36B-4331-B226-581A4E85E19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69" name="Text Box 1">
          <a:extLst>
            <a:ext uri="{FF2B5EF4-FFF2-40B4-BE49-F238E27FC236}">
              <a16:creationId xmlns:a16="http://schemas.microsoft.com/office/drawing/2014/main" id="{084D1102-526D-48A1-95F6-17934755FAC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70" name="Text Box 1">
          <a:extLst>
            <a:ext uri="{FF2B5EF4-FFF2-40B4-BE49-F238E27FC236}">
              <a16:creationId xmlns:a16="http://schemas.microsoft.com/office/drawing/2014/main" id="{8B8BFE0C-F1E9-4950-A351-4EA24DDD0AE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71" name="Text Box 1">
          <a:extLst>
            <a:ext uri="{FF2B5EF4-FFF2-40B4-BE49-F238E27FC236}">
              <a16:creationId xmlns:a16="http://schemas.microsoft.com/office/drawing/2014/main" id="{BBE7C3A7-A30C-4B6F-AE6A-1E6614DD00A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72" name="Text Box 1">
          <a:extLst>
            <a:ext uri="{FF2B5EF4-FFF2-40B4-BE49-F238E27FC236}">
              <a16:creationId xmlns:a16="http://schemas.microsoft.com/office/drawing/2014/main" id="{E5FE48ED-91C1-42D7-ABAC-78BC3D60614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73" name="Text Box 1">
          <a:extLst>
            <a:ext uri="{FF2B5EF4-FFF2-40B4-BE49-F238E27FC236}">
              <a16:creationId xmlns:a16="http://schemas.microsoft.com/office/drawing/2014/main" id="{A35E9285-A75A-44C6-8FBB-9351978CA07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74" name="Text Box 1">
          <a:extLst>
            <a:ext uri="{FF2B5EF4-FFF2-40B4-BE49-F238E27FC236}">
              <a16:creationId xmlns:a16="http://schemas.microsoft.com/office/drawing/2014/main" id="{B08DA5A2-F494-4DF0-993B-DA0C2EFA384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75" name="Text Box 1">
          <a:extLst>
            <a:ext uri="{FF2B5EF4-FFF2-40B4-BE49-F238E27FC236}">
              <a16:creationId xmlns:a16="http://schemas.microsoft.com/office/drawing/2014/main" id="{9E9031C0-2BFB-4D6E-B1DC-F1FC09AB6D4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76" name="Text Box 1">
          <a:extLst>
            <a:ext uri="{FF2B5EF4-FFF2-40B4-BE49-F238E27FC236}">
              <a16:creationId xmlns:a16="http://schemas.microsoft.com/office/drawing/2014/main" id="{4813F732-EDA3-449C-BEB6-E244AE824C6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77" name="Text Box 1">
          <a:extLst>
            <a:ext uri="{FF2B5EF4-FFF2-40B4-BE49-F238E27FC236}">
              <a16:creationId xmlns:a16="http://schemas.microsoft.com/office/drawing/2014/main" id="{2A91FA21-6231-461F-9FC3-3C36B890450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78" name="Text Box 1">
          <a:extLst>
            <a:ext uri="{FF2B5EF4-FFF2-40B4-BE49-F238E27FC236}">
              <a16:creationId xmlns:a16="http://schemas.microsoft.com/office/drawing/2014/main" id="{EC97B5D9-E730-4504-9D61-2F7C2087A72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79" name="Text Box 1">
          <a:extLst>
            <a:ext uri="{FF2B5EF4-FFF2-40B4-BE49-F238E27FC236}">
              <a16:creationId xmlns:a16="http://schemas.microsoft.com/office/drawing/2014/main" id="{ED8C4545-C6E9-436D-A31C-78C1F86C3F1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80" name="Text Box 1">
          <a:extLst>
            <a:ext uri="{FF2B5EF4-FFF2-40B4-BE49-F238E27FC236}">
              <a16:creationId xmlns:a16="http://schemas.microsoft.com/office/drawing/2014/main" id="{9BE4394A-7261-4ACC-B919-D0D1FDA8025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81" name="Text Box 1">
          <a:extLst>
            <a:ext uri="{FF2B5EF4-FFF2-40B4-BE49-F238E27FC236}">
              <a16:creationId xmlns:a16="http://schemas.microsoft.com/office/drawing/2014/main" id="{CD5FA125-8DCC-4E7D-977C-A9B3404F217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82" name="Text Box 1">
          <a:extLst>
            <a:ext uri="{FF2B5EF4-FFF2-40B4-BE49-F238E27FC236}">
              <a16:creationId xmlns:a16="http://schemas.microsoft.com/office/drawing/2014/main" id="{F74BF2A9-49E5-4DCF-A83A-C451D07B824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83" name="Text Box 1">
          <a:extLst>
            <a:ext uri="{FF2B5EF4-FFF2-40B4-BE49-F238E27FC236}">
              <a16:creationId xmlns:a16="http://schemas.microsoft.com/office/drawing/2014/main" id="{A8C9CB82-CE9E-493B-A9EB-40ED6FA3F7C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84" name="Text Box 1">
          <a:extLst>
            <a:ext uri="{FF2B5EF4-FFF2-40B4-BE49-F238E27FC236}">
              <a16:creationId xmlns:a16="http://schemas.microsoft.com/office/drawing/2014/main" id="{4DF46593-1C54-42B2-AD41-81D75D7F5D7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85" name="Text Box 1">
          <a:extLst>
            <a:ext uri="{FF2B5EF4-FFF2-40B4-BE49-F238E27FC236}">
              <a16:creationId xmlns:a16="http://schemas.microsoft.com/office/drawing/2014/main" id="{6262C648-ADCD-4703-AC5D-2335F846445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86" name="Text Box 1">
          <a:extLst>
            <a:ext uri="{FF2B5EF4-FFF2-40B4-BE49-F238E27FC236}">
              <a16:creationId xmlns:a16="http://schemas.microsoft.com/office/drawing/2014/main" id="{5A7D8FE5-3797-418E-97AA-5C1CDE3A049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87" name="Text Box 1">
          <a:extLst>
            <a:ext uri="{FF2B5EF4-FFF2-40B4-BE49-F238E27FC236}">
              <a16:creationId xmlns:a16="http://schemas.microsoft.com/office/drawing/2014/main" id="{518DB50D-6528-45E4-A78F-F3FF325DAEF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88" name="Text Box 1">
          <a:extLst>
            <a:ext uri="{FF2B5EF4-FFF2-40B4-BE49-F238E27FC236}">
              <a16:creationId xmlns:a16="http://schemas.microsoft.com/office/drawing/2014/main" id="{415C6B24-5944-4520-B2AC-DE04570073A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89" name="Text Box 1">
          <a:extLst>
            <a:ext uri="{FF2B5EF4-FFF2-40B4-BE49-F238E27FC236}">
              <a16:creationId xmlns:a16="http://schemas.microsoft.com/office/drawing/2014/main" id="{5F1D12DF-E6F9-44C5-89A4-AC5336694B1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90" name="Text Box 1">
          <a:extLst>
            <a:ext uri="{FF2B5EF4-FFF2-40B4-BE49-F238E27FC236}">
              <a16:creationId xmlns:a16="http://schemas.microsoft.com/office/drawing/2014/main" id="{2973A560-8366-4107-867A-DC9EF90AB0E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91" name="Text Box 1">
          <a:extLst>
            <a:ext uri="{FF2B5EF4-FFF2-40B4-BE49-F238E27FC236}">
              <a16:creationId xmlns:a16="http://schemas.microsoft.com/office/drawing/2014/main" id="{F5686AF6-7457-4B1B-917E-A0D4E56ED35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92" name="Text Box 1">
          <a:extLst>
            <a:ext uri="{FF2B5EF4-FFF2-40B4-BE49-F238E27FC236}">
              <a16:creationId xmlns:a16="http://schemas.microsoft.com/office/drawing/2014/main" id="{351EEBB9-66EB-47F2-A04E-CD52E574736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93" name="Text Box 1">
          <a:extLst>
            <a:ext uri="{FF2B5EF4-FFF2-40B4-BE49-F238E27FC236}">
              <a16:creationId xmlns:a16="http://schemas.microsoft.com/office/drawing/2014/main" id="{0B9A6FE6-C9ED-47C9-AC0F-A00270A1D69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94" name="Text Box 1">
          <a:extLst>
            <a:ext uri="{FF2B5EF4-FFF2-40B4-BE49-F238E27FC236}">
              <a16:creationId xmlns:a16="http://schemas.microsoft.com/office/drawing/2014/main" id="{D0558735-68B8-4566-8439-9C8A4B1A1A1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95" name="Text Box 1">
          <a:extLst>
            <a:ext uri="{FF2B5EF4-FFF2-40B4-BE49-F238E27FC236}">
              <a16:creationId xmlns:a16="http://schemas.microsoft.com/office/drawing/2014/main" id="{98A3FD72-1E71-49F5-B75B-CC8314D4A85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96" name="Text Box 1">
          <a:extLst>
            <a:ext uri="{FF2B5EF4-FFF2-40B4-BE49-F238E27FC236}">
              <a16:creationId xmlns:a16="http://schemas.microsoft.com/office/drawing/2014/main" id="{F53D1559-9487-4ECF-9A02-20DAC42AF41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97" name="Text Box 1">
          <a:extLst>
            <a:ext uri="{FF2B5EF4-FFF2-40B4-BE49-F238E27FC236}">
              <a16:creationId xmlns:a16="http://schemas.microsoft.com/office/drawing/2014/main" id="{2F304AF0-0166-45BF-B3EA-69837D3A2B6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98" name="Text Box 1">
          <a:extLst>
            <a:ext uri="{FF2B5EF4-FFF2-40B4-BE49-F238E27FC236}">
              <a16:creationId xmlns:a16="http://schemas.microsoft.com/office/drawing/2014/main" id="{AF8DD3BD-0E49-4878-81E7-406C84355CD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399" name="Text Box 1">
          <a:extLst>
            <a:ext uri="{FF2B5EF4-FFF2-40B4-BE49-F238E27FC236}">
              <a16:creationId xmlns:a16="http://schemas.microsoft.com/office/drawing/2014/main" id="{32107E60-EF3D-4CF4-89A9-E14FDCB12CA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00" name="Text Box 1">
          <a:extLst>
            <a:ext uri="{FF2B5EF4-FFF2-40B4-BE49-F238E27FC236}">
              <a16:creationId xmlns:a16="http://schemas.microsoft.com/office/drawing/2014/main" id="{62A77774-4293-4AF8-97F7-D660CF05A51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01" name="Text Box 1">
          <a:extLst>
            <a:ext uri="{FF2B5EF4-FFF2-40B4-BE49-F238E27FC236}">
              <a16:creationId xmlns:a16="http://schemas.microsoft.com/office/drawing/2014/main" id="{3DCF6CE6-987B-403B-B3E8-CA4D6F1C4A7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02" name="Text Box 1">
          <a:extLst>
            <a:ext uri="{FF2B5EF4-FFF2-40B4-BE49-F238E27FC236}">
              <a16:creationId xmlns:a16="http://schemas.microsoft.com/office/drawing/2014/main" id="{0D965240-CAFE-437E-9A48-D9CAF9FD64A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03" name="Text Box 1">
          <a:extLst>
            <a:ext uri="{FF2B5EF4-FFF2-40B4-BE49-F238E27FC236}">
              <a16:creationId xmlns:a16="http://schemas.microsoft.com/office/drawing/2014/main" id="{2B14D573-AA6B-4C0F-8BF0-D6A0EB4F622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04" name="Text Box 1">
          <a:extLst>
            <a:ext uri="{FF2B5EF4-FFF2-40B4-BE49-F238E27FC236}">
              <a16:creationId xmlns:a16="http://schemas.microsoft.com/office/drawing/2014/main" id="{08F2CA26-A257-4A5B-9AC0-433F238E2D5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05" name="Text Box 1">
          <a:extLst>
            <a:ext uri="{FF2B5EF4-FFF2-40B4-BE49-F238E27FC236}">
              <a16:creationId xmlns:a16="http://schemas.microsoft.com/office/drawing/2014/main" id="{EF1C91DE-A772-435D-BF0C-F83FC72BB20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06" name="Text Box 1">
          <a:extLst>
            <a:ext uri="{FF2B5EF4-FFF2-40B4-BE49-F238E27FC236}">
              <a16:creationId xmlns:a16="http://schemas.microsoft.com/office/drawing/2014/main" id="{541AF6AD-1EAA-4171-9B04-6D7225F3197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07" name="Text Box 1">
          <a:extLst>
            <a:ext uri="{FF2B5EF4-FFF2-40B4-BE49-F238E27FC236}">
              <a16:creationId xmlns:a16="http://schemas.microsoft.com/office/drawing/2014/main" id="{54119735-9444-42C6-AA50-C8AB2C22300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08" name="Text Box 1">
          <a:extLst>
            <a:ext uri="{FF2B5EF4-FFF2-40B4-BE49-F238E27FC236}">
              <a16:creationId xmlns:a16="http://schemas.microsoft.com/office/drawing/2014/main" id="{097D6F11-5C4E-425B-B1D5-BA1A3CF1038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09" name="Text Box 1">
          <a:extLst>
            <a:ext uri="{FF2B5EF4-FFF2-40B4-BE49-F238E27FC236}">
              <a16:creationId xmlns:a16="http://schemas.microsoft.com/office/drawing/2014/main" id="{46A41CF5-3466-44A9-999E-CAAEB036A6A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10" name="Text Box 1">
          <a:extLst>
            <a:ext uri="{FF2B5EF4-FFF2-40B4-BE49-F238E27FC236}">
              <a16:creationId xmlns:a16="http://schemas.microsoft.com/office/drawing/2014/main" id="{A30ABE84-B40F-4F4E-A160-EEDBE583E48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11" name="Text Box 1">
          <a:extLst>
            <a:ext uri="{FF2B5EF4-FFF2-40B4-BE49-F238E27FC236}">
              <a16:creationId xmlns:a16="http://schemas.microsoft.com/office/drawing/2014/main" id="{45F80361-4B46-4917-A873-3539841676B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12" name="Text Box 1">
          <a:extLst>
            <a:ext uri="{FF2B5EF4-FFF2-40B4-BE49-F238E27FC236}">
              <a16:creationId xmlns:a16="http://schemas.microsoft.com/office/drawing/2014/main" id="{1C4DC5AE-EBF1-44D4-829F-2F925B58F33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13" name="Text Box 1">
          <a:extLst>
            <a:ext uri="{FF2B5EF4-FFF2-40B4-BE49-F238E27FC236}">
              <a16:creationId xmlns:a16="http://schemas.microsoft.com/office/drawing/2014/main" id="{3556F81F-A586-43D0-9385-B4345D33298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14" name="Text Box 1">
          <a:extLst>
            <a:ext uri="{FF2B5EF4-FFF2-40B4-BE49-F238E27FC236}">
              <a16:creationId xmlns:a16="http://schemas.microsoft.com/office/drawing/2014/main" id="{B783E0FA-4953-46F8-AD10-AA7BE18BB94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15" name="Text Box 1">
          <a:extLst>
            <a:ext uri="{FF2B5EF4-FFF2-40B4-BE49-F238E27FC236}">
              <a16:creationId xmlns:a16="http://schemas.microsoft.com/office/drawing/2014/main" id="{DC79152C-F857-49FC-BF86-180CFD47BD8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16" name="Text Box 1">
          <a:extLst>
            <a:ext uri="{FF2B5EF4-FFF2-40B4-BE49-F238E27FC236}">
              <a16:creationId xmlns:a16="http://schemas.microsoft.com/office/drawing/2014/main" id="{F9FE4187-35BD-4E71-8512-034EE184BB0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17" name="Text Box 1">
          <a:extLst>
            <a:ext uri="{FF2B5EF4-FFF2-40B4-BE49-F238E27FC236}">
              <a16:creationId xmlns:a16="http://schemas.microsoft.com/office/drawing/2014/main" id="{848DC246-4B25-4BD2-ABDE-26D1D12FE18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18" name="Text Box 1">
          <a:extLst>
            <a:ext uri="{FF2B5EF4-FFF2-40B4-BE49-F238E27FC236}">
              <a16:creationId xmlns:a16="http://schemas.microsoft.com/office/drawing/2014/main" id="{434FFCD6-ED2D-4AB0-82EF-9F476008256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19" name="Text Box 1">
          <a:extLst>
            <a:ext uri="{FF2B5EF4-FFF2-40B4-BE49-F238E27FC236}">
              <a16:creationId xmlns:a16="http://schemas.microsoft.com/office/drawing/2014/main" id="{BACA372E-E4AD-4C57-B022-B8231B27424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20" name="Text Box 1">
          <a:extLst>
            <a:ext uri="{FF2B5EF4-FFF2-40B4-BE49-F238E27FC236}">
              <a16:creationId xmlns:a16="http://schemas.microsoft.com/office/drawing/2014/main" id="{601086C4-9738-4E5E-8F00-1A9F656BDD8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21" name="Text Box 1">
          <a:extLst>
            <a:ext uri="{FF2B5EF4-FFF2-40B4-BE49-F238E27FC236}">
              <a16:creationId xmlns:a16="http://schemas.microsoft.com/office/drawing/2014/main" id="{F4B5EC73-5B72-4D1F-A6C8-C7C8F988B63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22" name="Text Box 1">
          <a:extLst>
            <a:ext uri="{FF2B5EF4-FFF2-40B4-BE49-F238E27FC236}">
              <a16:creationId xmlns:a16="http://schemas.microsoft.com/office/drawing/2014/main" id="{1D89B2D8-B160-44FB-B23C-A4D7987C7AA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23" name="Text Box 1">
          <a:extLst>
            <a:ext uri="{FF2B5EF4-FFF2-40B4-BE49-F238E27FC236}">
              <a16:creationId xmlns:a16="http://schemas.microsoft.com/office/drawing/2014/main" id="{EF294626-0101-41DE-BAD1-4BAC809177D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24" name="Text Box 1">
          <a:extLst>
            <a:ext uri="{FF2B5EF4-FFF2-40B4-BE49-F238E27FC236}">
              <a16:creationId xmlns:a16="http://schemas.microsoft.com/office/drawing/2014/main" id="{20FE5395-AAC1-4E5A-ACF6-147D3213A69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25" name="Text Box 1">
          <a:extLst>
            <a:ext uri="{FF2B5EF4-FFF2-40B4-BE49-F238E27FC236}">
              <a16:creationId xmlns:a16="http://schemas.microsoft.com/office/drawing/2014/main" id="{A756A6D9-8F56-434A-9B6B-1614FD083DC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26" name="Text Box 1">
          <a:extLst>
            <a:ext uri="{FF2B5EF4-FFF2-40B4-BE49-F238E27FC236}">
              <a16:creationId xmlns:a16="http://schemas.microsoft.com/office/drawing/2014/main" id="{AFF9C452-2700-482E-9E02-250DA32A94E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27" name="Text Box 1">
          <a:extLst>
            <a:ext uri="{FF2B5EF4-FFF2-40B4-BE49-F238E27FC236}">
              <a16:creationId xmlns:a16="http://schemas.microsoft.com/office/drawing/2014/main" id="{5ADF1C05-13F7-4819-8090-9DBCB578C33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28" name="Text Box 1">
          <a:extLst>
            <a:ext uri="{FF2B5EF4-FFF2-40B4-BE49-F238E27FC236}">
              <a16:creationId xmlns:a16="http://schemas.microsoft.com/office/drawing/2014/main" id="{5D27131E-31E1-4D06-BE45-25053381C7B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29" name="Text Box 1">
          <a:extLst>
            <a:ext uri="{FF2B5EF4-FFF2-40B4-BE49-F238E27FC236}">
              <a16:creationId xmlns:a16="http://schemas.microsoft.com/office/drawing/2014/main" id="{59F7EB8F-9487-4D47-BD5E-2FB7D5A1B82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30" name="Text Box 1">
          <a:extLst>
            <a:ext uri="{FF2B5EF4-FFF2-40B4-BE49-F238E27FC236}">
              <a16:creationId xmlns:a16="http://schemas.microsoft.com/office/drawing/2014/main" id="{D254D6AB-9DB5-4062-AC8B-09D0B1B33AF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31" name="Text Box 1">
          <a:extLst>
            <a:ext uri="{FF2B5EF4-FFF2-40B4-BE49-F238E27FC236}">
              <a16:creationId xmlns:a16="http://schemas.microsoft.com/office/drawing/2014/main" id="{464329C1-B138-404A-A19D-58A2FDF16E8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32" name="Text Box 1">
          <a:extLst>
            <a:ext uri="{FF2B5EF4-FFF2-40B4-BE49-F238E27FC236}">
              <a16:creationId xmlns:a16="http://schemas.microsoft.com/office/drawing/2014/main" id="{4220661D-5B59-4756-9A1A-6B7E5BD3B0E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33" name="Text Box 1">
          <a:extLst>
            <a:ext uri="{FF2B5EF4-FFF2-40B4-BE49-F238E27FC236}">
              <a16:creationId xmlns:a16="http://schemas.microsoft.com/office/drawing/2014/main" id="{B02564BB-BADE-479D-B0CE-01A2FC12CD7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34" name="Text Box 1">
          <a:extLst>
            <a:ext uri="{FF2B5EF4-FFF2-40B4-BE49-F238E27FC236}">
              <a16:creationId xmlns:a16="http://schemas.microsoft.com/office/drawing/2014/main" id="{40640EB5-AB5D-45BA-8110-21307196C42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35" name="Text Box 1">
          <a:extLst>
            <a:ext uri="{FF2B5EF4-FFF2-40B4-BE49-F238E27FC236}">
              <a16:creationId xmlns:a16="http://schemas.microsoft.com/office/drawing/2014/main" id="{E5C0881A-C5C3-426E-B44A-C7D004709A7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36" name="Text Box 1">
          <a:extLst>
            <a:ext uri="{FF2B5EF4-FFF2-40B4-BE49-F238E27FC236}">
              <a16:creationId xmlns:a16="http://schemas.microsoft.com/office/drawing/2014/main" id="{63AF6C99-D5ED-4C16-9306-D3372792FB7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37" name="Text Box 1">
          <a:extLst>
            <a:ext uri="{FF2B5EF4-FFF2-40B4-BE49-F238E27FC236}">
              <a16:creationId xmlns:a16="http://schemas.microsoft.com/office/drawing/2014/main" id="{808FA3C8-7551-459B-B8D3-3FD3AEE286B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38" name="Text Box 1">
          <a:extLst>
            <a:ext uri="{FF2B5EF4-FFF2-40B4-BE49-F238E27FC236}">
              <a16:creationId xmlns:a16="http://schemas.microsoft.com/office/drawing/2014/main" id="{5621C130-8446-4607-8847-CBBADCD0789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39" name="Text Box 1">
          <a:extLst>
            <a:ext uri="{FF2B5EF4-FFF2-40B4-BE49-F238E27FC236}">
              <a16:creationId xmlns:a16="http://schemas.microsoft.com/office/drawing/2014/main" id="{11FF4AB1-38C0-4D75-8B60-8698FA78725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40" name="Text Box 1">
          <a:extLst>
            <a:ext uri="{FF2B5EF4-FFF2-40B4-BE49-F238E27FC236}">
              <a16:creationId xmlns:a16="http://schemas.microsoft.com/office/drawing/2014/main" id="{13560B1F-4A5D-4283-9B6E-F36258878FA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41" name="Text Box 1">
          <a:extLst>
            <a:ext uri="{FF2B5EF4-FFF2-40B4-BE49-F238E27FC236}">
              <a16:creationId xmlns:a16="http://schemas.microsoft.com/office/drawing/2014/main" id="{0D1B676B-27EE-407E-9B05-7B2260C97FE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42" name="Text Box 1">
          <a:extLst>
            <a:ext uri="{FF2B5EF4-FFF2-40B4-BE49-F238E27FC236}">
              <a16:creationId xmlns:a16="http://schemas.microsoft.com/office/drawing/2014/main" id="{75A40724-E7EB-4616-8C89-0B335C6586F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43" name="Text Box 1">
          <a:extLst>
            <a:ext uri="{FF2B5EF4-FFF2-40B4-BE49-F238E27FC236}">
              <a16:creationId xmlns:a16="http://schemas.microsoft.com/office/drawing/2014/main" id="{CF6571F4-35BC-46CF-ADE3-7C1D0A48084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44" name="Text Box 1">
          <a:extLst>
            <a:ext uri="{FF2B5EF4-FFF2-40B4-BE49-F238E27FC236}">
              <a16:creationId xmlns:a16="http://schemas.microsoft.com/office/drawing/2014/main" id="{FAC4E021-2882-4F41-886A-8F33AA8FB1C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45" name="Text Box 1">
          <a:extLst>
            <a:ext uri="{FF2B5EF4-FFF2-40B4-BE49-F238E27FC236}">
              <a16:creationId xmlns:a16="http://schemas.microsoft.com/office/drawing/2014/main" id="{05EA8563-395A-4E89-8E9A-5D513E694DA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46" name="Text Box 1">
          <a:extLst>
            <a:ext uri="{FF2B5EF4-FFF2-40B4-BE49-F238E27FC236}">
              <a16:creationId xmlns:a16="http://schemas.microsoft.com/office/drawing/2014/main" id="{056C7C30-F7BD-4C45-BB61-2049634F02E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47" name="Text Box 1">
          <a:extLst>
            <a:ext uri="{FF2B5EF4-FFF2-40B4-BE49-F238E27FC236}">
              <a16:creationId xmlns:a16="http://schemas.microsoft.com/office/drawing/2014/main" id="{B8EE23CA-7FD5-4465-B92F-C9D61DDA134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48" name="Text Box 1">
          <a:extLst>
            <a:ext uri="{FF2B5EF4-FFF2-40B4-BE49-F238E27FC236}">
              <a16:creationId xmlns:a16="http://schemas.microsoft.com/office/drawing/2014/main" id="{988C19EF-B09B-4A26-80E7-38735A01300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49" name="Text Box 1">
          <a:extLst>
            <a:ext uri="{FF2B5EF4-FFF2-40B4-BE49-F238E27FC236}">
              <a16:creationId xmlns:a16="http://schemas.microsoft.com/office/drawing/2014/main" id="{54252EE8-3372-426F-9615-338F1F365A1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50" name="Text Box 1">
          <a:extLst>
            <a:ext uri="{FF2B5EF4-FFF2-40B4-BE49-F238E27FC236}">
              <a16:creationId xmlns:a16="http://schemas.microsoft.com/office/drawing/2014/main" id="{8A2CB446-9D16-4BA1-AB41-A26FA46E3F0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51" name="Text Box 1">
          <a:extLst>
            <a:ext uri="{FF2B5EF4-FFF2-40B4-BE49-F238E27FC236}">
              <a16:creationId xmlns:a16="http://schemas.microsoft.com/office/drawing/2014/main" id="{BDCB3E04-3F4E-4C4B-A359-034F0380F44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52" name="Text Box 1">
          <a:extLst>
            <a:ext uri="{FF2B5EF4-FFF2-40B4-BE49-F238E27FC236}">
              <a16:creationId xmlns:a16="http://schemas.microsoft.com/office/drawing/2014/main" id="{47D3D503-1F06-47B7-9780-26B291F5C2F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53" name="Text Box 1">
          <a:extLst>
            <a:ext uri="{FF2B5EF4-FFF2-40B4-BE49-F238E27FC236}">
              <a16:creationId xmlns:a16="http://schemas.microsoft.com/office/drawing/2014/main" id="{19830BC9-C7F0-461B-8FEB-A9D5CC15CD2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54" name="Text Box 1">
          <a:extLst>
            <a:ext uri="{FF2B5EF4-FFF2-40B4-BE49-F238E27FC236}">
              <a16:creationId xmlns:a16="http://schemas.microsoft.com/office/drawing/2014/main" id="{92A0E8FB-F8D1-4AE3-B816-20C5811844E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55" name="Text Box 1">
          <a:extLst>
            <a:ext uri="{FF2B5EF4-FFF2-40B4-BE49-F238E27FC236}">
              <a16:creationId xmlns:a16="http://schemas.microsoft.com/office/drawing/2014/main" id="{08CB0947-7ED1-4CE0-9B41-0EAB2869E01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56" name="Text Box 1">
          <a:extLst>
            <a:ext uri="{FF2B5EF4-FFF2-40B4-BE49-F238E27FC236}">
              <a16:creationId xmlns:a16="http://schemas.microsoft.com/office/drawing/2014/main" id="{7BD70272-CBB5-4508-8863-CE4E5F65DBC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57" name="Text Box 1">
          <a:extLst>
            <a:ext uri="{FF2B5EF4-FFF2-40B4-BE49-F238E27FC236}">
              <a16:creationId xmlns:a16="http://schemas.microsoft.com/office/drawing/2014/main" id="{EF79A086-DE9F-47BC-839D-FD76842931B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58" name="Text Box 1">
          <a:extLst>
            <a:ext uri="{FF2B5EF4-FFF2-40B4-BE49-F238E27FC236}">
              <a16:creationId xmlns:a16="http://schemas.microsoft.com/office/drawing/2014/main" id="{CD1114D3-A179-445F-9125-6094D5A7AE1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59" name="Text Box 1">
          <a:extLst>
            <a:ext uri="{FF2B5EF4-FFF2-40B4-BE49-F238E27FC236}">
              <a16:creationId xmlns:a16="http://schemas.microsoft.com/office/drawing/2014/main" id="{4A3DCBB2-D6FB-4F73-A689-2E062A8AC4D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60" name="Text Box 1">
          <a:extLst>
            <a:ext uri="{FF2B5EF4-FFF2-40B4-BE49-F238E27FC236}">
              <a16:creationId xmlns:a16="http://schemas.microsoft.com/office/drawing/2014/main" id="{3071EA59-FE10-4C08-B887-5D94C3EACA2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61" name="Text Box 1">
          <a:extLst>
            <a:ext uri="{FF2B5EF4-FFF2-40B4-BE49-F238E27FC236}">
              <a16:creationId xmlns:a16="http://schemas.microsoft.com/office/drawing/2014/main" id="{BF57B181-AA3B-4B1B-AF97-9E6BC396BB6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62" name="Text Box 1">
          <a:extLst>
            <a:ext uri="{FF2B5EF4-FFF2-40B4-BE49-F238E27FC236}">
              <a16:creationId xmlns:a16="http://schemas.microsoft.com/office/drawing/2014/main" id="{BC23A2DA-62E2-4B24-AD2E-34589582382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63" name="Text Box 1">
          <a:extLst>
            <a:ext uri="{FF2B5EF4-FFF2-40B4-BE49-F238E27FC236}">
              <a16:creationId xmlns:a16="http://schemas.microsoft.com/office/drawing/2014/main" id="{D1454081-1DB7-4B55-81DA-2F4FD0A9238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64" name="Text Box 1">
          <a:extLst>
            <a:ext uri="{FF2B5EF4-FFF2-40B4-BE49-F238E27FC236}">
              <a16:creationId xmlns:a16="http://schemas.microsoft.com/office/drawing/2014/main" id="{A7015253-F342-4078-B5C3-2C0DB6C81AD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65" name="Text Box 1">
          <a:extLst>
            <a:ext uri="{FF2B5EF4-FFF2-40B4-BE49-F238E27FC236}">
              <a16:creationId xmlns:a16="http://schemas.microsoft.com/office/drawing/2014/main" id="{870C2612-CEB9-4930-B8C9-117C79CC387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66" name="Text Box 1">
          <a:extLst>
            <a:ext uri="{FF2B5EF4-FFF2-40B4-BE49-F238E27FC236}">
              <a16:creationId xmlns:a16="http://schemas.microsoft.com/office/drawing/2014/main" id="{5C379E80-F1BD-496D-8DBB-6387D7C2B79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67" name="Text Box 1">
          <a:extLst>
            <a:ext uri="{FF2B5EF4-FFF2-40B4-BE49-F238E27FC236}">
              <a16:creationId xmlns:a16="http://schemas.microsoft.com/office/drawing/2014/main" id="{7368B42E-BF08-4E16-ACE0-002F042B0CF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68" name="Text Box 1">
          <a:extLst>
            <a:ext uri="{FF2B5EF4-FFF2-40B4-BE49-F238E27FC236}">
              <a16:creationId xmlns:a16="http://schemas.microsoft.com/office/drawing/2014/main" id="{CCE37554-00D9-474E-BF3D-FE6B53E6118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69" name="Text Box 1">
          <a:extLst>
            <a:ext uri="{FF2B5EF4-FFF2-40B4-BE49-F238E27FC236}">
              <a16:creationId xmlns:a16="http://schemas.microsoft.com/office/drawing/2014/main" id="{6EB2FB78-35AB-4846-BD4B-A4D4732DF33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70" name="Text Box 1">
          <a:extLst>
            <a:ext uri="{FF2B5EF4-FFF2-40B4-BE49-F238E27FC236}">
              <a16:creationId xmlns:a16="http://schemas.microsoft.com/office/drawing/2014/main" id="{A1A338C2-9711-40FD-BB57-8D71C22F2F5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71" name="Text Box 1">
          <a:extLst>
            <a:ext uri="{FF2B5EF4-FFF2-40B4-BE49-F238E27FC236}">
              <a16:creationId xmlns:a16="http://schemas.microsoft.com/office/drawing/2014/main" id="{5B7E4707-364D-42E8-8108-3B822660365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72" name="Text Box 1">
          <a:extLst>
            <a:ext uri="{FF2B5EF4-FFF2-40B4-BE49-F238E27FC236}">
              <a16:creationId xmlns:a16="http://schemas.microsoft.com/office/drawing/2014/main" id="{C817EB6B-1269-4377-BAEA-6D936B313A0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73" name="Text Box 1">
          <a:extLst>
            <a:ext uri="{FF2B5EF4-FFF2-40B4-BE49-F238E27FC236}">
              <a16:creationId xmlns:a16="http://schemas.microsoft.com/office/drawing/2014/main" id="{AC1E97EE-96BC-4BC6-9861-82B87A6C37E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74" name="Text Box 1">
          <a:extLst>
            <a:ext uri="{FF2B5EF4-FFF2-40B4-BE49-F238E27FC236}">
              <a16:creationId xmlns:a16="http://schemas.microsoft.com/office/drawing/2014/main" id="{B49CDD5C-896F-4CEE-A18F-F4C38198890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75" name="Text Box 1">
          <a:extLst>
            <a:ext uri="{FF2B5EF4-FFF2-40B4-BE49-F238E27FC236}">
              <a16:creationId xmlns:a16="http://schemas.microsoft.com/office/drawing/2014/main" id="{1C4299B3-800E-4B86-B8BD-794E551FC1F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76" name="Text Box 1">
          <a:extLst>
            <a:ext uri="{FF2B5EF4-FFF2-40B4-BE49-F238E27FC236}">
              <a16:creationId xmlns:a16="http://schemas.microsoft.com/office/drawing/2014/main" id="{6EBE5D77-B461-49C1-85CF-81EEAFD7089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77" name="Text Box 1">
          <a:extLst>
            <a:ext uri="{FF2B5EF4-FFF2-40B4-BE49-F238E27FC236}">
              <a16:creationId xmlns:a16="http://schemas.microsoft.com/office/drawing/2014/main" id="{5FC42A63-FED9-46B3-92FF-610EEB0B142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78" name="Text Box 1">
          <a:extLst>
            <a:ext uri="{FF2B5EF4-FFF2-40B4-BE49-F238E27FC236}">
              <a16:creationId xmlns:a16="http://schemas.microsoft.com/office/drawing/2014/main" id="{2B7AE54B-EA87-406C-ACB8-AC9C0855369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79" name="Text Box 1">
          <a:extLst>
            <a:ext uri="{FF2B5EF4-FFF2-40B4-BE49-F238E27FC236}">
              <a16:creationId xmlns:a16="http://schemas.microsoft.com/office/drawing/2014/main" id="{1A6EFC60-D6F4-4092-A5FC-01AE566C8DA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80" name="Text Box 1">
          <a:extLst>
            <a:ext uri="{FF2B5EF4-FFF2-40B4-BE49-F238E27FC236}">
              <a16:creationId xmlns:a16="http://schemas.microsoft.com/office/drawing/2014/main" id="{3A3697C8-E822-4416-8BF3-E3732207C56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81" name="Text Box 1">
          <a:extLst>
            <a:ext uri="{FF2B5EF4-FFF2-40B4-BE49-F238E27FC236}">
              <a16:creationId xmlns:a16="http://schemas.microsoft.com/office/drawing/2014/main" id="{4BC402C5-F2D7-4ED4-869C-F29711AE831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82" name="Text Box 1">
          <a:extLst>
            <a:ext uri="{FF2B5EF4-FFF2-40B4-BE49-F238E27FC236}">
              <a16:creationId xmlns:a16="http://schemas.microsoft.com/office/drawing/2014/main" id="{F511465E-17FB-47E0-9FF2-1FF8C4C0847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83" name="Text Box 1">
          <a:extLst>
            <a:ext uri="{FF2B5EF4-FFF2-40B4-BE49-F238E27FC236}">
              <a16:creationId xmlns:a16="http://schemas.microsoft.com/office/drawing/2014/main" id="{3752B427-E1F0-420C-A5DD-7A2FD66F87C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84" name="Text Box 1">
          <a:extLst>
            <a:ext uri="{FF2B5EF4-FFF2-40B4-BE49-F238E27FC236}">
              <a16:creationId xmlns:a16="http://schemas.microsoft.com/office/drawing/2014/main" id="{BA717E09-17AB-4123-BF5A-1A727292D3B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85" name="Text Box 1">
          <a:extLst>
            <a:ext uri="{FF2B5EF4-FFF2-40B4-BE49-F238E27FC236}">
              <a16:creationId xmlns:a16="http://schemas.microsoft.com/office/drawing/2014/main" id="{9321A3DC-D563-4455-B31E-EB3D8195B3E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86" name="Text Box 1">
          <a:extLst>
            <a:ext uri="{FF2B5EF4-FFF2-40B4-BE49-F238E27FC236}">
              <a16:creationId xmlns:a16="http://schemas.microsoft.com/office/drawing/2014/main" id="{E2A87380-E12F-43E1-9055-B463E37EEE2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87" name="Text Box 1">
          <a:extLst>
            <a:ext uri="{FF2B5EF4-FFF2-40B4-BE49-F238E27FC236}">
              <a16:creationId xmlns:a16="http://schemas.microsoft.com/office/drawing/2014/main" id="{767975E7-6648-4392-BBB1-B5159E10FB2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88" name="Text Box 1">
          <a:extLst>
            <a:ext uri="{FF2B5EF4-FFF2-40B4-BE49-F238E27FC236}">
              <a16:creationId xmlns:a16="http://schemas.microsoft.com/office/drawing/2014/main" id="{EDAEC70E-F499-48FF-AD40-28A64E62C04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89" name="Text Box 1">
          <a:extLst>
            <a:ext uri="{FF2B5EF4-FFF2-40B4-BE49-F238E27FC236}">
              <a16:creationId xmlns:a16="http://schemas.microsoft.com/office/drawing/2014/main" id="{2127C43C-D575-43B8-9E73-A866BE39922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90" name="Text Box 1">
          <a:extLst>
            <a:ext uri="{FF2B5EF4-FFF2-40B4-BE49-F238E27FC236}">
              <a16:creationId xmlns:a16="http://schemas.microsoft.com/office/drawing/2014/main" id="{CC0A03E6-9948-4C57-89AD-D01071E39CE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91" name="Text Box 1">
          <a:extLst>
            <a:ext uri="{FF2B5EF4-FFF2-40B4-BE49-F238E27FC236}">
              <a16:creationId xmlns:a16="http://schemas.microsoft.com/office/drawing/2014/main" id="{7ABD2550-75E6-43E2-B4EF-60A72BAAC10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92" name="Text Box 1">
          <a:extLst>
            <a:ext uri="{FF2B5EF4-FFF2-40B4-BE49-F238E27FC236}">
              <a16:creationId xmlns:a16="http://schemas.microsoft.com/office/drawing/2014/main" id="{E4F820D3-3EDF-41FF-BF69-F51754E37F6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93" name="Text Box 1">
          <a:extLst>
            <a:ext uri="{FF2B5EF4-FFF2-40B4-BE49-F238E27FC236}">
              <a16:creationId xmlns:a16="http://schemas.microsoft.com/office/drawing/2014/main" id="{68A26B10-2540-4FCF-B04F-2FE3A9DD852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94" name="Text Box 1">
          <a:extLst>
            <a:ext uri="{FF2B5EF4-FFF2-40B4-BE49-F238E27FC236}">
              <a16:creationId xmlns:a16="http://schemas.microsoft.com/office/drawing/2014/main" id="{552EAC00-516D-4F19-BECA-188A98DE9F6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95" name="Text Box 1">
          <a:extLst>
            <a:ext uri="{FF2B5EF4-FFF2-40B4-BE49-F238E27FC236}">
              <a16:creationId xmlns:a16="http://schemas.microsoft.com/office/drawing/2014/main" id="{2B247633-B09B-40AA-8BF0-32D31E226AF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96" name="Text Box 1">
          <a:extLst>
            <a:ext uri="{FF2B5EF4-FFF2-40B4-BE49-F238E27FC236}">
              <a16:creationId xmlns:a16="http://schemas.microsoft.com/office/drawing/2014/main" id="{F79025FC-3D54-48BD-B180-C1992456EC1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97" name="Text Box 1">
          <a:extLst>
            <a:ext uri="{FF2B5EF4-FFF2-40B4-BE49-F238E27FC236}">
              <a16:creationId xmlns:a16="http://schemas.microsoft.com/office/drawing/2014/main" id="{FF990E4E-A4EC-4259-A730-47C1DD37F80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98" name="Text Box 1">
          <a:extLst>
            <a:ext uri="{FF2B5EF4-FFF2-40B4-BE49-F238E27FC236}">
              <a16:creationId xmlns:a16="http://schemas.microsoft.com/office/drawing/2014/main" id="{EA780E23-7E2F-4F77-A585-9D2F2E3C7ED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499" name="Text Box 1">
          <a:extLst>
            <a:ext uri="{FF2B5EF4-FFF2-40B4-BE49-F238E27FC236}">
              <a16:creationId xmlns:a16="http://schemas.microsoft.com/office/drawing/2014/main" id="{52B621DC-F25B-4DFD-A1D1-1DF152B4D2C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00" name="Text Box 1">
          <a:extLst>
            <a:ext uri="{FF2B5EF4-FFF2-40B4-BE49-F238E27FC236}">
              <a16:creationId xmlns:a16="http://schemas.microsoft.com/office/drawing/2014/main" id="{5033AA2D-AE10-4963-A92E-89DD384746B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01" name="Text Box 1">
          <a:extLst>
            <a:ext uri="{FF2B5EF4-FFF2-40B4-BE49-F238E27FC236}">
              <a16:creationId xmlns:a16="http://schemas.microsoft.com/office/drawing/2014/main" id="{4D0D6356-4F12-490F-B2A9-A2C0B01C597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02" name="Text Box 1">
          <a:extLst>
            <a:ext uri="{FF2B5EF4-FFF2-40B4-BE49-F238E27FC236}">
              <a16:creationId xmlns:a16="http://schemas.microsoft.com/office/drawing/2014/main" id="{F6CFA696-2F85-42BD-9C98-CE7A6C2DB56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03" name="Text Box 1">
          <a:extLst>
            <a:ext uri="{FF2B5EF4-FFF2-40B4-BE49-F238E27FC236}">
              <a16:creationId xmlns:a16="http://schemas.microsoft.com/office/drawing/2014/main" id="{517AB9A9-C70A-42CB-B3D1-665B3665355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04" name="Text Box 1">
          <a:extLst>
            <a:ext uri="{FF2B5EF4-FFF2-40B4-BE49-F238E27FC236}">
              <a16:creationId xmlns:a16="http://schemas.microsoft.com/office/drawing/2014/main" id="{BC91D44C-55E7-4F48-90D9-5B22BD87AF0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05" name="Text Box 1">
          <a:extLst>
            <a:ext uri="{FF2B5EF4-FFF2-40B4-BE49-F238E27FC236}">
              <a16:creationId xmlns:a16="http://schemas.microsoft.com/office/drawing/2014/main" id="{70863D50-5AD3-495F-B64C-6F029C61CAE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06" name="Text Box 1">
          <a:extLst>
            <a:ext uri="{FF2B5EF4-FFF2-40B4-BE49-F238E27FC236}">
              <a16:creationId xmlns:a16="http://schemas.microsoft.com/office/drawing/2014/main" id="{6797BE92-294C-429E-82FE-306654EEFE8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07" name="Text Box 1">
          <a:extLst>
            <a:ext uri="{FF2B5EF4-FFF2-40B4-BE49-F238E27FC236}">
              <a16:creationId xmlns:a16="http://schemas.microsoft.com/office/drawing/2014/main" id="{2F2123A3-C051-490F-B462-C6C94BE7269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08" name="Text Box 1">
          <a:extLst>
            <a:ext uri="{FF2B5EF4-FFF2-40B4-BE49-F238E27FC236}">
              <a16:creationId xmlns:a16="http://schemas.microsoft.com/office/drawing/2014/main" id="{8F14A1CE-73F7-4C18-B077-C0C73EE3F60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09" name="Text Box 1">
          <a:extLst>
            <a:ext uri="{FF2B5EF4-FFF2-40B4-BE49-F238E27FC236}">
              <a16:creationId xmlns:a16="http://schemas.microsoft.com/office/drawing/2014/main" id="{C4703751-0E39-4F2E-8E74-885F39CEF03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10" name="Text Box 1">
          <a:extLst>
            <a:ext uri="{FF2B5EF4-FFF2-40B4-BE49-F238E27FC236}">
              <a16:creationId xmlns:a16="http://schemas.microsoft.com/office/drawing/2014/main" id="{45410EF5-1417-437E-A80A-1DFBC2E349F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11" name="Text Box 1">
          <a:extLst>
            <a:ext uri="{FF2B5EF4-FFF2-40B4-BE49-F238E27FC236}">
              <a16:creationId xmlns:a16="http://schemas.microsoft.com/office/drawing/2014/main" id="{AF4C2EC1-055A-4260-BB52-82A23AA73E4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12" name="Text Box 1">
          <a:extLst>
            <a:ext uri="{FF2B5EF4-FFF2-40B4-BE49-F238E27FC236}">
              <a16:creationId xmlns:a16="http://schemas.microsoft.com/office/drawing/2014/main" id="{F92C340A-D283-4553-8C19-6F582BF252D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13" name="Text Box 1">
          <a:extLst>
            <a:ext uri="{FF2B5EF4-FFF2-40B4-BE49-F238E27FC236}">
              <a16:creationId xmlns:a16="http://schemas.microsoft.com/office/drawing/2014/main" id="{57D3EBFF-C535-4DA7-BE5E-1783DAAB02B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14" name="Text Box 1">
          <a:extLst>
            <a:ext uri="{FF2B5EF4-FFF2-40B4-BE49-F238E27FC236}">
              <a16:creationId xmlns:a16="http://schemas.microsoft.com/office/drawing/2014/main" id="{B5F5F409-0E9A-4EB8-877F-79AB1A284E8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15" name="Text Box 1">
          <a:extLst>
            <a:ext uri="{FF2B5EF4-FFF2-40B4-BE49-F238E27FC236}">
              <a16:creationId xmlns:a16="http://schemas.microsoft.com/office/drawing/2014/main" id="{2781D20A-E4B8-4FEF-AC1E-90F99BC1C99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16" name="Text Box 1">
          <a:extLst>
            <a:ext uri="{FF2B5EF4-FFF2-40B4-BE49-F238E27FC236}">
              <a16:creationId xmlns:a16="http://schemas.microsoft.com/office/drawing/2014/main" id="{96704AA3-E3E7-46E3-9A55-42B78C6316B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17" name="Text Box 1">
          <a:extLst>
            <a:ext uri="{FF2B5EF4-FFF2-40B4-BE49-F238E27FC236}">
              <a16:creationId xmlns:a16="http://schemas.microsoft.com/office/drawing/2014/main" id="{E7454AEC-A7EB-4ECF-9718-0B8459AA831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18" name="Text Box 1">
          <a:extLst>
            <a:ext uri="{FF2B5EF4-FFF2-40B4-BE49-F238E27FC236}">
              <a16:creationId xmlns:a16="http://schemas.microsoft.com/office/drawing/2014/main" id="{C48EB22A-1F93-49EB-A19B-10B4ECD887B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19" name="Text Box 1">
          <a:extLst>
            <a:ext uri="{FF2B5EF4-FFF2-40B4-BE49-F238E27FC236}">
              <a16:creationId xmlns:a16="http://schemas.microsoft.com/office/drawing/2014/main" id="{C7E3F55F-09D2-471F-9A12-8F1A1E8ECF2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20" name="Text Box 1">
          <a:extLst>
            <a:ext uri="{FF2B5EF4-FFF2-40B4-BE49-F238E27FC236}">
              <a16:creationId xmlns:a16="http://schemas.microsoft.com/office/drawing/2014/main" id="{CAEA334E-9760-4BFD-B3C2-44689243197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21" name="Text Box 1">
          <a:extLst>
            <a:ext uri="{FF2B5EF4-FFF2-40B4-BE49-F238E27FC236}">
              <a16:creationId xmlns:a16="http://schemas.microsoft.com/office/drawing/2014/main" id="{09615DC9-63E8-49A7-B36D-5BE5C0E2BAA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22" name="Text Box 1">
          <a:extLst>
            <a:ext uri="{FF2B5EF4-FFF2-40B4-BE49-F238E27FC236}">
              <a16:creationId xmlns:a16="http://schemas.microsoft.com/office/drawing/2014/main" id="{1BBE5D42-AFB8-498B-B3AF-432377874E2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23" name="Text Box 1">
          <a:extLst>
            <a:ext uri="{FF2B5EF4-FFF2-40B4-BE49-F238E27FC236}">
              <a16:creationId xmlns:a16="http://schemas.microsoft.com/office/drawing/2014/main" id="{06BC54BF-D9D6-4CE5-A82A-9FB54AC0525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24" name="Text Box 1">
          <a:extLst>
            <a:ext uri="{FF2B5EF4-FFF2-40B4-BE49-F238E27FC236}">
              <a16:creationId xmlns:a16="http://schemas.microsoft.com/office/drawing/2014/main" id="{9FFD3DAD-961E-4C10-BDFA-0B5ACB68F5A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25" name="Text Box 1">
          <a:extLst>
            <a:ext uri="{FF2B5EF4-FFF2-40B4-BE49-F238E27FC236}">
              <a16:creationId xmlns:a16="http://schemas.microsoft.com/office/drawing/2014/main" id="{0FA29C96-0103-46A9-905E-A89E1F1B1FC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26" name="Text Box 1">
          <a:extLst>
            <a:ext uri="{FF2B5EF4-FFF2-40B4-BE49-F238E27FC236}">
              <a16:creationId xmlns:a16="http://schemas.microsoft.com/office/drawing/2014/main" id="{57C4209D-7C6E-4E1B-A2D6-6D527A11826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27" name="Text Box 1">
          <a:extLst>
            <a:ext uri="{FF2B5EF4-FFF2-40B4-BE49-F238E27FC236}">
              <a16:creationId xmlns:a16="http://schemas.microsoft.com/office/drawing/2014/main" id="{42D021D1-84ED-4519-999C-5BE1CD46385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28" name="Text Box 1">
          <a:extLst>
            <a:ext uri="{FF2B5EF4-FFF2-40B4-BE49-F238E27FC236}">
              <a16:creationId xmlns:a16="http://schemas.microsoft.com/office/drawing/2014/main" id="{5DFD8207-67CC-4DF8-A335-40F4665AE66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29" name="Text Box 1">
          <a:extLst>
            <a:ext uri="{FF2B5EF4-FFF2-40B4-BE49-F238E27FC236}">
              <a16:creationId xmlns:a16="http://schemas.microsoft.com/office/drawing/2014/main" id="{0A9206DB-A02B-43AE-B23D-90661AAA0BB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30" name="Text Box 1">
          <a:extLst>
            <a:ext uri="{FF2B5EF4-FFF2-40B4-BE49-F238E27FC236}">
              <a16:creationId xmlns:a16="http://schemas.microsoft.com/office/drawing/2014/main" id="{283C7C8B-22CF-4670-A4B5-84FDD022D99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31" name="Text Box 1">
          <a:extLst>
            <a:ext uri="{FF2B5EF4-FFF2-40B4-BE49-F238E27FC236}">
              <a16:creationId xmlns:a16="http://schemas.microsoft.com/office/drawing/2014/main" id="{75C660B8-EBCC-4208-89D4-FFCD4BCF146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32" name="Text Box 1">
          <a:extLst>
            <a:ext uri="{FF2B5EF4-FFF2-40B4-BE49-F238E27FC236}">
              <a16:creationId xmlns:a16="http://schemas.microsoft.com/office/drawing/2014/main" id="{BD26C709-BF56-4FE2-8C5D-5D7E37E657E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33" name="Text Box 1">
          <a:extLst>
            <a:ext uri="{FF2B5EF4-FFF2-40B4-BE49-F238E27FC236}">
              <a16:creationId xmlns:a16="http://schemas.microsoft.com/office/drawing/2014/main" id="{14FB70B3-288E-489D-95CF-B930B396BED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34" name="Text Box 1">
          <a:extLst>
            <a:ext uri="{FF2B5EF4-FFF2-40B4-BE49-F238E27FC236}">
              <a16:creationId xmlns:a16="http://schemas.microsoft.com/office/drawing/2014/main" id="{BA525684-1808-4A96-8390-7CDB110DF51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35" name="Text Box 1">
          <a:extLst>
            <a:ext uri="{FF2B5EF4-FFF2-40B4-BE49-F238E27FC236}">
              <a16:creationId xmlns:a16="http://schemas.microsoft.com/office/drawing/2014/main" id="{07067868-B8E6-4600-BCB1-88F05D000CB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36" name="Text Box 1">
          <a:extLst>
            <a:ext uri="{FF2B5EF4-FFF2-40B4-BE49-F238E27FC236}">
              <a16:creationId xmlns:a16="http://schemas.microsoft.com/office/drawing/2014/main" id="{3671EA8D-BE5E-4107-BE11-34C5281D7EC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37" name="Text Box 1">
          <a:extLst>
            <a:ext uri="{FF2B5EF4-FFF2-40B4-BE49-F238E27FC236}">
              <a16:creationId xmlns:a16="http://schemas.microsoft.com/office/drawing/2014/main" id="{46E533B3-5249-4E6B-A6ED-DF92A14841C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38" name="Text Box 1">
          <a:extLst>
            <a:ext uri="{FF2B5EF4-FFF2-40B4-BE49-F238E27FC236}">
              <a16:creationId xmlns:a16="http://schemas.microsoft.com/office/drawing/2014/main" id="{615356D6-BB6B-4EB4-B433-A6820184DA1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39" name="Text Box 1">
          <a:extLst>
            <a:ext uri="{FF2B5EF4-FFF2-40B4-BE49-F238E27FC236}">
              <a16:creationId xmlns:a16="http://schemas.microsoft.com/office/drawing/2014/main" id="{E47A4753-5B4C-42EC-B287-987E8688033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40" name="Text Box 1">
          <a:extLst>
            <a:ext uri="{FF2B5EF4-FFF2-40B4-BE49-F238E27FC236}">
              <a16:creationId xmlns:a16="http://schemas.microsoft.com/office/drawing/2014/main" id="{73AEC890-8EBD-4E94-9773-8F48681BB8C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41" name="Text Box 1">
          <a:extLst>
            <a:ext uri="{FF2B5EF4-FFF2-40B4-BE49-F238E27FC236}">
              <a16:creationId xmlns:a16="http://schemas.microsoft.com/office/drawing/2014/main" id="{8F6A4ED2-AE39-4E0F-9203-28454B0FF33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42" name="Text Box 1">
          <a:extLst>
            <a:ext uri="{FF2B5EF4-FFF2-40B4-BE49-F238E27FC236}">
              <a16:creationId xmlns:a16="http://schemas.microsoft.com/office/drawing/2014/main" id="{63878FDF-A8A0-4F87-8E87-58AB4C81D9B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43" name="Text Box 1">
          <a:extLst>
            <a:ext uri="{FF2B5EF4-FFF2-40B4-BE49-F238E27FC236}">
              <a16:creationId xmlns:a16="http://schemas.microsoft.com/office/drawing/2014/main" id="{4B51B226-33EA-4F32-BAD3-B58FBECA81E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44" name="Text Box 1">
          <a:extLst>
            <a:ext uri="{FF2B5EF4-FFF2-40B4-BE49-F238E27FC236}">
              <a16:creationId xmlns:a16="http://schemas.microsoft.com/office/drawing/2014/main" id="{0E894299-7BE7-4E9E-A222-D31F8EB7E04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45" name="Text Box 1">
          <a:extLst>
            <a:ext uri="{FF2B5EF4-FFF2-40B4-BE49-F238E27FC236}">
              <a16:creationId xmlns:a16="http://schemas.microsoft.com/office/drawing/2014/main" id="{FAEA3DB0-A60D-4F3A-A950-CA1BBF63F61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46" name="Text Box 1">
          <a:extLst>
            <a:ext uri="{FF2B5EF4-FFF2-40B4-BE49-F238E27FC236}">
              <a16:creationId xmlns:a16="http://schemas.microsoft.com/office/drawing/2014/main" id="{1310C7EB-0927-4F60-8449-D76AD7D15A6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47" name="Text Box 1">
          <a:extLst>
            <a:ext uri="{FF2B5EF4-FFF2-40B4-BE49-F238E27FC236}">
              <a16:creationId xmlns:a16="http://schemas.microsoft.com/office/drawing/2014/main" id="{AF611894-2CDF-4E12-9491-E8BE1833DC8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48" name="Text Box 1">
          <a:extLst>
            <a:ext uri="{FF2B5EF4-FFF2-40B4-BE49-F238E27FC236}">
              <a16:creationId xmlns:a16="http://schemas.microsoft.com/office/drawing/2014/main" id="{14851C9C-A749-409B-9210-F458F08BEB1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49" name="Text Box 1">
          <a:extLst>
            <a:ext uri="{FF2B5EF4-FFF2-40B4-BE49-F238E27FC236}">
              <a16:creationId xmlns:a16="http://schemas.microsoft.com/office/drawing/2014/main" id="{D0650312-124B-45F0-8249-A2BCD9001C9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50" name="Text Box 1">
          <a:extLst>
            <a:ext uri="{FF2B5EF4-FFF2-40B4-BE49-F238E27FC236}">
              <a16:creationId xmlns:a16="http://schemas.microsoft.com/office/drawing/2014/main" id="{CD8548D4-1B1D-47A2-B30C-621842BEFF9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51" name="Text Box 1">
          <a:extLst>
            <a:ext uri="{FF2B5EF4-FFF2-40B4-BE49-F238E27FC236}">
              <a16:creationId xmlns:a16="http://schemas.microsoft.com/office/drawing/2014/main" id="{0168E081-EFC9-43AC-9D1A-CBCD31FD9A0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52" name="Text Box 1">
          <a:extLst>
            <a:ext uri="{FF2B5EF4-FFF2-40B4-BE49-F238E27FC236}">
              <a16:creationId xmlns:a16="http://schemas.microsoft.com/office/drawing/2014/main" id="{DE6C0096-2AE3-465C-B480-1D779AEC560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53" name="Text Box 1">
          <a:extLst>
            <a:ext uri="{FF2B5EF4-FFF2-40B4-BE49-F238E27FC236}">
              <a16:creationId xmlns:a16="http://schemas.microsoft.com/office/drawing/2014/main" id="{C2A5381A-1B4F-409A-9171-4EBFE6DE694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54" name="Text Box 1">
          <a:extLst>
            <a:ext uri="{FF2B5EF4-FFF2-40B4-BE49-F238E27FC236}">
              <a16:creationId xmlns:a16="http://schemas.microsoft.com/office/drawing/2014/main" id="{AE169FC0-2AE1-472B-ABC7-60C89A22F8F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55" name="Text Box 1">
          <a:extLst>
            <a:ext uri="{FF2B5EF4-FFF2-40B4-BE49-F238E27FC236}">
              <a16:creationId xmlns:a16="http://schemas.microsoft.com/office/drawing/2014/main" id="{4513B349-63AE-44DE-9B84-54319E78ADC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56" name="Text Box 1">
          <a:extLst>
            <a:ext uri="{FF2B5EF4-FFF2-40B4-BE49-F238E27FC236}">
              <a16:creationId xmlns:a16="http://schemas.microsoft.com/office/drawing/2014/main" id="{C6370FEC-022E-4976-8278-3F7091DF480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57" name="Text Box 1">
          <a:extLst>
            <a:ext uri="{FF2B5EF4-FFF2-40B4-BE49-F238E27FC236}">
              <a16:creationId xmlns:a16="http://schemas.microsoft.com/office/drawing/2014/main" id="{B56F6855-9D79-47CD-A2F0-B8E09487465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58" name="Text Box 1">
          <a:extLst>
            <a:ext uri="{FF2B5EF4-FFF2-40B4-BE49-F238E27FC236}">
              <a16:creationId xmlns:a16="http://schemas.microsoft.com/office/drawing/2014/main" id="{498BDD47-E02F-4926-A69E-A101140E1F4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59" name="Text Box 1">
          <a:extLst>
            <a:ext uri="{FF2B5EF4-FFF2-40B4-BE49-F238E27FC236}">
              <a16:creationId xmlns:a16="http://schemas.microsoft.com/office/drawing/2014/main" id="{7020A6B1-70D8-433C-A0E7-C6D6AECC678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60" name="Text Box 1">
          <a:extLst>
            <a:ext uri="{FF2B5EF4-FFF2-40B4-BE49-F238E27FC236}">
              <a16:creationId xmlns:a16="http://schemas.microsoft.com/office/drawing/2014/main" id="{1A4CF57D-DA69-471C-B4C9-A866A89E0FA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61" name="Text Box 1">
          <a:extLst>
            <a:ext uri="{FF2B5EF4-FFF2-40B4-BE49-F238E27FC236}">
              <a16:creationId xmlns:a16="http://schemas.microsoft.com/office/drawing/2014/main" id="{5FE7E8C2-0080-4B7E-9858-8CE0F6252FA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62" name="Text Box 1">
          <a:extLst>
            <a:ext uri="{FF2B5EF4-FFF2-40B4-BE49-F238E27FC236}">
              <a16:creationId xmlns:a16="http://schemas.microsoft.com/office/drawing/2014/main" id="{199FF8E7-6B02-4BCF-994A-B306174D2C9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63" name="Text Box 1">
          <a:extLst>
            <a:ext uri="{FF2B5EF4-FFF2-40B4-BE49-F238E27FC236}">
              <a16:creationId xmlns:a16="http://schemas.microsoft.com/office/drawing/2014/main" id="{02B7C13B-4C24-4E29-ABD2-3E48D5E902B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64" name="Text Box 1">
          <a:extLst>
            <a:ext uri="{FF2B5EF4-FFF2-40B4-BE49-F238E27FC236}">
              <a16:creationId xmlns:a16="http://schemas.microsoft.com/office/drawing/2014/main" id="{2C877D0E-A1FD-4D89-85F0-FB705E13611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65" name="Text Box 1">
          <a:extLst>
            <a:ext uri="{FF2B5EF4-FFF2-40B4-BE49-F238E27FC236}">
              <a16:creationId xmlns:a16="http://schemas.microsoft.com/office/drawing/2014/main" id="{88C38BF1-8730-4920-80D0-8C20627E409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66" name="Text Box 1">
          <a:extLst>
            <a:ext uri="{FF2B5EF4-FFF2-40B4-BE49-F238E27FC236}">
              <a16:creationId xmlns:a16="http://schemas.microsoft.com/office/drawing/2014/main" id="{8257F536-67E6-4318-93AF-613065F824A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67" name="Text Box 1">
          <a:extLst>
            <a:ext uri="{FF2B5EF4-FFF2-40B4-BE49-F238E27FC236}">
              <a16:creationId xmlns:a16="http://schemas.microsoft.com/office/drawing/2014/main" id="{020EC46F-B5B3-41BE-A5EF-D35A1CA5523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68" name="Text Box 1">
          <a:extLst>
            <a:ext uri="{FF2B5EF4-FFF2-40B4-BE49-F238E27FC236}">
              <a16:creationId xmlns:a16="http://schemas.microsoft.com/office/drawing/2014/main" id="{C25B1CDA-4788-4E65-B883-FE489A8692A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69" name="Text Box 1">
          <a:extLst>
            <a:ext uri="{FF2B5EF4-FFF2-40B4-BE49-F238E27FC236}">
              <a16:creationId xmlns:a16="http://schemas.microsoft.com/office/drawing/2014/main" id="{324EE3C4-5F72-498A-A325-425A642D783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70" name="Text Box 1">
          <a:extLst>
            <a:ext uri="{FF2B5EF4-FFF2-40B4-BE49-F238E27FC236}">
              <a16:creationId xmlns:a16="http://schemas.microsoft.com/office/drawing/2014/main" id="{DF326B6D-78C4-475F-8619-009E29CD1C5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71" name="Text Box 1">
          <a:extLst>
            <a:ext uri="{FF2B5EF4-FFF2-40B4-BE49-F238E27FC236}">
              <a16:creationId xmlns:a16="http://schemas.microsoft.com/office/drawing/2014/main" id="{96B94116-99E3-4523-86FA-BF4FE3D2FF2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72" name="Text Box 1">
          <a:extLst>
            <a:ext uri="{FF2B5EF4-FFF2-40B4-BE49-F238E27FC236}">
              <a16:creationId xmlns:a16="http://schemas.microsoft.com/office/drawing/2014/main" id="{E4C4D122-8529-4003-AAD3-44784871871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73" name="Text Box 1">
          <a:extLst>
            <a:ext uri="{FF2B5EF4-FFF2-40B4-BE49-F238E27FC236}">
              <a16:creationId xmlns:a16="http://schemas.microsoft.com/office/drawing/2014/main" id="{0679C9C2-E3A3-45B2-BD28-5DA68E42D6B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74" name="Text Box 1">
          <a:extLst>
            <a:ext uri="{FF2B5EF4-FFF2-40B4-BE49-F238E27FC236}">
              <a16:creationId xmlns:a16="http://schemas.microsoft.com/office/drawing/2014/main" id="{D2292E67-5557-41FA-B6F9-BD90EBBD057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75" name="Text Box 1">
          <a:extLst>
            <a:ext uri="{FF2B5EF4-FFF2-40B4-BE49-F238E27FC236}">
              <a16:creationId xmlns:a16="http://schemas.microsoft.com/office/drawing/2014/main" id="{C11DAC4F-FA71-4159-8A0D-E3708027D6D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76" name="Text Box 1">
          <a:extLst>
            <a:ext uri="{FF2B5EF4-FFF2-40B4-BE49-F238E27FC236}">
              <a16:creationId xmlns:a16="http://schemas.microsoft.com/office/drawing/2014/main" id="{5CBC0002-9050-4387-8330-A6809CC934B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77" name="Text Box 1">
          <a:extLst>
            <a:ext uri="{FF2B5EF4-FFF2-40B4-BE49-F238E27FC236}">
              <a16:creationId xmlns:a16="http://schemas.microsoft.com/office/drawing/2014/main" id="{D7E9A1E5-E55B-4BAA-9FE0-EA88B9955AD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78" name="Text Box 1">
          <a:extLst>
            <a:ext uri="{FF2B5EF4-FFF2-40B4-BE49-F238E27FC236}">
              <a16:creationId xmlns:a16="http://schemas.microsoft.com/office/drawing/2014/main" id="{C7D279C8-1FB2-4FE2-9580-906B100B2B9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79" name="Text Box 1">
          <a:extLst>
            <a:ext uri="{FF2B5EF4-FFF2-40B4-BE49-F238E27FC236}">
              <a16:creationId xmlns:a16="http://schemas.microsoft.com/office/drawing/2014/main" id="{2018BD08-8F94-4944-8CBF-6807B312EE1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80" name="Text Box 1">
          <a:extLst>
            <a:ext uri="{FF2B5EF4-FFF2-40B4-BE49-F238E27FC236}">
              <a16:creationId xmlns:a16="http://schemas.microsoft.com/office/drawing/2014/main" id="{2070406A-0C03-4150-B662-EA05AFD2422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81" name="Text Box 1">
          <a:extLst>
            <a:ext uri="{FF2B5EF4-FFF2-40B4-BE49-F238E27FC236}">
              <a16:creationId xmlns:a16="http://schemas.microsoft.com/office/drawing/2014/main" id="{F6670FE5-22C7-4C7C-8D89-1ADBF72A92C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82" name="Text Box 1">
          <a:extLst>
            <a:ext uri="{FF2B5EF4-FFF2-40B4-BE49-F238E27FC236}">
              <a16:creationId xmlns:a16="http://schemas.microsoft.com/office/drawing/2014/main" id="{42331AB2-A74A-465E-9361-59F512E6746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83" name="Text Box 1">
          <a:extLst>
            <a:ext uri="{FF2B5EF4-FFF2-40B4-BE49-F238E27FC236}">
              <a16:creationId xmlns:a16="http://schemas.microsoft.com/office/drawing/2014/main" id="{04BB4F4E-FF10-4C50-BF61-E364A22EC5F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84" name="Text Box 1">
          <a:extLst>
            <a:ext uri="{FF2B5EF4-FFF2-40B4-BE49-F238E27FC236}">
              <a16:creationId xmlns:a16="http://schemas.microsoft.com/office/drawing/2014/main" id="{2C39BB9D-7110-441A-8111-D066B366950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85" name="Text Box 1">
          <a:extLst>
            <a:ext uri="{FF2B5EF4-FFF2-40B4-BE49-F238E27FC236}">
              <a16:creationId xmlns:a16="http://schemas.microsoft.com/office/drawing/2014/main" id="{3D6A9B3C-D0AE-4FB5-9D0B-665E06D91DC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86" name="Text Box 1">
          <a:extLst>
            <a:ext uri="{FF2B5EF4-FFF2-40B4-BE49-F238E27FC236}">
              <a16:creationId xmlns:a16="http://schemas.microsoft.com/office/drawing/2014/main" id="{8F199671-5B84-4BE3-B9D7-8DA29F31586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87" name="Text Box 1">
          <a:extLst>
            <a:ext uri="{FF2B5EF4-FFF2-40B4-BE49-F238E27FC236}">
              <a16:creationId xmlns:a16="http://schemas.microsoft.com/office/drawing/2014/main" id="{D73F251E-E416-445E-A5C2-194F843313E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88" name="Text Box 1">
          <a:extLst>
            <a:ext uri="{FF2B5EF4-FFF2-40B4-BE49-F238E27FC236}">
              <a16:creationId xmlns:a16="http://schemas.microsoft.com/office/drawing/2014/main" id="{0863C29A-0E7A-4DB9-B985-5E0483A247A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89" name="Text Box 1">
          <a:extLst>
            <a:ext uri="{FF2B5EF4-FFF2-40B4-BE49-F238E27FC236}">
              <a16:creationId xmlns:a16="http://schemas.microsoft.com/office/drawing/2014/main" id="{C682C9BB-55FE-4EA4-875C-53BD9808604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90" name="Text Box 1">
          <a:extLst>
            <a:ext uri="{FF2B5EF4-FFF2-40B4-BE49-F238E27FC236}">
              <a16:creationId xmlns:a16="http://schemas.microsoft.com/office/drawing/2014/main" id="{768EEF7E-2158-4E34-9D24-F222A9EF5C9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91" name="Text Box 1">
          <a:extLst>
            <a:ext uri="{FF2B5EF4-FFF2-40B4-BE49-F238E27FC236}">
              <a16:creationId xmlns:a16="http://schemas.microsoft.com/office/drawing/2014/main" id="{3A840C94-96E9-4E0C-83DB-A46688EDB57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92" name="Text Box 1">
          <a:extLst>
            <a:ext uri="{FF2B5EF4-FFF2-40B4-BE49-F238E27FC236}">
              <a16:creationId xmlns:a16="http://schemas.microsoft.com/office/drawing/2014/main" id="{9F0408FF-8340-4492-AD8B-3498343D4E9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93" name="Text Box 1">
          <a:extLst>
            <a:ext uri="{FF2B5EF4-FFF2-40B4-BE49-F238E27FC236}">
              <a16:creationId xmlns:a16="http://schemas.microsoft.com/office/drawing/2014/main" id="{71E26829-23A7-47DB-8BCD-84B7007708A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94" name="Text Box 1">
          <a:extLst>
            <a:ext uri="{FF2B5EF4-FFF2-40B4-BE49-F238E27FC236}">
              <a16:creationId xmlns:a16="http://schemas.microsoft.com/office/drawing/2014/main" id="{98994674-FFBD-4354-B09D-ABFF56207F3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95" name="Text Box 1">
          <a:extLst>
            <a:ext uri="{FF2B5EF4-FFF2-40B4-BE49-F238E27FC236}">
              <a16:creationId xmlns:a16="http://schemas.microsoft.com/office/drawing/2014/main" id="{2969F831-2297-4965-9C94-0EFD948B374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96" name="Text Box 1">
          <a:extLst>
            <a:ext uri="{FF2B5EF4-FFF2-40B4-BE49-F238E27FC236}">
              <a16:creationId xmlns:a16="http://schemas.microsoft.com/office/drawing/2014/main" id="{CDA65B29-1A06-4867-A505-7DB014B25BF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97" name="Text Box 1">
          <a:extLst>
            <a:ext uri="{FF2B5EF4-FFF2-40B4-BE49-F238E27FC236}">
              <a16:creationId xmlns:a16="http://schemas.microsoft.com/office/drawing/2014/main" id="{CB630A38-3308-4CBC-8F45-ABC3CD5CC6A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98" name="Text Box 1">
          <a:extLst>
            <a:ext uri="{FF2B5EF4-FFF2-40B4-BE49-F238E27FC236}">
              <a16:creationId xmlns:a16="http://schemas.microsoft.com/office/drawing/2014/main" id="{496815ED-475D-4A9C-AFA9-FA996A697E0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599" name="Text Box 1">
          <a:extLst>
            <a:ext uri="{FF2B5EF4-FFF2-40B4-BE49-F238E27FC236}">
              <a16:creationId xmlns:a16="http://schemas.microsoft.com/office/drawing/2014/main" id="{565CACC3-9726-4D57-8324-DB93209F127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00" name="Text Box 1">
          <a:extLst>
            <a:ext uri="{FF2B5EF4-FFF2-40B4-BE49-F238E27FC236}">
              <a16:creationId xmlns:a16="http://schemas.microsoft.com/office/drawing/2014/main" id="{D7392E48-E867-4CC6-BC6E-053AAABB9D5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01" name="Text Box 1">
          <a:extLst>
            <a:ext uri="{FF2B5EF4-FFF2-40B4-BE49-F238E27FC236}">
              <a16:creationId xmlns:a16="http://schemas.microsoft.com/office/drawing/2014/main" id="{0BDF5999-1249-482F-9CBC-C22D7B839EB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02" name="Text Box 1">
          <a:extLst>
            <a:ext uri="{FF2B5EF4-FFF2-40B4-BE49-F238E27FC236}">
              <a16:creationId xmlns:a16="http://schemas.microsoft.com/office/drawing/2014/main" id="{213D1CA1-9B81-4A39-AE83-2992373C571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03" name="Text Box 1">
          <a:extLst>
            <a:ext uri="{FF2B5EF4-FFF2-40B4-BE49-F238E27FC236}">
              <a16:creationId xmlns:a16="http://schemas.microsoft.com/office/drawing/2014/main" id="{AD2484D8-E775-4A0E-8ECF-2C75A38326C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04" name="Text Box 1">
          <a:extLst>
            <a:ext uri="{FF2B5EF4-FFF2-40B4-BE49-F238E27FC236}">
              <a16:creationId xmlns:a16="http://schemas.microsoft.com/office/drawing/2014/main" id="{E5362097-19E6-4306-93E5-1CA8307A750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05" name="Text Box 1">
          <a:extLst>
            <a:ext uri="{FF2B5EF4-FFF2-40B4-BE49-F238E27FC236}">
              <a16:creationId xmlns:a16="http://schemas.microsoft.com/office/drawing/2014/main" id="{1F27A3CD-B766-4402-8D08-A2B40193614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06" name="Text Box 1">
          <a:extLst>
            <a:ext uri="{FF2B5EF4-FFF2-40B4-BE49-F238E27FC236}">
              <a16:creationId xmlns:a16="http://schemas.microsoft.com/office/drawing/2014/main" id="{4BE89420-37E4-44CB-B635-AB2C021CE3E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07" name="Text Box 1">
          <a:extLst>
            <a:ext uri="{FF2B5EF4-FFF2-40B4-BE49-F238E27FC236}">
              <a16:creationId xmlns:a16="http://schemas.microsoft.com/office/drawing/2014/main" id="{14622CCB-422D-4C09-956D-FDEFD779911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08" name="Text Box 1">
          <a:extLst>
            <a:ext uri="{FF2B5EF4-FFF2-40B4-BE49-F238E27FC236}">
              <a16:creationId xmlns:a16="http://schemas.microsoft.com/office/drawing/2014/main" id="{D2AC6E19-6D46-4B27-9DDA-CEF8218CCA4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09" name="Text Box 1">
          <a:extLst>
            <a:ext uri="{FF2B5EF4-FFF2-40B4-BE49-F238E27FC236}">
              <a16:creationId xmlns:a16="http://schemas.microsoft.com/office/drawing/2014/main" id="{731103DB-AD84-4CFC-BAEF-1CAC5D6479D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10" name="Text Box 1">
          <a:extLst>
            <a:ext uri="{FF2B5EF4-FFF2-40B4-BE49-F238E27FC236}">
              <a16:creationId xmlns:a16="http://schemas.microsoft.com/office/drawing/2014/main" id="{58C5180C-66C8-43DE-ACAA-BC743486672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11" name="Text Box 1">
          <a:extLst>
            <a:ext uri="{FF2B5EF4-FFF2-40B4-BE49-F238E27FC236}">
              <a16:creationId xmlns:a16="http://schemas.microsoft.com/office/drawing/2014/main" id="{F66EBFB5-C1C8-45D3-BE40-A3A10C2F7CB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12" name="Text Box 1">
          <a:extLst>
            <a:ext uri="{FF2B5EF4-FFF2-40B4-BE49-F238E27FC236}">
              <a16:creationId xmlns:a16="http://schemas.microsoft.com/office/drawing/2014/main" id="{0CC6CCE9-FD4F-4FB2-9790-6E82ED184E9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13" name="Text Box 1">
          <a:extLst>
            <a:ext uri="{FF2B5EF4-FFF2-40B4-BE49-F238E27FC236}">
              <a16:creationId xmlns:a16="http://schemas.microsoft.com/office/drawing/2014/main" id="{F188BAAA-4613-4F0F-9971-AAA48960054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14" name="Text Box 1">
          <a:extLst>
            <a:ext uri="{FF2B5EF4-FFF2-40B4-BE49-F238E27FC236}">
              <a16:creationId xmlns:a16="http://schemas.microsoft.com/office/drawing/2014/main" id="{8676069F-4CD6-4FC8-895B-C4C4E1E05C7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15" name="Text Box 1">
          <a:extLst>
            <a:ext uri="{FF2B5EF4-FFF2-40B4-BE49-F238E27FC236}">
              <a16:creationId xmlns:a16="http://schemas.microsoft.com/office/drawing/2014/main" id="{B05E5A34-7EAA-4330-94F0-4D6C80AF358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16" name="Text Box 1">
          <a:extLst>
            <a:ext uri="{FF2B5EF4-FFF2-40B4-BE49-F238E27FC236}">
              <a16:creationId xmlns:a16="http://schemas.microsoft.com/office/drawing/2014/main" id="{691A432D-D0BB-46E8-9081-1ACF7BAD4E7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17" name="Text Box 1">
          <a:extLst>
            <a:ext uri="{FF2B5EF4-FFF2-40B4-BE49-F238E27FC236}">
              <a16:creationId xmlns:a16="http://schemas.microsoft.com/office/drawing/2014/main" id="{A2A5BB9C-8C64-460A-BF36-52EA39B893E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18" name="Text Box 1">
          <a:extLst>
            <a:ext uri="{FF2B5EF4-FFF2-40B4-BE49-F238E27FC236}">
              <a16:creationId xmlns:a16="http://schemas.microsoft.com/office/drawing/2014/main" id="{A5862EC7-021D-4BA3-B005-B902C9A3692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19" name="Text Box 1">
          <a:extLst>
            <a:ext uri="{FF2B5EF4-FFF2-40B4-BE49-F238E27FC236}">
              <a16:creationId xmlns:a16="http://schemas.microsoft.com/office/drawing/2014/main" id="{6EE0F3D9-B74B-43B9-B580-53532ECBE51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20" name="Text Box 1">
          <a:extLst>
            <a:ext uri="{FF2B5EF4-FFF2-40B4-BE49-F238E27FC236}">
              <a16:creationId xmlns:a16="http://schemas.microsoft.com/office/drawing/2014/main" id="{23F09375-5DC0-4603-A8D6-0BB40E05A79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21" name="Text Box 1">
          <a:extLst>
            <a:ext uri="{FF2B5EF4-FFF2-40B4-BE49-F238E27FC236}">
              <a16:creationId xmlns:a16="http://schemas.microsoft.com/office/drawing/2014/main" id="{1B10CD77-3D81-44E3-9600-83C445CDF4E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22" name="Text Box 1">
          <a:extLst>
            <a:ext uri="{FF2B5EF4-FFF2-40B4-BE49-F238E27FC236}">
              <a16:creationId xmlns:a16="http://schemas.microsoft.com/office/drawing/2014/main" id="{4EB7BE28-3A70-47CF-BB22-061D98487A4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23" name="Text Box 1">
          <a:extLst>
            <a:ext uri="{FF2B5EF4-FFF2-40B4-BE49-F238E27FC236}">
              <a16:creationId xmlns:a16="http://schemas.microsoft.com/office/drawing/2014/main" id="{32F0FFC1-8077-44FA-ABAF-9CBE6F0E90B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24" name="Text Box 1">
          <a:extLst>
            <a:ext uri="{FF2B5EF4-FFF2-40B4-BE49-F238E27FC236}">
              <a16:creationId xmlns:a16="http://schemas.microsoft.com/office/drawing/2014/main" id="{5FFD0D1C-0DB6-4B82-B1BA-CE184BAF07B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25" name="Text Box 1">
          <a:extLst>
            <a:ext uri="{FF2B5EF4-FFF2-40B4-BE49-F238E27FC236}">
              <a16:creationId xmlns:a16="http://schemas.microsoft.com/office/drawing/2014/main" id="{0C9D2336-9792-4F3D-B13C-0F5E084FC64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26" name="Text Box 1">
          <a:extLst>
            <a:ext uri="{FF2B5EF4-FFF2-40B4-BE49-F238E27FC236}">
              <a16:creationId xmlns:a16="http://schemas.microsoft.com/office/drawing/2014/main" id="{D0B32A61-E830-4626-A7C0-5834B1CDC89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27" name="Text Box 1">
          <a:extLst>
            <a:ext uri="{FF2B5EF4-FFF2-40B4-BE49-F238E27FC236}">
              <a16:creationId xmlns:a16="http://schemas.microsoft.com/office/drawing/2014/main" id="{7B9819CF-8DF2-423A-BD03-DCF5B5EEDE3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28" name="Text Box 1">
          <a:extLst>
            <a:ext uri="{FF2B5EF4-FFF2-40B4-BE49-F238E27FC236}">
              <a16:creationId xmlns:a16="http://schemas.microsoft.com/office/drawing/2014/main" id="{3941EA6A-8390-4615-BC91-576E31F8686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29" name="Text Box 1">
          <a:extLst>
            <a:ext uri="{FF2B5EF4-FFF2-40B4-BE49-F238E27FC236}">
              <a16:creationId xmlns:a16="http://schemas.microsoft.com/office/drawing/2014/main" id="{6C469F8B-EF02-4F8E-9F9E-DC5FE51BDF8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30" name="Text Box 1">
          <a:extLst>
            <a:ext uri="{FF2B5EF4-FFF2-40B4-BE49-F238E27FC236}">
              <a16:creationId xmlns:a16="http://schemas.microsoft.com/office/drawing/2014/main" id="{DD8B535C-8B59-43ED-A4C2-AB6F0E3AB50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31" name="Text Box 1">
          <a:extLst>
            <a:ext uri="{FF2B5EF4-FFF2-40B4-BE49-F238E27FC236}">
              <a16:creationId xmlns:a16="http://schemas.microsoft.com/office/drawing/2014/main" id="{1DFE4DF1-F7A5-4BA0-999B-38400558815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32" name="Text Box 1">
          <a:extLst>
            <a:ext uri="{FF2B5EF4-FFF2-40B4-BE49-F238E27FC236}">
              <a16:creationId xmlns:a16="http://schemas.microsoft.com/office/drawing/2014/main" id="{916ED6CB-5B17-458E-A8B8-58C249E552D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33" name="Text Box 1">
          <a:extLst>
            <a:ext uri="{FF2B5EF4-FFF2-40B4-BE49-F238E27FC236}">
              <a16:creationId xmlns:a16="http://schemas.microsoft.com/office/drawing/2014/main" id="{609103A0-57D6-47B5-A00F-D7CC2146CE5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34" name="Text Box 1">
          <a:extLst>
            <a:ext uri="{FF2B5EF4-FFF2-40B4-BE49-F238E27FC236}">
              <a16:creationId xmlns:a16="http://schemas.microsoft.com/office/drawing/2014/main" id="{33AE755F-9FA4-4AED-A1FE-AB0A2F5AE18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35" name="Text Box 1">
          <a:extLst>
            <a:ext uri="{FF2B5EF4-FFF2-40B4-BE49-F238E27FC236}">
              <a16:creationId xmlns:a16="http://schemas.microsoft.com/office/drawing/2014/main" id="{43A6757A-130C-4061-A857-AE78614C8AA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36" name="Text Box 1">
          <a:extLst>
            <a:ext uri="{FF2B5EF4-FFF2-40B4-BE49-F238E27FC236}">
              <a16:creationId xmlns:a16="http://schemas.microsoft.com/office/drawing/2014/main" id="{9B27B1CC-ACF0-4E4E-BC98-C5C87E5A706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37" name="Text Box 1">
          <a:extLst>
            <a:ext uri="{FF2B5EF4-FFF2-40B4-BE49-F238E27FC236}">
              <a16:creationId xmlns:a16="http://schemas.microsoft.com/office/drawing/2014/main" id="{DF46FE86-A0A5-44D4-9C83-4E5281789E8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38" name="Text Box 1">
          <a:extLst>
            <a:ext uri="{FF2B5EF4-FFF2-40B4-BE49-F238E27FC236}">
              <a16:creationId xmlns:a16="http://schemas.microsoft.com/office/drawing/2014/main" id="{8935B16D-C26F-42B4-A406-D4EAFE8AD42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39" name="Text Box 1">
          <a:extLst>
            <a:ext uri="{FF2B5EF4-FFF2-40B4-BE49-F238E27FC236}">
              <a16:creationId xmlns:a16="http://schemas.microsoft.com/office/drawing/2014/main" id="{C9B377B2-14E3-4C2C-B007-8EB764B18C6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40" name="Text Box 1">
          <a:extLst>
            <a:ext uri="{FF2B5EF4-FFF2-40B4-BE49-F238E27FC236}">
              <a16:creationId xmlns:a16="http://schemas.microsoft.com/office/drawing/2014/main" id="{FD61B55F-B30D-4C4A-B08B-5A06FF83727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41" name="Text Box 1">
          <a:extLst>
            <a:ext uri="{FF2B5EF4-FFF2-40B4-BE49-F238E27FC236}">
              <a16:creationId xmlns:a16="http://schemas.microsoft.com/office/drawing/2014/main" id="{885BA5B4-F16F-4673-B7F1-80AA6958F63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42" name="Text Box 1">
          <a:extLst>
            <a:ext uri="{FF2B5EF4-FFF2-40B4-BE49-F238E27FC236}">
              <a16:creationId xmlns:a16="http://schemas.microsoft.com/office/drawing/2014/main" id="{AD659422-A0A0-41A7-883F-2E680F4DBFA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43" name="Text Box 1">
          <a:extLst>
            <a:ext uri="{FF2B5EF4-FFF2-40B4-BE49-F238E27FC236}">
              <a16:creationId xmlns:a16="http://schemas.microsoft.com/office/drawing/2014/main" id="{5EFACBC6-572F-408C-AEF2-896DD3EF5A3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44" name="Text Box 1">
          <a:extLst>
            <a:ext uri="{FF2B5EF4-FFF2-40B4-BE49-F238E27FC236}">
              <a16:creationId xmlns:a16="http://schemas.microsoft.com/office/drawing/2014/main" id="{9D44D061-90CE-4E9C-8CD1-69320241C9D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45" name="Text Box 1">
          <a:extLst>
            <a:ext uri="{FF2B5EF4-FFF2-40B4-BE49-F238E27FC236}">
              <a16:creationId xmlns:a16="http://schemas.microsoft.com/office/drawing/2014/main" id="{808BDCE4-18C6-4B04-A7A9-7CE6C9D71C3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46" name="Text Box 1">
          <a:extLst>
            <a:ext uri="{FF2B5EF4-FFF2-40B4-BE49-F238E27FC236}">
              <a16:creationId xmlns:a16="http://schemas.microsoft.com/office/drawing/2014/main" id="{F54B37C8-5283-4434-9CCB-A4407562343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47" name="Text Box 1">
          <a:extLst>
            <a:ext uri="{FF2B5EF4-FFF2-40B4-BE49-F238E27FC236}">
              <a16:creationId xmlns:a16="http://schemas.microsoft.com/office/drawing/2014/main" id="{15A09F75-EEAF-4770-8C57-202278FC46A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48" name="Text Box 1">
          <a:extLst>
            <a:ext uri="{FF2B5EF4-FFF2-40B4-BE49-F238E27FC236}">
              <a16:creationId xmlns:a16="http://schemas.microsoft.com/office/drawing/2014/main" id="{255098BB-2023-4E57-866D-C8F5614F9A6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49" name="Text Box 1">
          <a:extLst>
            <a:ext uri="{FF2B5EF4-FFF2-40B4-BE49-F238E27FC236}">
              <a16:creationId xmlns:a16="http://schemas.microsoft.com/office/drawing/2014/main" id="{38598E8E-2691-4F7D-9805-5F099A473CB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50" name="Text Box 1">
          <a:extLst>
            <a:ext uri="{FF2B5EF4-FFF2-40B4-BE49-F238E27FC236}">
              <a16:creationId xmlns:a16="http://schemas.microsoft.com/office/drawing/2014/main" id="{89F53C80-D5C4-473E-910F-0418A08A94D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51" name="Text Box 1">
          <a:extLst>
            <a:ext uri="{FF2B5EF4-FFF2-40B4-BE49-F238E27FC236}">
              <a16:creationId xmlns:a16="http://schemas.microsoft.com/office/drawing/2014/main" id="{3E7D72C3-2C75-4611-BCCB-835EF0DF760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52" name="Text Box 1">
          <a:extLst>
            <a:ext uri="{FF2B5EF4-FFF2-40B4-BE49-F238E27FC236}">
              <a16:creationId xmlns:a16="http://schemas.microsoft.com/office/drawing/2014/main" id="{A8B0742B-0394-4511-A128-29EDDD89895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53" name="Text Box 1">
          <a:extLst>
            <a:ext uri="{FF2B5EF4-FFF2-40B4-BE49-F238E27FC236}">
              <a16:creationId xmlns:a16="http://schemas.microsoft.com/office/drawing/2014/main" id="{AA3FCDC3-2321-4D4E-AB73-088B9077705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54" name="Text Box 1">
          <a:extLst>
            <a:ext uri="{FF2B5EF4-FFF2-40B4-BE49-F238E27FC236}">
              <a16:creationId xmlns:a16="http://schemas.microsoft.com/office/drawing/2014/main" id="{D7C0CBA2-7294-43EE-9B05-D1D4CFE598D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55" name="Text Box 1">
          <a:extLst>
            <a:ext uri="{FF2B5EF4-FFF2-40B4-BE49-F238E27FC236}">
              <a16:creationId xmlns:a16="http://schemas.microsoft.com/office/drawing/2014/main" id="{1237098D-F63C-46C1-9920-DCB3E8B6936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56" name="Text Box 1">
          <a:extLst>
            <a:ext uri="{FF2B5EF4-FFF2-40B4-BE49-F238E27FC236}">
              <a16:creationId xmlns:a16="http://schemas.microsoft.com/office/drawing/2014/main" id="{BD1A1EF7-5AF9-4B47-AFEE-23E85BADFA2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57" name="Text Box 1">
          <a:extLst>
            <a:ext uri="{FF2B5EF4-FFF2-40B4-BE49-F238E27FC236}">
              <a16:creationId xmlns:a16="http://schemas.microsoft.com/office/drawing/2014/main" id="{403943CB-E667-433A-8459-CDB76DBDB6A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58" name="Text Box 1">
          <a:extLst>
            <a:ext uri="{FF2B5EF4-FFF2-40B4-BE49-F238E27FC236}">
              <a16:creationId xmlns:a16="http://schemas.microsoft.com/office/drawing/2014/main" id="{5B3A17A5-90FE-4FBE-A361-CF9CE8BDCBD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59" name="Text Box 1">
          <a:extLst>
            <a:ext uri="{FF2B5EF4-FFF2-40B4-BE49-F238E27FC236}">
              <a16:creationId xmlns:a16="http://schemas.microsoft.com/office/drawing/2014/main" id="{D952ECEB-0F9A-4FA4-B164-99DEA234C42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60" name="Text Box 1">
          <a:extLst>
            <a:ext uri="{FF2B5EF4-FFF2-40B4-BE49-F238E27FC236}">
              <a16:creationId xmlns:a16="http://schemas.microsoft.com/office/drawing/2014/main" id="{69E7B62A-0B71-4AD5-9EC4-B1A242B1A8C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61" name="Text Box 1">
          <a:extLst>
            <a:ext uri="{FF2B5EF4-FFF2-40B4-BE49-F238E27FC236}">
              <a16:creationId xmlns:a16="http://schemas.microsoft.com/office/drawing/2014/main" id="{84CEE94F-6AD4-47FD-9B30-DC20F668CE2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62" name="Text Box 1">
          <a:extLst>
            <a:ext uri="{FF2B5EF4-FFF2-40B4-BE49-F238E27FC236}">
              <a16:creationId xmlns:a16="http://schemas.microsoft.com/office/drawing/2014/main" id="{BAA7C5AE-3FAD-4634-88B3-6EBC8750CDF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63" name="Text Box 1">
          <a:extLst>
            <a:ext uri="{FF2B5EF4-FFF2-40B4-BE49-F238E27FC236}">
              <a16:creationId xmlns:a16="http://schemas.microsoft.com/office/drawing/2014/main" id="{00CFD02D-F130-4BF2-B866-54002C36AC8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64" name="Text Box 1">
          <a:extLst>
            <a:ext uri="{FF2B5EF4-FFF2-40B4-BE49-F238E27FC236}">
              <a16:creationId xmlns:a16="http://schemas.microsoft.com/office/drawing/2014/main" id="{70754E1A-E0A1-4C6A-94D0-364DB511FE5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65" name="Text Box 1">
          <a:extLst>
            <a:ext uri="{FF2B5EF4-FFF2-40B4-BE49-F238E27FC236}">
              <a16:creationId xmlns:a16="http://schemas.microsoft.com/office/drawing/2014/main" id="{90D5365D-1239-4C53-8AA2-76F1254B020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66" name="Text Box 1">
          <a:extLst>
            <a:ext uri="{FF2B5EF4-FFF2-40B4-BE49-F238E27FC236}">
              <a16:creationId xmlns:a16="http://schemas.microsoft.com/office/drawing/2014/main" id="{1B46E752-8CC3-4159-880D-2CF9C78C50F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67" name="Text Box 1">
          <a:extLst>
            <a:ext uri="{FF2B5EF4-FFF2-40B4-BE49-F238E27FC236}">
              <a16:creationId xmlns:a16="http://schemas.microsoft.com/office/drawing/2014/main" id="{2938AD23-3544-4A59-A88F-8355C495F21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68" name="Text Box 1">
          <a:extLst>
            <a:ext uri="{FF2B5EF4-FFF2-40B4-BE49-F238E27FC236}">
              <a16:creationId xmlns:a16="http://schemas.microsoft.com/office/drawing/2014/main" id="{60155B58-D32E-488D-8A8E-0DDBFC20626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69" name="Text Box 1">
          <a:extLst>
            <a:ext uri="{FF2B5EF4-FFF2-40B4-BE49-F238E27FC236}">
              <a16:creationId xmlns:a16="http://schemas.microsoft.com/office/drawing/2014/main" id="{3478CCE5-2896-4251-9C76-1F7DE9C13D8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70" name="Text Box 1">
          <a:extLst>
            <a:ext uri="{FF2B5EF4-FFF2-40B4-BE49-F238E27FC236}">
              <a16:creationId xmlns:a16="http://schemas.microsoft.com/office/drawing/2014/main" id="{67D35F97-22C7-49F0-93D0-B2BE1DD603B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71" name="Text Box 1">
          <a:extLst>
            <a:ext uri="{FF2B5EF4-FFF2-40B4-BE49-F238E27FC236}">
              <a16:creationId xmlns:a16="http://schemas.microsoft.com/office/drawing/2014/main" id="{4B610A5A-A6A9-48FE-9235-06C74541B7B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72" name="Text Box 1">
          <a:extLst>
            <a:ext uri="{FF2B5EF4-FFF2-40B4-BE49-F238E27FC236}">
              <a16:creationId xmlns:a16="http://schemas.microsoft.com/office/drawing/2014/main" id="{D0E2BEA5-0C91-4D68-9D4F-976569D6BDA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73" name="Text Box 1">
          <a:extLst>
            <a:ext uri="{FF2B5EF4-FFF2-40B4-BE49-F238E27FC236}">
              <a16:creationId xmlns:a16="http://schemas.microsoft.com/office/drawing/2014/main" id="{09F31A32-D38B-452F-BB58-79279F0FB5C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74" name="Text Box 1">
          <a:extLst>
            <a:ext uri="{FF2B5EF4-FFF2-40B4-BE49-F238E27FC236}">
              <a16:creationId xmlns:a16="http://schemas.microsoft.com/office/drawing/2014/main" id="{12CBCCAE-1363-4E0D-8F6A-025214B4955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75" name="Text Box 1">
          <a:extLst>
            <a:ext uri="{FF2B5EF4-FFF2-40B4-BE49-F238E27FC236}">
              <a16:creationId xmlns:a16="http://schemas.microsoft.com/office/drawing/2014/main" id="{70B9A762-F27D-464D-818F-5FF75FFB7C8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76" name="Text Box 1">
          <a:extLst>
            <a:ext uri="{FF2B5EF4-FFF2-40B4-BE49-F238E27FC236}">
              <a16:creationId xmlns:a16="http://schemas.microsoft.com/office/drawing/2014/main" id="{F07193E7-8C95-43CA-B5AD-F91F5867F92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77" name="Text Box 1">
          <a:extLst>
            <a:ext uri="{FF2B5EF4-FFF2-40B4-BE49-F238E27FC236}">
              <a16:creationId xmlns:a16="http://schemas.microsoft.com/office/drawing/2014/main" id="{A6A1EF0E-E4D4-4696-8748-C16FD4EA801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78" name="Text Box 1">
          <a:extLst>
            <a:ext uri="{FF2B5EF4-FFF2-40B4-BE49-F238E27FC236}">
              <a16:creationId xmlns:a16="http://schemas.microsoft.com/office/drawing/2014/main" id="{BD1B8477-4487-4C4E-B1D3-CC43D162FF1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79" name="Text Box 1">
          <a:extLst>
            <a:ext uri="{FF2B5EF4-FFF2-40B4-BE49-F238E27FC236}">
              <a16:creationId xmlns:a16="http://schemas.microsoft.com/office/drawing/2014/main" id="{A865F3AE-F65E-4EC6-BAA5-2137302E8D3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80" name="Text Box 1">
          <a:extLst>
            <a:ext uri="{FF2B5EF4-FFF2-40B4-BE49-F238E27FC236}">
              <a16:creationId xmlns:a16="http://schemas.microsoft.com/office/drawing/2014/main" id="{B8A63528-8885-4353-BE86-5D749489E6A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81" name="Text Box 1">
          <a:extLst>
            <a:ext uri="{FF2B5EF4-FFF2-40B4-BE49-F238E27FC236}">
              <a16:creationId xmlns:a16="http://schemas.microsoft.com/office/drawing/2014/main" id="{D76E2B04-1703-470E-A667-C30AA48D72D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82" name="Text Box 1">
          <a:extLst>
            <a:ext uri="{FF2B5EF4-FFF2-40B4-BE49-F238E27FC236}">
              <a16:creationId xmlns:a16="http://schemas.microsoft.com/office/drawing/2014/main" id="{ADD1CE69-3E3C-4AB8-9EA1-2913F76D340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83" name="Text Box 1">
          <a:extLst>
            <a:ext uri="{FF2B5EF4-FFF2-40B4-BE49-F238E27FC236}">
              <a16:creationId xmlns:a16="http://schemas.microsoft.com/office/drawing/2014/main" id="{693D2924-FAB6-48E8-B1CD-B7825A22C5D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84" name="Text Box 1">
          <a:extLst>
            <a:ext uri="{FF2B5EF4-FFF2-40B4-BE49-F238E27FC236}">
              <a16:creationId xmlns:a16="http://schemas.microsoft.com/office/drawing/2014/main" id="{76DE3CFE-846B-4FE4-9999-67C6AF353DA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85" name="Text Box 1">
          <a:extLst>
            <a:ext uri="{FF2B5EF4-FFF2-40B4-BE49-F238E27FC236}">
              <a16:creationId xmlns:a16="http://schemas.microsoft.com/office/drawing/2014/main" id="{28CD0B9E-D865-4B06-884E-F4888A822C4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86" name="Text Box 1">
          <a:extLst>
            <a:ext uri="{FF2B5EF4-FFF2-40B4-BE49-F238E27FC236}">
              <a16:creationId xmlns:a16="http://schemas.microsoft.com/office/drawing/2014/main" id="{78C39017-7F0F-47DA-AEBF-A82C6EC2050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87" name="Text Box 1">
          <a:extLst>
            <a:ext uri="{FF2B5EF4-FFF2-40B4-BE49-F238E27FC236}">
              <a16:creationId xmlns:a16="http://schemas.microsoft.com/office/drawing/2014/main" id="{140F9DCD-769D-4834-8162-B6F8A342C59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88" name="Text Box 1">
          <a:extLst>
            <a:ext uri="{FF2B5EF4-FFF2-40B4-BE49-F238E27FC236}">
              <a16:creationId xmlns:a16="http://schemas.microsoft.com/office/drawing/2014/main" id="{1AF5F7DB-61F9-4DC8-A609-723197A2786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89" name="Text Box 1">
          <a:extLst>
            <a:ext uri="{FF2B5EF4-FFF2-40B4-BE49-F238E27FC236}">
              <a16:creationId xmlns:a16="http://schemas.microsoft.com/office/drawing/2014/main" id="{C21F445C-AAB9-41D8-8BC0-0CAF557BDBF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90" name="Text Box 1">
          <a:extLst>
            <a:ext uri="{FF2B5EF4-FFF2-40B4-BE49-F238E27FC236}">
              <a16:creationId xmlns:a16="http://schemas.microsoft.com/office/drawing/2014/main" id="{45DDFC0D-2213-4321-80AB-222ACB6D58F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91" name="Text Box 1">
          <a:extLst>
            <a:ext uri="{FF2B5EF4-FFF2-40B4-BE49-F238E27FC236}">
              <a16:creationId xmlns:a16="http://schemas.microsoft.com/office/drawing/2014/main" id="{A2A2401E-F129-41D4-999E-52576A1FD72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92" name="Text Box 1">
          <a:extLst>
            <a:ext uri="{FF2B5EF4-FFF2-40B4-BE49-F238E27FC236}">
              <a16:creationId xmlns:a16="http://schemas.microsoft.com/office/drawing/2014/main" id="{D26605C4-162F-4139-9883-16CF222ED15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93" name="Text Box 1">
          <a:extLst>
            <a:ext uri="{FF2B5EF4-FFF2-40B4-BE49-F238E27FC236}">
              <a16:creationId xmlns:a16="http://schemas.microsoft.com/office/drawing/2014/main" id="{FA54AF49-B8B9-488A-98D1-830F564BCD1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94" name="Text Box 1">
          <a:extLst>
            <a:ext uri="{FF2B5EF4-FFF2-40B4-BE49-F238E27FC236}">
              <a16:creationId xmlns:a16="http://schemas.microsoft.com/office/drawing/2014/main" id="{DF90E92B-DCEA-49EF-9140-08DE74713A5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95" name="Text Box 1">
          <a:extLst>
            <a:ext uri="{FF2B5EF4-FFF2-40B4-BE49-F238E27FC236}">
              <a16:creationId xmlns:a16="http://schemas.microsoft.com/office/drawing/2014/main" id="{4F974FEA-D036-420B-B145-00B66B669A7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96" name="Text Box 1">
          <a:extLst>
            <a:ext uri="{FF2B5EF4-FFF2-40B4-BE49-F238E27FC236}">
              <a16:creationId xmlns:a16="http://schemas.microsoft.com/office/drawing/2014/main" id="{05C325ED-EDEA-4A80-AD83-355A37404FD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97" name="Text Box 1">
          <a:extLst>
            <a:ext uri="{FF2B5EF4-FFF2-40B4-BE49-F238E27FC236}">
              <a16:creationId xmlns:a16="http://schemas.microsoft.com/office/drawing/2014/main" id="{B1BE7A25-5305-413A-A7E3-9EBD31C4EDB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98" name="Text Box 1">
          <a:extLst>
            <a:ext uri="{FF2B5EF4-FFF2-40B4-BE49-F238E27FC236}">
              <a16:creationId xmlns:a16="http://schemas.microsoft.com/office/drawing/2014/main" id="{23FCE487-EFCD-46DE-8B12-A275F492FC3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699" name="Text Box 1">
          <a:extLst>
            <a:ext uri="{FF2B5EF4-FFF2-40B4-BE49-F238E27FC236}">
              <a16:creationId xmlns:a16="http://schemas.microsoft.com/office/drawing/2014/main" id="{6A5832A6-EDD4-4D99-889F-12ACF0D84B7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00" name="Text Box 1">
          <a:extLst>
            <a:ext uri="{FF2B5EF4-FFF2-40B4-BE49-F238E27FC236}">
              <a16:creationId xmlns:a16="http://schemas.microsoft.com/office/drawing/2014/main" id="{B991869F-EC4C-4DB0-943B-2F649AA853A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01" name="Text Box 1">
          <a:extLst>
            <a:ext uri="{FF2B5EF4-FFF2-40B4-BE49-F238E27FC236}">
              <a16:creationId xmlns:a16="http://schemas.microsoft.com/office/drawing/2014/main" id="{E477215A-8560-4AC7-AD0E-55EC00ECF74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02" name="Text Box 1">
          <a:extLst>
            <a:ext uri="{FF2B5EF4-FFF2-40B4-BE49-F238E27FC236}">
              <a16:creationId xmlns:a16="http://schemas.microsoft.com/office/drawing/2014/main" id="{788BAC9E-44EC-4A05-9CA7-E22CDDFDBF8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03" name="Text Box 1">
          <a:extLst>
            <a:ext uri="{FF2B5EF4-FFF2-40B4-BE49-F238E27FC236}">
              <a16:creationId xmlns:a16="http://schemas.microsoft.com/office/drawing/2014/main" id="{25A2D021-015A-48FC-ABDC-36D710E7551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04" name="Text Box 1">
          <a:extLst>
            <a:ext uri="{FF2B5EF4-FFF2-40B4-BE49-F238E27FC236}">
              <a16:creationId xmlns:a16="http://schemas.microsoft.com/office/drawing/2014/main" id="{D40EEAFD-7B6C-466F-AD8D-72E5C46D03C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05" name="Text Box 1">
          <a:extLst>
            <a:ext uri="{FF2B5EF4-FFF2-40B4-BE49-F238E27FC236}">
              <a16:creationId xmlns:a16="http://schemas.microsoft.com/office/drawing/2014/main" id="{CB8BEE5A-1AE4-4E78-98CF-DF1DF567FE9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06" name="Text Box 1">
          <a:extLst>
            <a:ext uri="{FF2B5EF4-FFF2-40B4-BE49-F238E27FC236}">
              <a16:creationId xmlns:a16="http://schemas.microsoft.com/office/drawing/2014/main" id="{29D8723D-581C-4EC2-85E1-F388D09F4A5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07" name="Text Box 1">
          <a:extLst>
            <a:ext uri="{FF2B5EF4-FFF2-40B4-BE49-F238E27FC236}">
              <a16:creationId xmlns:a16="http://schemas.microsoft.com/office/drawing/2014/main" id="{783D0F3B-6BC9-4421-94AE-0DD3FC479E3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08" name="Text Box 1">
          <a:extLst>
            <a:ext uri="{FF2B5EF4-FFF2-40B4-BE49-F238E27FC236}">
              <a16:creationId xmlns:a16="http://schemas.microsoft.com/office/drawing/2014/main" id="{69040B32-053C-4FFF-AE46-3FBE4AEAE94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09" name="Text Box 1">
          <a:extLst>
            <a:ext uri="{FF2B5EF4-FFF2-40B4-BE49-F238E27FC236}">
              <a16:creationId xmlns:a16="http://schemas.microsoft.com/office/drawing/2014/main" id="{3CC98E05-6065-4472-AAC6-1DB06C57C6C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10" name="Text Box 1">
          <a:extLst>
            <a:ext uri="{FF2B5EF4-FFF2-40B4-BE49-F238E27FC236}">
              <a16:creationId xmlns:a16="http://schemas.microsoft.com/office/drawing/2014/main" id="{4BA70734-F3D8-41DD-A056-250A0B6BC33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11" name="Text Box 1">
          <a:extLst>
            <a:ext uri="{FF2B5EF4-FFF2-40B4-BE49-F238E27FC236}">
              <a16:creationId xmlns:a16="http://schemas.microsoft.com/office/drawing/2014/main" id="{0F080F25-D31C-4FAB-BD49-2713FC0304C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12" name="Text Box 1">
          <a:extLst>
            <a:ext uri="{FF2B5EF4-FFF2-40B4-BE49-F238E27FC236}">
              <a16:creationId xmlns:a16="http://schemas.microsoft.com/office/drawing/2014/main" id="{D976CC76-6002-41D8-887D-1076E6C54AF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13" name="Text Box 1">
          <a:extLst>
            <a:ext uri="{FF2B5EF4-FFF2-40B4-BE49-F238E27FC236}">
              <a16:creationId xmlns:a16="http://schemas.microsoft.com/office/drawing/2014/main" id="{3D51D905-903B-41F4-B386-97E8E3D0EB8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14" name="Text Box 1">
          <a:extLst>
            <a:ext uri="{FF2B5EF4-FFF2-40B4-BE49-F238E27FC236}">
              <a16:creationId xmlns:a16="http://schemas.microsoft.com/office/drawing/2014/main" id="{83A3117A-FF50-47AE-A42F-74A6E484EE5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15" name="Text Box 1">
          <a:extLst>
            <a:ext uri="{FF2B5EF4-FFF2-40B4-BE49-F238E27FC236}">
              <a16:creationId xmlns:a16="http://schemas.microsoft.com/office/drawing/2014/main" id="{96A2A615-CFBF-4051-B49A-40602FA4757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16" name="Text Box 1">
          <a:extLst>
            <a:ext uri="{FF2B5EF4-FFF2-40B4-BE49-F238E27FC236}">
              <a16:creationId xmlns:a16="http://schemas.microsoft.com/office/drawing/2014/main" id="{DB4A0118-26C2-4280-A695-24AFF807E71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17" name="Text Box 1">
          <a:extLst>
            <a:ext uri="{FF2B5EF4-FFF2-40B4-BE49-F238E27FC236}">
              <a16:creationId xmlns:a16="http://schemas.microsoft.com/office/drawing/2014/main" id="{4064CF49-D5A0-4596-850B-E3A9C7EC2FC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18" name="Text Box 1">
          <a:extLst>
            <a:ext uri="{FF2B5EF4-FFF2-40B4-BE49-F238E27FC236}">
              <a16:creationId xmlns:a16="http://schemas.microsoft.com/office/drawing/2014/main" id="{CCDF8BAE-6419-4CF5-A0AA-FDBEB741A13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19" name="Text Box 1">
          <a:extLst>
            <a:ext uri="{FF2B5EF4-FFF2-40B4-BE49-F238E27FC236}">
              <a16:creationId xmlns:a16="http://schemas.microsoft.com/office/drawing/2014/main" id="{C14F0319-3081-40B9-8E1F-8375AD5FFF4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20" name="Text Box 1">
          <a:extLst>
            <a:ext uri="{FF2B5EF4-FFF2-40B4-BE49-F238E27FC236}">
              <a16:creationId xmlns:a16="http://schemas.microsoft.com/office/drawing/2014/main" id="{97803FA0-5FCF-4FD6-8FC6-0C405B3D151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21" name="Text Box 1">
          <a:extLst>
            <a:ext uri="{FF2B5EF4-FFF2-40B4-BE49-F238E27FC236}">
              <a16:creationId xmlns:a16="http://schemas.microsoft.com/office/drawing/2014/main" id="{3F8FB065-51A8-449D-ACEE-22232D3D6BB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22" name="Text Box 1">
          <a:extLst>
            <a:ext uri="{FF2B5EF4-FFF2-40B4-BE49-F238E27FC236}">
              <a16:creationId xmlns:a16="http://schemas.microsoft.com/office/drawing/2014/main" id="{FDB1366B-887B-46CD-B872-C36D5BB5C9F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23" name="Text Box 1">
          <a:extLst>
            <a:ext uri="{FF2B5EF4-FFF2-40B4-BE49-F238E27FC236}">
              <a16:creationId xmlns:a16="http://schemas.microsoft.com/office/drawing/2014/main" id="{0E333405-4043-4382-AA06-17AA7D65FC3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24" name="Text Box 1">
          <a:extLst>
            <a:ext uri="{FF2B5EF4-FFF2-40B4-BE49-F238E27FC236}">
              <a16:creationId xmlns:a16="http://schemas.microsoft.com/office/drawing/2014/main" id="{D7BC4853-60B3-4183-879B-30DBEB927C5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25" name="Text Box 1">
          <a:extLst>
            <a:ext uri="{FF2B5EF4-FFF2-40B4-BE49-F238E27FC236}">
              <a16:creationId xmlns:a16="http://schemas.microsoft.com/office/drawing/2014/main" id="{204198CF-A6B3-47BF-B888-EB26A1E6C40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26" name="Text Box 1">
          <a:extLst>
            <a:ext uri="{FF2B5EF4-FFF2-40B4-BE49-F238E27FC236}">
              <a16:creationId xmlns:a16="http://schemas.microsoft.com/office/drawing/2014/main" id="{C0AE9919-F564-4E1D-92F4-A880D1C36B5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27" name="Text Box 1">
          <a:extLst>
            <a:ext uri="{FF2B5EF4-FFF2-40B4-BE49-F238E27FC236}">
              <a16:creationId xmlns:a16="http://schemas.microsoft.com/office/drawing/2014/main" id="{D39D98AC-76E0-4454-86D4-3FE4E17E6C1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28" name="Text Box 1">
          <a:extLst>
            <a:ext uri="{FF2B5EF4-FFF2-40B4-BE49-F238E27FC236}">
              <a16:creationId xmlns:a16="http://schemas.microsoft.com/office/drawing/2014/main" id="{B0BA9C63-D46C-4580-A048-8121186C9F5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29" name="Text Box 1">
          <a:extLst>
            <a:ext uri="{FF2B5EF4-FFF2-40B4-BE49-F238E27FC236}">
              <a16:creationId xmlns:a16="http://schemas.microsoft.com/office/drawing/2014/main" id="{E461B259-719C-4D5D-8090-290B6398D12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30" name="Text Box 1">
          <a:extLst>
            <a:ext uri="{FF2B5EF4-FFF2-40B4-BE49-F238E27FC236}">
              <a16:creationId xmlns:a16="http://schemas.microsoft.com/office/drawing/2014/main" id="{9E23A4E5-BCED-4C70-88A0-ABCF18FC35A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31" name="Text Box 1">
          <a:extLst>
            <a:ext uri="{FF2B5EF4-FFF2-40B4-BE49-F238E27FC236}">
              <a16:creationId xmlns:a16="http://schemas.microsoft.com/office/drawing/2014/main" id="{4983E09B-2388-4698-BFFE-ED782ACAA37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32" name="Text Box 1">
          <a:extLst>
            <a:ext uri="{FF2B5EF4-FFF2-40B4-BE49-F238E27FC236}">
              <a16:creationId xmlns:a16="http://schemas.microsoft.com/office/drawing/2014/main" id="{6D2E467E-2B9E-46C8-82EB-C42DCB634F7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33" name="Text Box 1">
          <a:extLst>
            <a:ext uri="{FF2B5EF4-FFF2-40B4-BE49-F238E27FC236}">
              <a16:creationId xmlns:a16="http://schemas.microsoft.com/office/drawing/2014/main" id="{5AEE745E-5745-4D0B-ABD0-BF10DC2E0DF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34" name="Text Box 1">
          <a:extLst>
            <a:ext uri="{FF2B5EF4-FFF2-40B4-BE49-F238E27FC236}">
              <a16:creationId xmlns:a16="http://schemas.microsoft.com/office/drawing/2014/main" id="{6C9527C7-E6BF-4D8A-B203-81508B8D23E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35" name="Text Box 1">
          <a:extLst>
            <a:ext uri="{FF2B5EF4-FFF2-40B4-BE49-F238E27FC236}">
              <a16:creationId xmlns:a16="http://schemas.microsoft.com/office/drawing/2014/main" id="{7ED14E3A-DC16-4C85-AC0B-9B1E4964DEB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36" name="Text Box 1">
          <a:extLst>
            <a:ext uri="{FF2B5EF4-FFF2-40B4-BE49-F238E27FC236}">
              <a16:creationId xmlns:a16="http://schemas.microsoft.com/office/drawing/2014/main" id="{26F971D4-AA87-4B76-8057-AED91944A9D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37" name="Text Box 1">
          <a:extLst>
            <a:ext uri="{FF2B5EF4-FFF2-40B4-BE49-F238E27FC236}">
              <a16:creationId xmlns:a16="http://schemas.microsoft.com/office/drawing/2014/main" id="{38C353D4-A243-4403-9584-6D22D5EF0C9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38" name="Text Box 1">
          <a:extLst>
            <a:ext uri="{FF2B5EF4-FFF2-40B4-BE49-F238E27FC236}">
              <a16:creationId xmlns:a16="http://schemas.microsoft.com/office/drawing/2014/main" id="{DDA6679C-BA69-4CA7-8D8E-719DBEE3A40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39" name="Text Box 1">
          <a:extLst>
            <a:ext uri="{FF2B5EF4-FFF2-40B4-BE49-F238E27FC236}">
              <a16:creationId xmlns:a16="http://schemas.microsoft.com/office/drawing/2014/main" id="{7DCC5DB9-6DB7-4879-B298-F48147B79BE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40" name="Text Box 1">
          <a:extLst>
            <a:ext uri="{FF2B5EF4-FFF2-40B4-BE49-F238E27FC236}">
              <a16:creationId xmlns:a16="http://schemas.microsoft.com/office/drawing/2014/main" id="{B4D67230-DE2E-4E88-8B4A-FE0761663A8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41" name="Text Box 1">
          <a:extLst>
            <a:ext uri="{FF2B5EF4-FFF2-40B4-BE49-F238E27FC236}">
              <a16:creationId xmlns:a16="http://schemas.microsoft.com/office/drawing/2014/main" id="{8F1229B8-B1BD-4694-8F2C-96344728F39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42" name="Text Box 1">
          <a:extLst>
            <a:ext uri="{FF2B5EF4-FFF2-40B4-BE49-F238E27FC236}">
              <a16:creationId xmlns:a16="http://schemas.microsoft.com/office/drawing/2014/main" id="{1FDEC854-7903-437F-8CE3-F7CFDEF02DF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43" name="Text Box 1">
          <a:extLst>
            <a:ext uri="{FF2B5EF4-FFF2-40B4-BE49-F238E27FC236}">
              <a16:creationId xmlns:a16="http://schemas.microsoft.com/office/drawing/2014/main" id="{F95331AF-76C2-42B4-9B88-6B3DAB37B40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44" name="Text Box 1">
          <a:extLst>
            <a:ext uri="{FF2B5EF4-FFF2-40B4-BE49-F238E27FC236}">
              <a16:creationId xmlns:a16="http://schemas.microsoft.com/office/drawing/2014/main" id="{CE450CDB-A513-46AD-BCBE-655FE2C9863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45" name="Text Box 1">
          <a:extLst>
            <a:ext uri="{FF2B5EF4-FFF2-40B4-BE49-F238E27FC236}">
              <a16:creationId xmlns:a16="http://schemas.microsoft.com/office/drawing/2014/main" id="{636EB019-74A7-49ED-98CC-FA663F2230B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46" name="Text Box 1">
          <a:extLst>
            <a:ext uri="{FF2B5EF4-FFF2-40B4-BE49-F238E27FC236}">
              <a16:creationId xmlns:a16="http://schemas.microsoft.com/office/drawing/2014/main" id="{9C3AD707-3EC5-4F28-B3D4-DD00328CE71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47" name="Text Box 1">
          <a:extLst>
            <a:ext uri="{FF2B5EF4-FFF2-40B4-BE49-F238E27FC236}">
              <a16:creationId xmlns:a16="http://schemas.microsoft.com/office/drawing/2014/main" id="{8C277279-1DF4-4215-B8DB-5587872DBC2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48" name="Text Box 1">
          <a:extLst>
            <a:ext uri="{FF2B5EF4-FFF2-40B4-BE49-F238E27FC236}">
              <a16:creationId xmlns:a16="http://schemas.microsoft.com/office/drawing/2014/main" id="{459450A2-C076-455F-8840-6C659C4056E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49" name="Text Box 1">
          <a:extLst>
            <a:ext uri="{FF2B5EF4-FFF2-40B4-BE49-F238E27FC236}">
              <a16:creationId xmlns:a16="http://schemas.microsoft.com/office/drawing/2014/main" id="{BA8E08E8-9AB5-4563-9765-AB1E919ECB9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50" name="Text Box 1">
          <a:extLst>
            <a:ext uri="{FF2B5EF4-FFF2-40B4-BE49-F238E27FC236}">
              <a16:creationId xmlns:a16="http://schemas.microsoft.com/office/drawing/2014/main" id="{3D7DF16C-F38B-4C23-A561-1531F565362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51" name="Text Box 1">
          <a:extLst>
            <a:ext uri="{FF2B5EF4-FFF2-40B4-BE49-F238E27FC236}">
              <a16:creationId xmlns:a16="http://schemas.microsoft.com/office/drawing/2014/main" id="{3039A7AB-F0FF-4B99-923F-89500E93EB5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52" name="Text Box 1">
          <a:extLst>
            <a:ext uri="{FF2B5EF4-FFF2-40B4-BE49-F238E27FC236}">
              <a16:creationId xmlns:a16="http://schemas.microsoft.com/office/drawing/2014/main" id="{52E6BB0F-7D7F-412E-B838-2EF648C37DC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53" name="Text Box 1">
          <a:extLst>
            <a:ext uri="{FF2B5EF4-FFF2-40B4-BE49-F238E27FC236}">
              <a16:creationId xmlns:a16="http://schemas.microsoft.com/office/drawing/2014/main" id="{B7846B22-24E6-4024-B7E7-44B1319A017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54" name="Text Box 1">
          <a:extLst>
            <a:ext uri="{FF2B5EF4-FFF2-40B4-BE49-F238E27FC236}">
              <a16:creationId xmlns:a16="http://schemas.microsoft.com/office/drawing/2014/main" id="{DDDEED18-71A6-43C4-A73B-2FFC5256D44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55" name="Text Box 1">
          <a:extLst>
            <a:ext uri="{FF2B5EF4-FFF2-40B4-BE49-F238E27FC236}">
              <a16:creationId xmlns:a16="http://schemas.microsoft.com/office/drawing/2014/main" id="{8BC5244B-D06C-455E-AC33-193CA06B920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56" name="Text Box 1">
          <a:extLst>
            <a:ext uri="{FF2B5EF4-FFF2-40B4-BE49-F238E27FC236}">
              <a16:creationId xmlns:a16="http://schemas.microsoft.com/office/drawing/2014/main" id="{A8CC4BBE-E8BD-4538-9B26-2B9DF467006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57" name="Text Box 1">
          <a:extLst>
            <a:ext uri="{FF2B5EF4-FFF2-40B4-BE49-F238E27FC236}">
              <a16:creationId xmlns:a16="http://schemas.microsoft.com/office/drawing/2014/main" id="{6C0DF96D-EA60-4D62-B246-A9D962307D7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58" name="Text Box 1">
          <a:extLst>
            <a:ext uri="{FF2B5EF4-FFF2-40B4-BE49-F238E27FC236}">
              <a16:creationId xmlns:a16="http://schemas.microsoft.com/office/drawing/2014/main" id="{6C770262-61F7-43A6-9FEF-7000A3A8663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59" name="Text Box 1">
          <a:extLst>
            <a:ext uri="{FF2B5EF4-FFF2-40B4-BE49-F238E27FC236}">
              <a16:creationId xmlns:a16="http://schemas.microsoft.com/office/drawing/2014/main" id="{159CBE7E-3B1D-4121-A4F4-60458C2BBDC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60" name="Text Box 1">
          <a:extLst>
            <a:ext uri="{FF2B5EF4-FFF2-40B4-BE49-F238E27FC236}">
              <a16:creationId xmlns:a16="http://schemas.microsoft.com/office/drawing/2014/main" id="{BF3EC563-064F-419B-861F-1875AECDF4B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61" name="Text Box 1">
          <a:extLst>
            <a:ext uri="{FF2B5EF4-FFF2-40B4-BE49-F238E27FC236}">
              <a16:creationId xmlns:a16="http://schemas.microsoft.com/office/drawing/2014/main" id="{4C67F5DF-41B2-4496-9C41-F5AC540ACB2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62" name="Text Box 1">
          <a:extLst>
            <a:ext uri="{FF2B5EF4-FFF2-40B4-BE49-F238E27FC236}">
              <a16:creationId xmlns:a16="http://schemas.microsoft.com/office/drawing/2014/main" id="{DC6694D5-6A5D-4787-A5D7-A04B7950A65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63" name="Text Box 1">
          <a:extLst>
            <a:ext uri="{FF2B5EF4-FFF2-40B4-BE49-F238E27FC236}">
              <a16:creationId xmlns:a16="http://schemas.microsoft.com/office/drawing/2014/main" id="{D741C403-3BF4-411E-A96B-B975845AB7E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64" name="Text Box 1">
          <a:extLst>
            <a:ext uri="{FF2B5EF4-FFF2-40B4-BE49-F238E27FC236}">
              <a16:creationId xmlns:a16="http://schemas.microsoft.com/office/drawing/2014/main" id="{776B0C0D-EC2D-4209-85B9-DAF06A49BCE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65" name="Text Box 1">
          <a:extLst>
            <a:ext uri="{FF2B5EF4-FFF2-40B4-BE49-F238E27FC236}">
              <a16:creationId xmlns:a16="http://schemas.microsoft.com/office/drawing/2014/main" id="{3AF77250-E9D8-4E8A-A85A-B7772D68AE4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66" name="Text Box 1">
          <a:extLst>
            <a:ext uri="{FF2B5EF4-FFF2-40B4-BE49-F238E27FC236}">
              <a16:creationId xmlns:a16="http://schemas.microsoft.com/office/drawing/2014/main" id="{B0F2458A-0ECC-49B2-8E58-A2AF748E292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67" name="Text Box 1">
          <a:extLst>
            <a:ext uri="{FF2B5EF4-FFF2-40B4-BE49-F238E27FC236}">
              <a16:creationId xmlns:a16="http://schemas.microsoft.com/office/drawing/2014/main" id="{DF55A447-7644-4BD5-B011-5A76E5B830D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68" name="Text Box 1">
          <a:extLst>
            <a:ext uri="{FF2B5EF4-FFF2-40B4-BE49-F238E27FC236}">
              <a16:creationId xmlns:a16="http://schemas.microsoft.com/office/drawing/2014/main" id="{8FF8EB16-AD23-4E4C-BF4E-F3BDDDED54D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69" name="Text Box 1">
          <a:extLst>
            <a:ext uri="{FF2B5EF4-FFF2-40B4-BE49-F238E27FC236}">
              <a16:creationId xmlns:a16="http://schemas.microsoft.com/office/drawing/2014/main" id="{3F74F4F2-D866-42DB-B5BA-9A74DD479B6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70" name="Text Box 1">
          <a:extLst>
            <a:ext uri="{FF2B5EF4-FFF2-40B4-BE49-F238E27FC236}">
              <a16:creationId xmlns:a16="http://schemas.microsoft.com/office/drawing/2014/main" id="{384C651A-1CF8-479B-82A1-9DA15FA02CC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71" name="Text Box 1">
          <a:extLst>
            <a:ext uri="{FF2B5EF4-FFF2-40B4-BE49-F238E27FC236}">
              <a16:creationId xmlns:a16="http://schemas.microsoft.com/office/drawing/2014/main" id="{787C7ABB-0211-4BBB-9CE2-BA9719DFA0B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72" name="Text Box 1">
          <a:extLst>
            <a:ext uri="{FF2B5EF4-FFF2-40B4-BE49-F238E27FC236}">
              <a16:creationId xmlns:a16="http://schemas.microsoft.com/office/drawing/2014/main" id="{B7A09893-E72B-4AE0-8917-0779C1F1BC8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73" name="Text Box 1">
          <a:extLst>
            <a:ext uri="{FF2B5EF4-FFF2-40B4-BE49-F238E27FC236}">
              <a16:creationId xmlns:a16="http://schemas.microsoft.com/office/drawing/2014/main" id="{75933243-FEFE-4725-9B6E-D95BCF3A779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74" name="Text Box 1">
          <a:extLst>
            <a:ext uri="{FF2B5EF4-FFF2-40B4-BE49-F238E27FC236}">
              <a16:creationId xmlns:a16="http://schemas.microsoft.com/office/drawing/2014/main" id="{5B5F66AB-9530-4D86-A424-69729807470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75" name="Text Box 1">
          <a:extLst>
            <a:ext uri="{FF2B5EF4-FFF2-40B4-BE49-F238E27FC236}">
              <a16:creationId xmlns:a16="http://schemas.microsoft.com/office/drawing/2014/main" id="{2A9F2EB6-6EB1-4293-A495-A5F4646C6F0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76" name="Text Box 1">
          <a:extLst>
            <a:ext uri="{FF2B5EF4-FFF2-40B4-BE49-F238E27FC236}">
              <a16:creationId xmlns:a16="http://schemas.microsoft.com/office/drawing/2014/main" id="{3B54DEC8-BFFE-4465-AE03-0210515AF7D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77" name="Text Box 1">
          <a:extLst>
            <a:ext uri="{FF2B5EF4-FFF2-40B4-BE49-F238E27FC236}">
              <a16:creationId xmlns:a16="http://schemas.microsoft.com/office/drawing/2014/main" id="{D0381C2D-00C6-4BB9-A2D8-C6039A76644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78" name="Text Box 1">
          <a:extLst>
            <a:ext uri="{FF2B5EF4-FFF2-40B4-BE49-F238E27FC236}">
              <a16:creationId xmlns:a16="http://schemas.microsoft.com/office/drawing/2014/main" id="{7A062BC1-2B19-4AE5-8BFD-22200BB5F9B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79" name="Text Box 1">
          <a:extLst>
            <a:ext uri="{FF2B5EF4-FFF2-40B4-BE49-F238E27FC236}">
              <a16:creationId xmlns:a16="http://schemas.microsoft.com/office/drawing/2014/main" id="{4029E90E-2BE1-4610-AAB8-AB7E33C0FAC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80" name="Text Box 1">
          <a:extLst>
            <a:ext uri="{FF2B5EF4-FFF2-40B4-BE49-F238E27FC236}">
              <a16:creationId xmlns:a16="http://schemas.microsoft.com/office/drawing/2014/main" id="{806F45F5-C823-46AA-9E14-B2BA3AF27C0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81" name="Text Box 1">
          <a:extLst>
            <a:ext uri="{FF2B5EF4-FFF2-40B4-BE49-F238E27FC236}">
              <a16:creationId xmlns:a16="http://schemas.microsoft.com/office/drawing/2014/main" id="{88E8E78D-98DB-426F-AE6B-3C92EAEDF45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82" name="Text Box 1">
          <a:extLst>
            <a:ext uri="{FF2B5EF4-FFF2-40B4-BE49-F238E27FC236}">
              <a16:creationId xmlns:a16="http://schemas.microsoft.com/office/drawing/2014/main" id="{818D51A6-C188-408C-93AF-5F5D2E80C53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83" name="Text Box 1">
          <a:extLst>
            <a:ext uri="{FF2B5EF4-FFF2-40B4-BE49-F238E27FC236}">
              <a16:creationId xmlns:a16="http://schemas.microsoft.com/office/drawing/2014/main" id="{88CEBC68-6547-49BA-A309-22CDDCACD31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84" name="Text Box 1">
          <a:extLst>
            <a:ext uri="{FF2B5EF4-FFF2-40B4-BE49-F238E27FC236}">
              <a16:creationId xmlns:a16="http://schemas.microsoft.com/office/drawing/2014/main" id="{E49EE866-FB70-474F-A6E7-569B5657D5E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85" name="Text Box 1">
          <a:extLst>
            <a:ext uri="{FF2B5EF4-FFF2-40B4-BE49-F238E27FC236}">
              <a16:creationId xmlns:a16="http://schemas.microsoft.com/office/drawing/2014/main" id="{2552E91D-599A-45F0-8275-04288763363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86" name="Text Box 1">
          <a:extLst>
            <a:ext uri="{FF2B5EF4-FFF2-40B4-BE49-F238E27FC236}">
              <a16:creationId xmlns:a16="http://schemas.microsoft.com/office/drawing/2014/main" id="{AFAB5EF9-9087-47A9-AABA-415D6ED9D0F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87" name="Text Box 1">
          <a:extLst>
            <a:ext uri="{FF2B5EF4-FFF2-40B4-BE49-F238E27FC236}">
              <a16:creationId xmlns:a16="http://schemas.microsoft.com/office/drawing/2014/main" id="{62A67625-62FE-46CD-8469-164D3B5D31F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88" name="Text Box 1">
          <a:extLst>
            <a:ext uri="{FF2B5EF4-FFF2-40B4-BE49-F238E27FC236}">
              <a16:creationId xmlns:a16="http://schemas.microsoft.com/office/drawing/2014/main" id="{51F71700-EEB6-41C9-AB7A-51B1DBCED86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89" name="Text Box 1">
          <a:extLst>
            <a:ext uri="{FF2B5EF4-FFF2-40B4-BE49-F238E27FC236}">
              <a16:creationId xmlns:a16="http://schemas.microsoft.com/office/drawing/2014/main" id="{2B39F527-D62C-4851-BCBE-14057DE177A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90" name="Text Box 1">
          <a:extLst>
            <a:ext uri="{FF2B5EF4-FFF2-40B4-BE49-F238E27FC236}">
              <a16:creationId xmlns:a16="http://schemas.microsoft.com/office/drawing/2014/main" id="{60B292DC-468C-4EB6-954F-313F9C14134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91" name="Text Box 1">
          <a:extLst>
            <a:ext uri="{FF2B5EF4-FFF2-40B4-BE49-F238E27FC236}">
              <a16:creationId xmlns:a16="http://schemas.microsoft.com/office/drawing/2014/main" id="{E50C436A-2D6D-40A1-BDD6-67DECB5985C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92" name="Text Box 1">
          <a:extLst>
            <a:ext uri="{FF2B5EF4-FFF2-40B4-BE49-F238E27FC236}">
              <a16:creationId xmlns:a16="http://schemas.microsoft.com/office/drawing/2014/main" id="{FC2AD570-1E84-45A2-BD36-E22A297EBC6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93" name="Text Box 1">
          <a:extLst>
            <a:ext uri="{FF2B5EF4-FFF2-40B4-BE49-F238E27FC236}">
              <a16:creationId xmlns:a16="http://schemas.microsoft.com/office/drawing/2014/main" id="{D49375B8-0375-4A03-B573-A29A8CC1E69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94" name="Text Box 1">
          <a:extLst>
            <a:ext uri="{FF2B5EF4-FFF2-40B4-BE49-F238E27FC236}">
              <a16:creationId xmlns:a16="http://schemas.microsoft.com/office/drawing/2014/main" id="{A7A6B8AB-2716-4C81-A61F-93D4FA80E38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95" name="Text Box 1">
          <a:extLst>
            <a:ext uri="{FF2B5EF4-FFF2-40B4-BE49-F238E27FC236}">
              <a16:creationId xmlns:a16="http://schemas.microsoft.com/office/drawing/2014/main" id="{363B3E54-6B36-4F9C-A4F9-16A94EB0C47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96" name="Text Box 1">
          <a:extLst>
            <a:ext uri="{FF2B5EF4-FFF2-40B4-BE49-F238E27FC236}">
              <a16:creationId xmlns:a16="http://schemas.microsoft.com/office/drawing/2014/main" id="{D199A543-71F7-4E4E-9BCD-308760859E9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97" name="Text Box 1">
          <a:extLst>
            <a:ext uri="{FF2B5EF4-FFF2-40B4-BE49-F238E27FC236}">
              <a16:creationId xmlns:a16="http://schemas.microsoft.com/office/drawing/2014/main" id="{859DD7DC-36CE-4F80-8241-29D5CF187BE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98" name="Text Box 1">
          <a:extLst>
            <a:ext uri="{FF2B5EF4-FFF2-40B4-BE49-F238E27FC236}">
              <a16:creationId xmlns:a16="http://schemas.microsoft.com/office/drawing/2014/main" id="{261C443F-B8BB-41CD-A966-3D92798838D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799" name="Text Box 1">
          <a:extLst>
            <a:ext uri="{FF2B5EF4-FFF2-40B4-BE49-F238E27FC236}">
              <a16:creationId xmlns:a16="http://schemas.microsoft.com/office/drawing/2014/main" id="{B51D1085-1F6F-4277-980E-CAAF70DFF6F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00" name="Text Box 1">
          <a:extLst>
            <a:ext uri="{FF2B5EF4-FFF2-40B4-BE49-F238E27FC236}">
              <a16:creationId xmlns:a16="http://schemas.microsoft.com/office/drawing/2014/main" id="{01DBF8F9-B734-4AF6-8EFC-F2CE4E278F7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01" name="Text Box 1">
          <a:extLst>
            <a:ext uri="{FF2B5EF4-FFF2-40B4-BE49-F238E27FC236}">
              <a16:creationId xmlns:a16="http://schemas.microsoft.com/office/drawing/2014/main" id="{CCE0D100-81BC-4BB7-A3F6-C47B05E0F58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02" name="Text Box 1">
          <a:extLst>
            <a:ext uri="{FF2B5EF4-FFF2-40B4-BE49-F238E27FC236}">
              <a16:creationId xmlns:a16="http://schemas.microsoft.com/office/drawing/2014/main" id="{DFFEB3A7-C836-4EE1-9ECB-BEA827174AC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03" name="Text Box 1">
          <a:extLst>
            <a:ext uri="{FF2B5EF4-FFF2-40B4-BE49-F238E27FC236}">
              <a16:creationId xmlns:a16="http://schemas.microsoft.com/office/drawing/2014/main" id="{96F4341E-5993-4B62-A771-014FC435E9C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04" name="Text Box 1">
          <a:extLst>
            <a:ext uri="{FF2B5EF4-FFF2-40B4-BE49-F238E27FC236}">
              <a16:creationId xmlns:a16="http://schemas.microsoft.com/office/drawing/2014/main" id="{19FC653B-E3BA-485D-BC8E-C06E63DCBBE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05" name="Text Box 1">
          <a:extLst>
            <a:ext uri="{FF2B5EF4-FFF2-40B4-BE49-F238E27FC236}">
              <a16:creationId xmlns:a16="http://schemas.microsoft.com/office/drawing/2014/main" id="{08BA4659-C736-49DF-8B2B-7A33A1A83D0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06" name="Text Box 1">
          <a:extLst>
            <a:ext uri="{FF2B5EF4-FFF2-40B4-BE49-F238E27FC236}">
              <a16:creationId xmlns:a16="http://schemas.microsoft.com/office/drawing/2014/main" id="{9D60A3D2-6FC3-44E7-9490-6846AAD5F45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07" name="Text Box 1">
          <a:extLst>
            <a:ext uri="{FF2B5EF4-FFF2-40B4-BE49-F238E27FC236}">
              <a16:creationId xmlns:a16="http://schemas.microsoft.com/office/drawing/2014/main" id="{3A969BEC-CA39-4086-9A62-92D07C9A1A0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08" name="Text Box 1">
          <a:extLst>
            <a:ext uri="{FF2B5EF4-FFF2-40B4-BE49-F238E27FC236}">
              <a16:creationId xmlns:a16="http://schemas.microsoft.com/office/drawing/2014/main" id="{74DFE589-789D-4CD6-BD31-A14E89C5FC3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09" name="Text Box 1">
          <a:extLst>
            <a:ext uri="{FF2B5EF4-FFF2-40B4-BE49-F238E27FC236}">
              <a16:creationId xmlns:a16="http://schemas.microsoft.com/office/drawing/2014/main" id="{908AA279-AEAA-43D5-AE5E-F1D3A3F8B78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10" name="Text Box 1">
          <a:extLst>
            <a:ext uri="{FF2B5EF4-FFF2-40B4-BE49-F238E27FC236}">
              <a16:creationId xmlns:a16="http://schemas.microsoft.com/office/drawing/2014/main" id="{7DB589CE-DCBD-4CB9-91C1-D08B1A76922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11" name="Text Box 1">
          <a:extLst>
            <a:ext uri="{FF2B5EF4-FFF2-40B4-BE49-F238E27FC236}">
              <a16:creationId xmlns:a16="http://schemas.microsoft.com/office/drawing/2014/main" id="{B6C0534A-5667-461E-8B98-FA24D5DEFF4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12" name="Text Box 1">
          <a:extLst>
            <a:ext uri="{FF2B5EF4-FFF2-40B4-BE49-F238E27FC236}">
              <a16:creationId xmlns:a16="http://schemas.microsoft.com/office/drawing/2014/main" id="{CFCC7021-2349-4B0A-93EF-136FFCBC8DC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13" name="Text Box 1">
          <a:extLst>
            <a:ext uri="{FF2B5EF4-FFF2-40B4-BE49-F238E27FC236}">
              <a16:creationId xmlns:a16="http://schemas.microsoft.com/office/drawing/2014/main" id="{962BBF01-97B8-44CB-81D0-CECA976052F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14" name="Text Box 1">
          <a:extLst>
            <a:ext uri="{FF2B5EF4-FFF2-40B4-BE49-F238E27FC236}">
              <a16:creationId xmlns:a16="http://schemas.microsoft.com/office/drawing/2014/main" id="{7C099301-8F74-4DCA-8F56-1FFFB6AF7CB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15" name="Text Box 1">
          <a:extLst>
            <a:ext uri="{FF2B5EF4-FFF2-40B4-BE49-F238E27FC236}">
              <a16:creationId xmlns:a16="http://schemas.microsoft.com/office/drawing/2014/main" id="{E6B21C9E-E36F-4915-9E2C-B06082A624E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16" name="Text Box 1">
          <a:extLst>
            <a:ext uri="{FF2B5EF4-FFF2-40B4-BE49-F238E27FC236}">
              <a16:creationId xmlns:a16="http://schemas.microsoft.com/office/drawing/2014/main" id="{FCC8B032-4D31-4218-9955-7666B2781F2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17" name="Text Box 1">
          <a:extLst>
            <a:ext uri="{FF2B5EF4-FFF2-40B4-BE49-F238E27FC236}">
              <a16:creationId xmlns:a16="http://schemas.microsoft.com/office/drawing/2014/main" id="{FCC5FFBE-5C45-4318-9D3B-D81564D771F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18" name="Text Box 1">
          <a:extLst>
            <a:ext uri="{FF2B5EF4-FFF2-40B4-BE49-F238E27FC236}">
              <a16:creationId xmlns:a16="http://schemas.microsoft.com/office/drawing/2014/main" id="{8C43FFCC-8D1F-4447-83C6-49B22584FA4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19" name="Text Box 1">
          <a:extLst>
            <a:ext uri="{FF2B5EF4-FFF2-40B4-BE49-F238E27FC236}">
              <a16:creationId xmlns:a16="http://schemas.microsoft.com/office/drawing/2014/main" id="{800830EE-DD98-4D0A-8090-BA8666909BD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20" name="Text Box 1">
          <a:extLst>
            <a:ext uri="{FF2B5EF4-FFF2-40B4-BE49-F238E27FC236}">
              <a16:creationId xmlns:a16="http://schemas.microsoft.com/office/drawing/2014/main" id="{EC5EA660-183F-447D-A617-0510DD778A4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21" name="Text Box 1">
          <a:extLst>
            <a:ext uri="{FF2B5EF4-FFF2-40B4-BE49-F238E27FC236}">
              <a16:creationId xmlns:a16="http://schemas.microsoft.com/office/drawing/2014/main" id="{648D1CF4-6953-4B45-9A69-6F3A3544320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22" name="Text Box 1">
          <a:extLst>
            <a:ext uri="{FF2B5EF4-FFF2-40B4-BE49-F238E27FC236}">
              <a16:creationId xmlns:a16="http://schemas.microsoft.com/office/drawing/2014/main" id="{2496AA3B-A3E5-48A7-A103-5F22A7C930C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23" name="Text Box 1">
          <a:extLst>
            <a:ext uri="{FF2B5EF4-FFF2-40B4-BE49-F238E27FC236}">
              <a16:creationId xmlns:a16="http://schemas.microsoft.com/office/drawing/2014/main" id="{931B85BD-AAF3-49A3-BBA0-57B1BC7C6F1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24" name="Text Box 1">
          <a:extLst>
            <a:ext uri="{FF2B5EF4-FFF2-40B4-BE49-F238E27FC236}">
              <a16:creationId xmlns:a16="http://schemas.microsoft.com/office/drawing/2014/main" id="{4572FEA9-388F-49C7-8AEC-8A43C9D39ED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25" name="Text Box 1">
          <a:extLst>
            <a:ext uri="{FF2B5EF4-FFF2-40B4-BE49-F238E27FC236}">
              <a16:creationId xmlns:a16="http://schemas.microsoft.com/office/drawing/2014/main" id="{2D97F63B-0957-46C3-A440-3CC260DD8D4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26" name="Text Box 1">
          <a:extLst>
            <a:ext uri="{FF2B5EF4-FFF2-40B4-BE49-F238E27FC236}">
              <a16:creationId xmlns:a16="http://schemas.microsoft.com/office/drawing/2014/main" id="{6CEC77F7-B7AB-4595-A3DC-8E0CB188369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27" name="Text Box 1">
          <a:extLst>
            <a:ext uri="{FF2B5EF4-FFF2-40B4-BE49-F238E27FC236}">
              <a16:creationId xmlns:a16="http://schemas.microsoft.com/office/drawing/2014/main" id="{F8F846E4-CA90-407A-88F1-01FE9E1322B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28" name="Text Box 1">
          <a:extLst>
            <a:ext uri="{FF2B5EF4-FFF2-40B4-BE49-F238E27FC236}">
              <a16:creationId xmlns:a16="http://schemas.microsoft.com/office/drawing/2014/main" id="{9DBB4F89-66BB-481D-942F-AA210CD9386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29" name="Text Box 1">
          <a:extLst>
            <a:ext uri="{FF2B5EF4-FFF2-40B4-BE49-F238E27FC236}">
              <a16:creationId xmlns:a16="http://schemas.microsoft.com/office/drawing/2014/main" id="{DD11070C-A95A-45F3-999F-58F2F26C222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30" name="Text Box 1">
          <a:extLst>
            <a:ext uri="{FF2B5EF4-FFF2-40B4-BE49-F238E27FC236}">
              <a16:creationId xmlns:a16="http://schemas.microsoft.com/office/drawing/2014/main" id="{F60F4E74-7711-4301-97F4-D033C3388C7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31" name="Text Box 1">
          <a:extLst>
            <a:ext uri="{FF2B5EF4-FFF2-40B4-BE49-F238E27FC236}">
              <a16:creationId xmlns:a16="http://schemas.microsoft.com/office/drawing/2014/main" id="{5F48D601-FA03-4D50-A295-3BB8EA6FEF4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32" name="Text Box 1">
          <a:extLst>
            <a:ext uri="{FF2B5EF4-FFF2-40B4-BE49-F238E27FC236}">
              <a16:creationId xmlns:a16="http://schemas.microsoft.com/office/drawing/2014/main" id="{B9166586-C6C9-487A-BFD0-A7A55FDF23C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33" name="Text Box 1">
          <a:extLst>
            <a:ext uri="{FF2B5EF4-FFF2-40B4-BE49-F238E27FC236}">
              <a16:creationId xmlns:a16="http://schemas.microsoft.com/office/drawing/2014/main" id="{E09DD42E-1A66-495A-AD33-AA9885C8B9B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34" name="Text Box 1">
          <a:extLst>
            <a:ext uri="{FF2B5EF4-FFF2-40B4-BE49-F238E27FC236}">
              <a16:creationId xmlns:a16="http://schemas.microsoft.com/office/drawing/2014/main" id="{63588A52-F09A-48D4-B003-BFCAE606FF9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35" name="Text Box 1">
          <a:extLst>
            <a:ext uri="{FF2B5EF4-FFF2-40B4-BE49-F238E27FC236}">
              <a16:creationId xmlns:a16="http://schemas.microsoft.com/office/drawing/2014/main" id="{CDC4E37F-FDDF-4136-9614-B2B86137EE1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36" name="Text Box 1">
          <a:extLst>
            <a:ext uri="{FF2B5EF4-FFF2-40B4-BE49-F238E27FC236}">
              <a16:creationId xmlns:a16="http://schemas.microsoft.com/office/drawing/2014/main" id="{89A319ED-6CD2-44CE-8834-BA4638F3808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37" name="Text Box 1">
          <a:extLst>
            <a:ext uri="{FF2B5EF4-FFF2-40B4-BE49-F238E27FC236}">
              <a16:creationId xmlns:a16="http://schemas.microsoft.com/office/drawing/2014/main" id="{96D37F36-4478-4975-BDDF-82FD94A93CB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38" name="Text Box 1">
          <a:extLst>
            <a:ext uri="{FF2B5EF4-FFF2-40B4-BE49-F238E27FC236}">
              <a16:creationId xmlns:a16="http://schemas.microsoft.com/office/drawing/2014/main" id="{9FA77F2D-EE1A-4589-BCA8-63384384A5F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39" name="Text Box 1">
          <a:extLst>
            <a:ext uri="{FF2B5EF4-FFF2-40B4-BE49-F238E27FC236}">
              <a16:creationId xmlns:a16="http://schemas.microsoft.com/office/drawing/2014/main" id="{55B1EB1D-C174-44DE-B6BE-5E889D66233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40" name="Text Box 1">
          <a:extLst>
            <a:ext uri="{FF2B5EF4-FFF2-40B4-BE49-F238E27FC236}">
              <a16:creationId xmlns:a16="http://schemas.microsoft.com/office/drawing/2014/main" id="{CF167C6F-D99E-4E01-9AD5-7C78754B052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41" name="Text Box 1">
          <a:extLst>
            <a:ext uri="{FF2B5EF4-FFF2-40B4-BE49-F238E27FC236}">
              <a16:creationId xmlns:a16="http://schemas.microsoft.com/office/drawing/2014/main" id="{70F3144A-09D9-42D2-A91B-01A975E19F5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42" name="Text Box 1">
          <a:extLst>
            <a:ext uri="{FF2B5EF4-FFF2-40B4-BE49-F238E27FC236}">
              <a16:creationId xmlns:a16="http://schemas.microsoft.com/office/drawing/2014/main" id="{69E338DD-4131-4F11-A1A0-0A76655E6A6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43" name="Text Box 1">
          <a:extLst>
            <a:ext uri="{FF2B5EF4-FFF2-40B4-BE49-F238E27FC236}">
              <a16:creationId xmlns:a16="http://schemas.microsoft.com/office/drawing/2014/main" id="{D4FD0FB6-9BFD-48A1-90F5-9F95443B45E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44" name="Text Box 1">
          <a:extLst>
            <a:ext uri="{FF2B5EF4-FFF2-40B4-BE49-F238E27FC236}">
              <a16:creationId xmlns:a16="http://schemas.microsoft.com/office/drawing/2014/main" id="{A1EBDABE-DF70-4B92-A08D-FC5B35A5AAA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45" name="Text Box 1">
          <a:extLst>
            <a:ext uri="{FF2B5EF4-FFF2-40B4-BE49-F238E27FC236}">
              <a16:creationId xmlns:a16="http://schemas.microsoft.com/office/drawing/2014/main" id="{837FA834-3E6F-4D94-93AF-F563DE075C9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46" name="Text Box 1">
          <a:extLst>
            <a:ext uri="{FF2B5EF4-FFF2-40B4-BE49-F238E27FC236}">
              <a16:creationId xmlns:a16="http://schemas.microsoft.com/office/drawing/2014/main" id="{FEB8A99B-6209-4854-A75F-684DCF66A0A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47" name="Text Box 1">
          <a:extLst>
            <a:ext uri="{FF2B5EF4-FFF2-40B4-BE49-F238E27FC236}">
              <a16:creationId xmlns:a16="http://schemas.microsoft.com/office/drawing/2014/main" id="{04433075-6DAC-4D55-942B-A4A90F2BECB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48" name="Text Box 1">
          <a:extLst>
            <a:ext uri="{FF2B5EF4-FFF2-40B4-BE49-F238E27FC236}">
              <a16:creationId xmlns:a16="http://schemas.microsoft.com/office/drawing/2014/main" id="{71DD2214-FC79-4FEE-A2FA-D4BDFC68B8F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49" name="Text Box 1">
          <a:extLst>
            <a:ext uri="{FF2B5EF4-FFF2-40B4-BE49-F238E27FC236}">
              <a16:creationId xmlns:a16="http://schemas.microsoft.com/office/drawing/2014/main" id="{ED39BD1E-23DD-4374-94A0-8D21E34E8B1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50" name="Text Box 1">
          <a:extLst>
            <a:ext uri="{FF2B5EF4-FFF2-40B4-BE49-F238E27FC236}">
              <a16:creationId xmlns:a16="http://schemas.microsoft.com/office/drawing/2014/main" id="{EA38B452-EE1A-403C-9D3C-581036C2EC7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51" name="Text Box 1">
          <a:extLst>
            <a:ext uri="{FF2B5EF4-FFF2-40B4-BE49-F238E27FC236}">
              <a16:creationId xmlns:a16="http://schemas.microsoft.com/office/drawing/2014/main" id="{2DD66EA7-D94B-4BEA-B114-7BA4D104E31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52" name="Text Box 1">
          <a:extLst>
            <a:ext uri="{FF2B5EF4-FFF2-40B4-BE49-F238E27FC236}">
              <a16:creationId xmlns:a16="http://schemas.microsoft.com/office/drawing/2014/main" id="{EEFDA297-7938-498E-946E-4E336A773F5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53" name="Text Box 1">
          <a:extLst>
            <a:ext uri="{FF2B5EF4-FFF2-40B4-BE49-F238E27FC236}">
              <a16:creationId xmlns:a16="http://schemas.microsoft.com/office/drawing/2014/main" id="{B9CFB2C8-BEE7-4226-94B8-11CF11FE302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54" name="Text Box 1">
          <a:extLst>
            <a:ext uri="{FF2B5EF4-FFF2-40B4-BE49-F238E27FC236}">
              <a16:creationId xmlns:a16="http://schemas.microsoft.com/office/drawing/2014/main" id="{EEB50173-AD1F-4521-B6D4-B2B2DB6972B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55" name="Text Box 1">
          <a:extLst>
            <a:ext uri="{FF2B5EF4-FFF2-40B4-BE49-F238E27FC236}">
              <a16:creationId xmlns:a16="http://schemas.microsoft.com/office/drawing/2014/main" id="{4E4DE467-FB1A-464A-A2B3-71E20CB8B90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56" name="Text Box 1">
          <a:extLst>
            <a:ext uri="{FF2B5EF4-FFF2-40B4-BE49-F238E27FC236}">
              <a16:creationId xmlns:a16="http://schemas.microsoft.com/office/drawing/2014/main" id="{D89A2116-5876-4B51-999E-91A524DEF2B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57" name="Text Box 1">
          <a:extLst>
            <a:ext uri="{FF2B5EF4-FFF2-40B4-BE49-F238E27FC236}">
              <a16:creationId xmlns:a16="http://schemas.microsoft.com/office/drawing/2014/main" id="{A808D457-9159-461F-9790-A487ABDF9B6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58" name="Text Box 1">
          <a:extLst>
            <a:ext uri="{FF2B5EF4-FFF2-40B4-BE49-F238E27FC236}">
              <a16:creationId xmlns:a16="http://schemas.microsoft.com/office/drawing/2014/main" id="{7A78488E-0FFF-4524-ADC3-181734A96CE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59" name="Text Box 1">
          <a:extLst>
            <a:ext uri="{FF2B5EF4-FFF2-40B4-BE49-F238E27FC236}">
              <a16:creationId xmlns:a16="http://schemas.microsoft.com/office/drawing/2014/main" id="{0274ED66-F5F2-45A7-84C7-82AF183BC84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60" name="Text Box 1">
          <a:extLst>
            <a:ext uri="{FF2B5EF4-FFF2-40B4-BE49-F238E27FC236}">
              <a16:creationId xmlns:a16="http://schemas.microsoft.com/office/drawing/2014/main" id="{C5CFCC99-98F8-42EE-8D39-283C5067A7C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61" name="Text Box 1">
          <a:extLst>
            <a:ext uri="{FF2B5EF4-FFF2-40B4-BE49-F238E27FC236}">
              <a16:creationId xmlns:a16="http://schemas.microsoft.com/office/drawing/2014/main" id="{F02C83A7-7836-4CB4-84A5-578345F25D9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62" name="Text Box 1">
          <a:extLst>
            <a:ext uri="{FF2B5EF4-FFF2-40B4-BE49-F238E27FC236}">
              <a16:creationId xmlns:a16="http://schemas.microsoft.com/office/drawing/2014/main" id="{77658F6C-580D-40CD-AB54-4CBD2FC51BB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63" name="Text Box 1">
          <a:extLst>
            <a:ext uri="{FF2B5EF4-FFF2-40B4-BE49-F238E27FC236}">
              <a16:creationId xmlns:a16="http://schemas.microsoft.com/office/drawing/2014/main" id="{79AE4CC1-238A-47F5-89B1-5B18CF7BA7F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64" name="Text Box 1">
          <a:extLst>
            <a:ext uri="{FF2B5EF4-FFF2-40B4-BE49-F238E27FC236}">
              <a16:creationId xmlns:a16="http://schemas.microsoft.com/office/drawing/2014/main" id="{C9EB8B22-0E40-4EFA-9119-3700126562B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65" name="Text Box 1">
          <a:extLst>
            <a:ext uri="{FF2B5EF4-FFF2-40B4-BE49-F238E27FC236}">
              <a16:creationId xmlns:a16="http://schemas.microsoft.com/office/drawing/2014/main" id="{F970291D-9EA6-4E5F-A7AF-3340CD1262E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66" name="Text Box 1">
          <a:extLst>
            <a:ext uri="{FF2B5EF4-FFF2-40B4-BE49-F238E27FC236}">
              <a16:creationId xmlns:a16="http://schemas.microsoft.com/office/drawing/2014/main" id="{1EDDFB0D-53FA-45A5-B9A2-0691CF486F2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67" name="Text Box 1">
          <a:extLst>
            <a:ext uri="{FF2B5EF4-FFF2-40B4-BE49-F238E27FC236}">
              <a16:creationId xmlns:a16="http://schemas.microsoft.com/office/drawing/2014/main" id="{8BF93135-B98D-4AE0-A186-253B536B93D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68" name="Text Box 1">
          <a:extLst>
            <a:ext uri="{FF2B5EF4-FFF2-40B4-BE49-F238E27FC236}">
              <a16:creationId xmlns:a16="http://schemas.microsoft.com/office/drawing/2014/main" id="{DA157A59-C939-4621-868D-C41C9FD89AC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69" name="Text Box 1">
          <a:extLst>
            <a:ext uri="{FF2B5EF4-FFF2-40B4-BE49-F238E27FC236}">
              <a16:creationId xmlns:a16="http://schemas.microsoft.com/office/drawing/2014/main" id="{755A8104-1C86-49F4-9891-878EA821105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70" name="Text Box 1">
          <a:extLst>
            <a:ext uri="{FF2B5EF4-FFF2-40B4-BE49-F238E27FC236}">
              <a16:creationId xmlns:a16="http://schemas.microsoft.com/office/drawing/2014/main" id="{C0613F25-3FF4-4A9E-B048-179C65FA276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71" name="Text Box 1">
          <a:extLst>
            <a:ext uri="{FF2B5EF4-FFF2-40B4-BE49-F238E27FC236}">
              <a16:creationId xmlns:a16="http://schemas.microsoft.com/office/drawing/2014/main" id="{1764B7C1-26D9-4192-8D28-B5296057991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72" name="Text Box 1">
          <a:extLst>
            <a:ext uri="{FF2B5EF4-FFF2-40B4-BE49-F238E27FC236}">
              <a16:creationId xmlns:a16="http://schemas.microsoft.com/office/drawing/2014/main" id="{28AEEAD4-B021-4789-ADCF-EB37D2EA8AC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73" name="Text Box 1">
          <a:extLst>
            <a:ext uri="{FF2B5EF4-FFF2-40B4-BE49-F238E27FC236}">
              <a16:creationId xmlns:a16="http://schemas.microsoft.com/office/drawing/2014/main" id="{E0648317-0667-44AD-8FCE-8674EFF7993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74" name="Text Box 1">
          <a:extLst>
            <a:ext uri="{FF2B5EF4-FFF2-40B4-BE49-F238E27FC236}">
              <a16:creationId xmlns:a16="http://schemas.microsoft.com/office/drawing/2014/main" id="{4DCB0A7F-38E5-4479-BBC0-D5961C81F6F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75" name="Text Box 1">
          <a:extLst>
            <a:ext uri="{FF2B5EF4-FFF2-40B4-BE49-F238E27FC236}">
              <a16:creationId xmlns:a16="http://schemas.microsoft.com/office/drawing/2014/main" id="{92BA8C70-7F7C-4572-881F-95C7B6155D1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76" name="Text Box 1">
          <a:extLst>
            <a:ext uri="{FF2B5EF4-FFF2-40B4-BE49-F238E27FC236}">
              <a16:creationId xmlns:a16="http://schemas.microsoft.com/office/drawing/2014/main" id="{BF3482FA-7C48-4714-B1D0-92696E84307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77" name="Text Box 1">
          <a:extLst>
            <a:ext uri="{FF2B5EF4-FFF2-40B4-BE49-F238E27FC236}">
              <a16:creationId xmlns:a16="http://schemas.microsoft.com/office/drawing/2014/main" id="{A95679DF-578F-4219-8172-9E9624E1273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78" name="Text Box 1">
          <a:extLst>
            <a:ext uri="{FF2B5EF4-FFF2-40B4-BE49-F238E27FC236}">
              <a16:creationId xmlns:a16="http://schemas.microsoft.com/office/drawing/2014/main" id="{D6C7B5D6-3378-48FB-9351-1C24E053743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79" name="Text Box 1">
          <a:extLst>
            <a:ext uri="{FF2B5EF4-FFF2-40B4-BE49-F238E27FC236}">
              <a16:creationId xmlns:a16="http://schemas.microsoft.com/office/drawing/2014/main" id="{5F83D2A7-8495-4A0B-A0B8-FBF5CB10E9C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80" name="Text Box 1">
          <a:extLst>
            <a:ext uri="{FF2B5EF4-FFF2-40B4-BE49-F238E27FC236}">
              <a16:creationId xmlns:a16="http://schemas.microsoft.com/office/drawing/2014/main" id="{A76868FC-2849-4D75-AAB1-B2F140A8F64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81" name="Text Box 1">
          <a:extLst>
            <a:ext uri="{FF2B5EF4-FFF2-40B4-BE49-F238E27FC236}">
              <a16:creationId xmlns:a16="http://schemas.microsoft.com/office/drawing/2014/main" id="{0704DD80-0E3B-4CCF-94CE-5C1AD282687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82" name="Text Box 1">
          <a:extLst>
            <a:ext uri="{FF2B5EF4-FFF2-40B4-BE49-F238E27FC236}">
              <a16:creationId xmlns:a16="http://schemas.microsoft.com/office/drawing/2014/main" id="{3B10F596-0D6F-4914-A1D5-423CCA69DAD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83" name="Text Box 1">
          <a:extLst>
            <a:ext uri="{FF2B5EF4-FFF2-40B4-BE49-F238E27FC236}">
              <a16:creationId xmlns:a16="http://schemas.microsoft.com/office/drawing/2014/main" id="{65FB44EA-1204-45B7-B3C8-19E48711632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84" name="Text Box 1">
          <a:extLst>
            <a:ext uri="{FF2B5EF4-FFF2-40B4-BE49-F238E27FC236}">
              <a16:creationId xmlns:a16="http://schemas.microsoft.com/office/drawing/2014/main" id="{3F429E16-9A63-475B-8368-C4065D80719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85" name="Text Box 1">
          <a:extLst>
            <a:ext uri="{FF2B5EF4-FFF2-40B4-BE49-F238E27FC236}">
              <a16:creationId xmlns:a16="http://schemas.microsoft.com/office/drawing/2014/main" id="{E3835C32-F4A7-4934-884B-869E4F0D010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86" name="Text Box 1">
          <a:extLst>
            <a:ext uri="{FF2B5EF4-FFF2-40B4-BE49-F238E27FC236}">
              <a16:creationId xmlns:a16="http://schemas.microsoft.com/office/drawing/2014/main" id="{7727E83C-DDF7-40DF-B878-2CCC7B9BFD6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87" name="Text Box 1">
          <a:extLst>
            <a:ext uri="{FF2B5EF4-FFF2-40B4-BE49-F238E27FC236}">
              <a16:creationId xmlns:a16="http://schemas.microsoft.com/office/drawing/2014/main" id="{D922B5B3-16A1-4AD2-BC5B-3558867CC17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88" name="Text Box 1">
          <a:extLst>
            <a:ext uri="{FF2B5EF4-FFF2-40B4-BE49-F238E27FC236}">
              <a16:creationId xmlns:a16="http://schemas.microsoft.com/office/drawing/2014/main" id="{DC5B3BD4-8D4F-4F4E-8B4B-1857F1B1DB5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89" name="Text Box 1">
          <a:extLst>
            <a:ext uri="{FF2B5EF4-FFF2-40B4-BE49-F238E27FC236}">
              <a16:creationId xmlns:a16="http://schemas.microsoft.com/office/drawing/2014/main" id="{76CB8680-F50D-4595-8482-3E468BBF759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90" name="Text Box 1">
          <a:extLst>
            <a:ext uri="{FF2B5EF4-FFF2-40B4-BE49-F238E27FC236}">
              <a16:creationId xmlns:a16="http://schemas.microsoft.com/office/drawing/2014/main" id="{05C61621-B1F9-48F1-B45F-359BD6BF114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91" name="Text Box 1">
          <a:extLst>
            <a:ext uri="{FF2B5EF4-FFF2-40B4-BE49-F238E27FC236}">
              <a16:creationId xmlns:a16="http://schemas.microsoft.com/office/drawing/2014/main" id="{3BB79702-4207-4A8D-B340-C47622A3A12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92" name="Text Box 1">
          <a:extLst>
            <a:ext uri="{FF2B5EF4-FFF2-40B4-BE49-F238E27FC236}">
              <a16:creationId xmlns:a16="http://schemas.microsoft.com/office/drawing/2014/main" id="{58FBF6D8-668A-47AC-BDC4-1389CD602AD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93" name="Text Box 1">
          <a:extLst>
            <a:ext uri="{FF2B5EF4-FFF2-40B4-BE49-F238E27FC236}">
              <a16:creationId xmlns:a16="http://schemas.microsoft.com/office/drawing/2014/main" id="{AC2D0B98-5678-4CD5-8A0D-38BE75CC056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94" name="Text Box 1">
          <a:extLst>
            <a:ext uri="{FF2B5EF4-FFF2-40B4-BE49-F238E27FC236}">
              <a16:creationId xmlns:a16="http://schemas.microsoft.com/office/drawing/2014/main" id="{E7BA2966-36F9-44CA-BA08-98E19951A3D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95" name="Text Box 1">
          <a:extLst>
            <a:ext uri="{FF2B5EF4-FFF2-40B4-BE49-F238E27FC236}">
              <a16:creationId xmlns:a16="http://schemas.microsoft.com/office/drawing/2014/main" id="{847BEF1C-64CD-4DD0-820A-566AFD3080E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96" name="Text Box 1">
          <a:extLst>
            <a:ext uri="{FF2B5EF4-FFF2-40B4-BE49-F238E27FC236}">
              <a16:creationId xmlns:a16="http://schemas.microsoft.com/office/drawing/2014/main" id="{6BB7A70D-466C-47EC-9699-AF7C8354F2D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97" name="Text Box 1">
          <a:extLst>
            <a:ext uri="{FF2B5EF4-FFF2-40B4-BE49-F238E27FC236}">
              <a16:creationId xmlns:a16="http://schemas.microsoft.com/office/drawing/2014/main" id="{3D5D4B37-83A4-425E-97E6-826E582EE12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98" name="Text Box 1">
          <a:extLst>
            <a:ext uri="{FF2B5EF4-FFF2-40B4-BE49-F238E27FC236}">
              <a16:creationId xmlns:a16="http://schemas.microsoft.com/office/drawing/2014/main" id="{694E79EA-F09D-4EBB-8BBD-AD6103A0FF3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899" name="Text Box 1">
          <a:extLst>
            <a:ext uri="{FF2B5EF4-FFF2-40B4-BE49-F238E27FC236}">
              <a16:creationId xmlns:a16="http://schemas.microsoft.com/office/drawing/2014/main" id="{FEA2EAB4-1E1E-49AC-840E-CC810A00907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00" name="Text Box 1">
          <a:extLst>
            <a:ext uri="{FF2B5EF4-FFF2-40B4-BE49-F238E27FC236}">
              <a16:creationId xmlns:a16="http://schemas.microsoft.com/office/drawing/2014/main" id="{8AB774F1-A886-4BBF-8158-DE86B778FE8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01" name="Text Box 1">
          <a:extLst>
            <a:ext uri="{FF2B5EF4-FFF2-40B4-BE49-F238E27FC236}">
              <a16:creationId xmlns:a16="http://schemas.microsoft.com/office/drawing/2014/main" id="{03D51C84-FA5E-4C47-9514-892B1E64CFA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02" name="Text Box 1">
          <a:extLst>
            <a:ext uri="{FF2B5EF4-FFF2-40B4-BE49-F238E27FC236}">
              <a16:creationId xmlns:a16="http://schemas.microsoft.com/office/drawing/2014/main" id="{5B688F3F-9B75-4737-939B-B654E7B8BD3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03" name="Text Box 1">
          <a:extLst>
            <a:ext uri="{FF2B5EF4-FFF2-40B4-BE49-F238E27FC236}">
              <a16:creationId xmlns:a16="http://schemas.microsoft.com/office/drawing/2014/main" id="{E69356DD-AD61-4571-9680-E6FEF1E357E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04" name="Text Box 1">
          <a:extLst>
            <a:ext uri="{FF2B5EF4-FFF2-40B4-BE49-F238E27FC236}">
              <a16:creationId xmlns:a16="http://schemas.microsoft.com/office/drawing/2014/main" id="{BA283824-7E4C-4A6C-B902-D530C35DA11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05" name="Text Box 1">
          <a:extLst>
            <a:ext uri="{FF2B5EF4-FFF2-40B4-BE49-F238E27FC236}">
              <a16:creationId xmlns:a16="http://schemas.microsoft.com/office/drawing/2014/main" id="{3B25F9BF-5530-4E1E-A39C-FABE7AE138F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06" name="Text Box 1">
          <a:extLst>
            <a:ext uri="{FF2B5EF4-FFF2-40B4-BE49-F238E27FC236}">
              <a16:creationId xmlns:a16="http://schemas.microsoft.com/office/drawing/2014/main" id="{0BF4DCD8-F4A6-46E6-A80B-AFD8901A202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07" name="Text Box 1">
          <a:extLst>
            <a:ext uri="{FF2B5EF4-FFF2-40B4-BE49-F238E27FC236}">
              <a16:creationId xmlns:a16="http://schemas.microsoft.com/office/drawing/2014/main" id="{AB17A160-FD6D-40B3-8A9C-EF8165F03EB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08" name="Text Box 1">
          <a:extLst>
            <a:ext uri="{FF2B5EF4-FFF2-40B4-BE49-F238E27FC236}">
              <a16:creationId xmlns:a16="http://schemas.microsoft.com/office/drawing/2014/main" id="{A1CA0277-7904-4F07-BF64-BF05E25420E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09" name="Text Box 1">
          <a:extLst>
            <a:ext uri="{FF2B5EF4-FFF2-40B4-BE49-F238E27FC236}">
              <a16:creationId xmlns:a16="http://schemas.microsoft.com/office/drawing/2014/main" id="{2B0E4764-9114-411F-90CB-CE36C14AE7F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10" name="Text Box 1">
          <a:extLst>
            <a:ext uri="{FF2B5EF4-FFF2-40B4-BE49-F238E27FC236}">
              <a16:creationId xmlns:a16="http://schemas.microsoft.com/office/drawing/2014/main" id="{A8B8615E-8A21-4E9D-8D28-6F58CEC42EB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11" name="Text Box 1">
          <a:extLst>
            <a:ext uri="{FF2B5EF4-FFF2-40B4-BE49-F238E27FC236}">
              <a16:creationId xmlns:a16="http://schemas.microsoft.com/office/drawing/2014/main" id="{39A22E16-347C-4E1C-9E9B-11C8D496485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12" name="Text Box 1">
          <a:extLst>
            <a:ext uri="{FF2B5EF4-FFF2-40B4-BE49-F238E27FC236}">
              <a16:creationId xmlns:a16="http://schemas.microsoft.com/office/drawing/2014/main" id="{631D9E17-EDBE-4B23-8BA6-710091E4A8D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13" name="Text Box 1">
          <a:extLst>
            <a:ext uri="{FF2B5EF4-FFF2-40B4-BE49-F238E27FC236}">
              <a16:creationId xmlns:a16="http://schemas.microsoft.com/office/drawing/2014/main" id="{B91ED6BF-DE33-4F52-8C51-BD3B5D841CD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14" name="Text Box 1">
          <a:extLst>
            <a:ext uri="{FF2B5EF4-FFF2-40B4-BE49-F238E27FC236}">
              <a16:creationId xmlns:a16="http://schemas.microsoft.com/office/drawing/2014/main" id="{F0865296-BD6A-468E-8B3C-33DE7524905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15" name="Text Box 1">
          <a:extLst>
            <a:ext uri="{FF2B5EF4-FFF2-40B4-BE49-F238E27FC236}">
              <a16:creationId xmlns:a16="http://schemas.microsoft.com/office/drawing/2014/main" id="{33F00913-9B87-4D70-A07C-9C7D917E49C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16" name="Text Box 1">
          <a:extLst>
            <a:ext uri="{FF2B5EF4-FFF2-40B4-BE49-F238E27FC236}">
              <a16:creationId xmlns:a16="http://schemas.microsoft.com/office/drawing/2014/main" id="{DC13706A-4E84-4F96-9ED7-54F519F1003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17" name="Text Box 1">
          <a:extLst>
            <a:ext uri="{FF2B5EF4-FFF2-40B4-BE49-F238E27FC236}">
              <a16:creationId xmlns:a16="http://schemas.microsoft.com/office/drawing/2014/main" id="{895AEB86-6552-4C27-9361-96F38FD916B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18" name="Text Box 1">
          <a:extLst>
            <a:ext uri="{FF2B5EF4-FFF2-40B4-BE49-F238E27FC236}">
              <a16:creationId xmlns:a16="http://schemas.microsoft.com/office/drawing/2014/main" id="{F4EC95BD-3D5C-4FDC-AE17-350B895DC87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19" name="Text Box 1">
          <a:extLst>
            <a:ext uri="{FF2B5EF4-FFF2-40B4-BE49-F238E27FC236}">
              <a16:creationId xmlns:a16="http://schemas.microsoft.com/office/drawing/2014/main" id="{AFB1D7C0-6B4E-4B3F-A576-B1BE38480DA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20" name="Text Box 1">
          <a:extLst>
            <a:ext uri="{FF2B5EF4-FFF2-40B4-BE49-F238E27FC236}">
              <a16:creationId xmlns:a16="http://schemas.microsoft.com/office/drawing/2014/main" id="{C020FC79-8F74-491D-861B-6AB2F405C3C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21" name="Text Box 1">
          <a:extLst>
            <a:ext uri="{FF2B5EF4-FFF2-40B4-BE49-F238E27FC236}">
              <a16:creationId xmlns:a16="http://schemas.microsoft.com/office/drawing/2014/main" id="{E0D55BF4-23FC-4CB9-A2E9-81052E7889D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22" name="Text Box 1">
          <a:extLst>
            <a:ext uri="{FF2B5EF4-FFF2-40B4-BE49-F238E27FC236}">
              <a16:creationId xmlns:a16="http://schemas.microsoft.com/office/drawing/2014/main" id="{FA031ADC-8B02-4252-9BD7-3B7FECA4CF0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23" name="Text Box 1">
          <a:extLst>
            <a:ext uri="{FF2B5EF4-FFF2-40B4-BE49-F238E27FC236}">
              <a16:creationId xmlns:a16="http://schemas.microsoft.com/office/drawing/2014/main" id="{0EE517E2-D6F6-418D-8E39-907CF46C98D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24" name="Text Box 1">
          <a:extLst>
            <a:ext uri="{FF2B5EF4-FFF2-40B4-BE49-F238E27FC236}">
              <a16:creationId xmlns:a16="http://schemas.microsoft.com/office/drawing/2014/main" id="{6BF15CCE-1FA7-4618-82CF-0B289F50B2C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25" name="Text Box 1">
          <a:extLst>
            <a:ext uri="{FF2B5EF4-FFF2-40B4-BE49-F238E27FC236}">
              <a16:creationId xmlns:a16="http://schemas.microsoft.com/office/drawing/2014/main" id="{817CA886-908D-44D1-B791-43D0E7265C2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26" name="Text Box 1">
          <a:extLst>
            <a:ext uri="{FF2B5EF4-FFF2-40B4-BE49-F238E27FC236}">
              <a16:creationId xmlns:a16="http://schemas.microsoft.com/office/drawing/2014/main" id="{BC7CC65E-A1F6-4175-9840-7AA10C9E4C7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27" name="Text Box 1">
          <a:extLst>
            <a:ext uri="{FF2B5EF4-FFF2-40B4-BE49-F238E27FC236}">
              <a16:creationId xmlns:a16="http://schemas.microsoft.com/office/drawing/2014/main" id="{2FE2A36E-0ADB-4D4F-B100-3F04431E4A1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28" name="Text Box 1">
          <a:extLst>
            <a:ext uri="{FF2B5EF4-FFF2-40B4-BE49-F238E27FC236}">
              <a16:creationId xmlns:a16="http://schemas.microsoft.com/office/drawing/2014/main" id="{73D3C1BF-5878-4C41-9A8F-8BE8B403549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29" name="Text Box 1">
          <a:extLst>
            <a:ext uri="{FF2B5EF4-FFF2-40B4-BE49-F238E27FC236}">
              <a16:creationId xmlns:a16="http://schemas.microsoft.com/office/drawing/2014/main" id="{BA38D367-D454-407C-8517-EAC3832FCA8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30" name="Text Box 1">
          <a:extLst>
            <a:ext uri="{FF2B5EF4-FFF2-40B4-BE49-F238E27FC236}">
              <a16:creationId xmlns:a16="http://schemas.microsoft.com/office/drawing/2014/main" id="{8289C5CD-8820-4DCF-9418-A7E8369F8A4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31" name="Text Box 1">
          <a:extLst>
            <a:ext uri="{FF2B5EF4-FFF2-40B4-BE49-F238E27FC236}">
              <a16:creationId xmlns:a16="http://schemas.microsoft.com/office/drawing/2014/main" id="{86D894FE-F7C2-49A1-AEF1-F15E38007B8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32" name="Text Box 1">
          <a:extLst>
            <a:ext uri="{FF2B5EF4-FFF2-40B4-BE49-F238E27FC236}">
              <a16:creationId xmlns:a16="http://schemas.microsoft.com/office/drawing/2014/main" id="{CD915895-0ABC-40B0-A28B-4B6B0DAF01E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33" name="Text Box 1">
          <a:extLst>
            <a:ext uri="{FF2B5EF4-FFF2-40B4-BE49-F238E27FC236}">
              <a16:creationId xmlns:a16="http://schemas.microsoft.com/office/drawing/2014/main" id="{19D2A736-B7FD-40B1-859B-F4BAC8BEB81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34" name="Text Box 1">
          <a:extLst>
            <a:ext uri="{FF2B5EF4-FFF2-40B4-BE49-F238E27FC236}">
              <a16:creationId xmlns:a16="http://schemas.microsoft.com/office/drawing/2014/main" id="{89EF1920-0F95-404B-99D5-237268CD6F8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35" name="Text Box 1">
          <a:extLst>
            <a:ext uri="{FF2B5EF4-FFF2-40B4-BE49-F238E27FC236}">
              <a16:creationId xmlns:a16="http://schemas.microsoft.com/office/drawing/2014/main" id="{6FD7092F-79B1-45F1-81C9-BB0235BE64D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36" name="Text Box 1">
          <a:extLst>
            <a:ext uri="{FF2B5EF4-FFF2-40B4-BE49-F238E27FC236}">
              <a16:creationId xmlns:a16="http://schemas.microsoft.com/office/drawing/2014/main" id="{832E55B1-F3BC-47AD-A15E-228891A1DB8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37" name="Text Box 1">
          <a:extLst>
            <a:ext uri="{FF2B5EF4-FFF2-40B4-BE49-F238E27FC236}">
              <a16:creationId xmlns:a16="http://schemas.microsoft.com/office/drawing/2014/main" id="{0A4815C4-00EA-4B7C-BAE7-48F1E237735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38" name="Text Box 1">
          <a:extLst>
            <a:ext uri="{FF2B5EF4-FFF2-40B4-BE49-F238E27FC236}">
              <a16:creationId xmlns:a16="http://schemas.microsoft.com/office/drawing/2014/main" id="{3F2C8313-20B6-45B1-A7F6-593EBD5AD06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39" name="Text Box 1">
          <a:extLst>
            <a:ext uri="{FF2B5EF4-FFF2-40B4-BE49-F238E27FC236}">
              <a16:creationId xmlns:a16="http://schemas.microsoft.com/office/drawing/2014/main" id="{CE90A51D-FDC1-460A-9763-6CF88CD8C3A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40" name="Text Box 1">
          <a:extLst>
            <a:ext uri="{FF2B5EF4-FFF2-40B4-BE49-F238E27FC236}">
              <a16:creationId xmlns:a16="http://schemas.microsoft.com/office/drawing/2014/main" id="{77204C37-7099-4120-9950-FE3D389ABA5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41" name="Text Box 1">
          <a:extLst>
            <a:ext uri="{FF2B5EF4-FFF2-40B4-BE49-F238E27FC236}">
              <a16:creationId xmlns:a16="http://schemas.microsoft.com/office/drawing/2014/main" id="{5D8958D2-D682-4E80-80FA-0DADD6CAA9B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42" name="Text Box 1">
          <a:extLst>
            <a:ext uri="{FF2B5EF4-FFF2-40B4-BE49-F238E27FC236}">
              <a16:creationId xmlns:a16="http://schemas.microsoft.com/office/drawing/2014/main" id="{D75DF72D-9086-40D2-B3DE-593A4DE878F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43" name="Text Box 1">
          <a:extLst>
            <a:ext uri="{FF2B5EF4-FFF2-40B4-BE49-F238E27FC236}">
              <a16:creationId xmlns:a16="http://schemas.microsoft.com/office/drawing/2014/main" id="{4A9A38C0-DA7D-4237-992F-DEC237DBC30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44" name="Text Box 1">
          <a:extLst>
            <a:ext uri="{FF2B5EF4-FFF2-40B4-BE49-F238E27FC236}">
              <a16:creationId xmlns:a16="http://schemas.microsoft.com/office/drawing/2014/main" id="{8E6A9900-C074-4167-A6A8-BC84BD16810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45" name="Text Box 1">
          <a:extLst>
            <a:ext uri="{FF2B5EF4-FFF2-40B4-BE49-F238E27FC236}">
              <a16:creationId xmlns:a16="http://schemas.microsoft.com/office/drawing/2014/main" id="{30B8F7B9-87BE-42A1-99E1-EDAD69A63B7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46" name="Text Box 1">
          <a:extLst>
            <a:ext uri="{FF2B5EF4-FFF2-40B4-BE49-F238E27FC236}">
              <a16:creationId xmlns:a16="http://schemas.microsoft.com/office/drawing/2014/main" id="{9338C0CA-CD61-4236-ADD6-6159A1499A8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47" name="Text Box 1">
          <a:extLst>
            <a:ext uri="{FF2B5EF4-FFF2-40B4-BE49-F238E27FC236}">
              <a16:creationId xmlns:a16="http://schemas.microsoft.com/office/drawing/2014/main" id="{5C7EC320-17EE-41D3-8555-E4EC969AE03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48" name="Text Box 1">
          <a:extLst>
            <a:ext uri="{FF2B5EF4-FFF2-40B4-BE49-F238E27FC236}">
              <a16:creationId xmlns:a16="http://schemas.microsoft.com/office/drawing/2014/main" id="{770B7DFA-69FC-4353-90AA-3A8A0A0AB35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49" name="Text Box 1">
          <a:extLst>
            <a:ext uri="{FF2B5EF4-FFF2-40B4-BE49-F238E27FC236}">
              <a16:creationId xmlns:a16="http://schemas.microsoft.com/office/drawing/2014/main" id="{717A30E2-E0AC-4F5A-B1EE-4B603AA9A4C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50" name="Text Box 1">
          <a:extLst>
            <a:ext uri="{FF2B5EF4-FFF2-40B4-BE49-F238E27FC236}">
              <a16:creationId xmlns:a16="http://schemas.microsoft.com/office/drawing/2014/main" id="{5463A01E-FB8D-4AD5-B510-589148A8BCA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51" name="Text Box 1">
          <a:extLst>
            <a:ext uri="{FF2B5EF4-FFF2-40B4-BE49-F238E27FC236}">
              <a16:creationId xmlns:a16="http://schemas.microsoft.com/office/drawing/2014/main" id="{A34B1BE5-C248-4AC4-8CB2-56F4C774FFA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52" name="Text Box 1">
          <a:extLst>
            <a:ext uri="{FF2B5EF4-FFF2-40B4-BE49-F238E27FC236}">
              <a16:creationId xmlns:a16="http://schemas.microsoft.com/office/drawing/2014/main" id="{4EF3ECA4-D10D-426D-B3C7-F8E31673D4D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53" name="Text Box 1">
          <a:extLst>
            <a:ext uri="{FF2B5EF4-FFF2-40B4-BE49-F238E27FC236}">
              <a16:creationId xmlns:a16="http://schemas.microsoft.com/office/drawing/2014/main" id="{52DD90C2-62FC-4A54-B02B-05367285204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54" name="Text Box 1">
          <a:extLst>
            <a:ext uri="{FF2B5EF4-FFF2-40B4-BE49-F238E27FC236}">
              <a16:creationId xmlns:a16="http://schemas.microsoft.com/office/drawing/2014/main" id="{1720B290-B95C-40E2-A8BA-B4F995B11A7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55" name="Text Box 1">
          <a:extLst>
            <a:ext uri="{FF2B5EF4-FFF2-40B4-BE49-F238E27FC236}">
              <a16:creationId xmlns:a16="http://schemas.microsoft.com/office/drawing/2014/main" id="{D93C7ED6-1E7B-4138-B21E-12335694609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56" name="Text Box 1">
          <a:extLst>
            <a:ext uri="{FF2B5EF4-FFF2-40B4-BE49-F238E27FC236}">
              <a16:creationId xmlns:a16="http://schemas.microsoft.com/office/drawing/2014/main" id="{88A2AE12-59B9-4E9F-98BF-C797149F712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57" name="Text Box 1">
          <a:extLst>
            <a:ext uri="{FF2B5EF4-FFF2-40B4-BE49-F238E27FC236}">
              <a16:creationId xmlns:a16="http://schemas.microsoft.com/office/drawing/2014/main" id="{EC0D118D-61A0-4DAF-8C73-1765544F473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58" name="Text Box 1">
          <a:extLst>
            <a:ext uri="{FF2B5EF4-FFF2-40B4-BE49-F238E27FC236}">
              <a16:creationId xmlns:a16="http://schemas.microsoft.com/office/drawing/2014/main" id="{6E02EC76-5F4D-4152-8541-0CA083C599E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59" name="Text Box 1">
          <a:extLst>
            <a:ext uri="{FF2B5EF4-FFF2-40B4-BE49-F238E27FC236}">
              <a16:creationId xmlns:a16="http://schemas.microsoft.com/office/drawing/2014/main" id="{E97B19FC-1224-461E-B3B9-E88B668CF8D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60" name="Text Box 1">
          <a:extLst>
            <a:ext uri="{FF2B5EF4-FFF2-40B4-BE49-F238E27FC236}">
              <a16:creationId xmlns:a16="http://schemas.microsoft.com/office/drawing/2014/main" id="{10ACC92D-57E8-4EBD-A6E4-D49B424ED29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61" name="Text Box 1">
          <a:extLst>
            <a:ext uri="{FF2B5EF4-FFF2-40B4-BE49-F238E27FC236}">
              <a16:creationId xmlns:a16="http://schemas.microsoft.com/office/drawing/2014/main" id="{C946913C-5BD6-4688-B764-0A1315D8B9B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62" name="Text Box 1">
          <a:extLst>
            <a:ext uri="{FF2B5EF4-FFF2-40B4-BE49-F238E27FC236}">
              <a16:creationId xmlns:a16="http://schemas.microsoft.com/office/drawing/2014/main" id="{FBEFEB0D-E92A-455A-8CB5-469C41288F4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63" name="Text Box 1">
          <a:extLst>
            <a:ext uri="{FF2B5EF4-FFF2-40B4-BE49-F238E27FC236}">
              <a16:creationId xmlns:a16="http://schemas.microsoft.com/office/drawing/2014/main" id="{4131F1D4-CFE5-4C79-8492-F992ABC4532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64" name="Text Box 1">
          <a:extLst>
            <a:ext uri="{FF2B5EF4-FFF2-40B4-BE49-F238E27FC236}">
              <a16:creationId xmlns:a16="http://schemas.microsoft.com/office/drawing/2014/main" id="{C1BA5BFF-9EDD-4150-9989-FBC5990791B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65" name="Text Box 1">
          <a:extLst>
            <a:ext uri="{FF2B5EF4-FFF2-40B4-BE49-F238E27FC236}">
              <a16:creationId xmlns:a16="http://schemas.microsoft.com/office/drawing/2014/main" id="{17EB7217-7F11-4C85-95EB-724F324F31D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66" name="Text Box 1">
          <a:extLst>
            <a:ext uri="{FF2B5EF4-FFF2-40B4-BE49-F238E27FC236}">
              <a16:creationId xmlns:a16="http://schemas.microsoft.com/office/drawing/2014/main" id="{67FAF361-A4C8-4B1E-8B56-99AAAF8B96C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67" name="Text Box 1">
          <a:extLst>
            <a:ext uri="{FF2B5EF4-FFF2-40B4-BE49-F238E27FC236}">
              <a16:creationId xmlns:a16="http://schemas.microsoft.com/office/drawing/2014/main" id="{14FA86B6-0048-443E-A7F0-D498D6B94F5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68" name="Text Box 1">
          <a:extLst>
            <a:ext uri="{FF2B5EF4-FFF2-40B4-BE49-F238E27FC236}">
              <a16:creationId xmlns:a16="http://schemas.microsoft.com/office/drawing/2014/main" id="{8941D72F-C383-4046-85E6-C0259011CEF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69" name="Text Box 1">
          <a:extLst>
            <a:ext uri="{FF2B5EF4-FFF2-40B4-BE49-F238E27FC236}">
              <a16:creationId xmlns:a16="http://schemas.microsoft.com/office/drawing/2014/main" id="{E5D1E48F-F12F-4DE4-8BEA-D4FBAEF8117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70" name="Text Box 1">
          <a:extLst>
            <a:ext uri="{FF2B5EF4-FFF2-40B4-BE49-F238E27FC236}">
              <a16:creationId xmlns:a16="http://schemas.microsoft.com/office/drawing/2014/main" id="{BD3C88F8-BE06-426D-96C4-3F95714E482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71" name="Text Box 1">
          <a:extLst>
            <a:ext uri="{FF2B5EF4-FFF2-40B4-BE49-F238E27FC236}">
              <a16:creationId xmlns:a16="http://schemas.microsoft.com/office/drawing/2014/main" id="{6E4AB9A3-9201-4BCE-A638-CE81E33231D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72" name="Text Box 1">
          <a:extLst>
            <a:ext uri="{FF2B5EF4-FFF2-40B4-BE49-F238E27FC236}">
              <a16:creationId xmlns:a16="http://schemas.microsoft.com/office/drawing/2014/main" id="{15E85F11-7289-45B4-8FFA-FAED43A204B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73" name="Text Box 1">
          <a:extLst>
            <a:ext uri="{FF2B5EF4-FFF2-40B4-BE49-F238E27FC236}">
              <a16:creationId xmlns:a16="http://schemas.microsoft.com/office/drawing/2014/main" id="{96A797F2-21D6-4442-A983-5AAC285D4D2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74" name="Text Box 1">
          <a:extLst>
            <a:ext uri="{FF2B5EF4-FFF2-40B4-BE49-F238E27FC236}">
              <a16:creationId xmlns:a16="http://schemas.microsoft.com/office/drawing/2014/main" id="{AE9F24DE-88F9-4B6F-8C82-50A423B56A3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75" name="Text Box 1">
          <a:extLst>
            <a:ext uri="{FF2B5EF4-FFF2-40B4-BE49-F238E27FC236}">
              <a16:creationId xmlns:a16="http://schemas.microsoft.com/office/drawing/2014/main" id="{872C2130-5CE5-4F93-8E9C-37BF70E4BA3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76" name="Text Box 1">
          <a:extLst>
            <a:ext uri="{FF2B5EF4-FFF2-40B4-BE49-F238E27FC236}">
              <a16:creationId xmlns:a16="http://schemas.microsoft.com/office/drawing/2014/main" id="{9C0CA2CE-A3F3-41A9-A141-8897850DBA0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77" name="Text Box 1">
          <a:extLst>
            <a:ext uri="{FF2B5EF4-FFF2-40B4-BE49-F238E27FC236}">
              <a16:creationId xmlns:a16="http://schemas.microsoft.com/office/drawing/2014/main" id="{5AD35357-EC77-4711-A9A5-9F2436424D7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78" name="Text Box 1">
          <a:extLst>
            <a:ext uri="{FF2B5EF4-FFF2-40B4-BE49-F238E27FC236}">
              <a16:creationId xmlns:a16="http://schemas.microsoft.com/office/drawing/2014/main" id="{9971FFA8-7C77-4687-9F6A-6488111E828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79" name="Text Box 1">
          <a:extLst>
            <a:ext uri="{FF2B5EF4-FFF2-40B4-BE49-F238E27FC236}">
              <a16:creationId xmlns:a16="http://schemas.microsoft.com/office/drawing/2014/main" id="{6224A14C-B0B8-4219-9EFC-A2283F18979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80" name="Text Box 1">
          <a:extLst>
            <a:ext uri="{FF2B5EF4-FFF2-40B4-BE49-F238E27FC236}">
              <a16:creationId xmlns:a16="http://schemas.microsoft.com/office/drawing/2014/main" id="{1F512F86-211B-4EF1-9A49-F2D163E055E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81" name="Text Box 1">
          <a:extLst>
            <a:ext uri="{FF2B5EF4-FFF2-40B4-BE49-F238E27FC236}">
              <a16:creationId xmlns:a16="http://schemas.microsoft.com/office/drawing/2014/main" id="{61CD25B5-2A1B-4EE8-8FFE-415D6CDFBF3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82" name="Text Box 1">
          <a:extLst>
            <a:ext uri="{FF2B5EF4-FFF2-40B4-BE49-F238E27FC236}">
              <a16:creationId xmlns:a16="http://schemas.microsoft.com/office/drawing/2014/main" id="{4EDEAB1A-0550-4671-9196-682B45AC1BD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83" name="Text Box 1">
          <a:extLst>
            <a:ext uri="{FF2B5EF4-FFF2-40B4-BE49-F238E27FC236}">
              <a16:creationId xmlns:a16="http://schemas.microsoft.com/office/drawing/2014/main" id="{BEE07BCE-7F4C-40B8-A4DF-716895E7E35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84" name="Text Box 1">
          <a:extLst>
            <a:ext uri="{FF2B5EF4-FFF2-40B4-BE49-F238E27FC236}">
              <a16:creationId xmlns:a16="http://schemas.microsoft.com/office/drawing/2014/main" id="{E1F8EB07-C391-4C42-A8EA-15D136C8303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85" name="Text Box 1">
          <a:extLst>
            <a:ext uri="{FF2B5EF4-FFF2-40B4-BE49-F238E27FC236}">
              <a16:creationId xmlns:a16="http://schemas.microsoft.com/office/drawing/2014/main" id="{4F8FC015-DEC6-42F0-9223-245896B5DB7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86" name="Text Box 1">
          <a:extLst>
            <a:ext uri="{FF2B5EF4-FFF2-40B4-BE49-F238E27FC236}">
              <a16:creationId xmlns:a16="http://schemas.microsoft.com/office/drawing/2014/main" id="{3205F953-B32A-4BCB-8A1C-023DA878039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87" name="Text Box 1">
          <a:extLst>
            <a:ext uri="{FF2B5EF4-FFF2-40B4-BE49-F238E27FC236}">
              <a16:creationId xmlns:a16="http://schemas.microsoft.com/office/drawing/2014/main" id="{2A22EA3D-AC78-43BC-98E2-00CBD5C791B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88" name="Text Box 1">
          <a:extLst>
            <a:ext uri="{FF2B5EF4-FFF2-40B4-BE49-F238E27FC236}">
              <a16:creationId xmlns:a16="http://schemas.microsoft.com/office/drawing/2014/main" id="{1ECD3F90-7F78-4481-9EE9-3DC59F72F49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89" name="Text Box 1">
          <a:extLst>
            <a:ext uri="{FF2B5EF4-FFF2-40B4-BE49-F238E27FC236}">
              <a16:creationId xmlns:a16="http://schemas.microsoft.com/office/drawing/2014/main" id="{460C2ACE-77F7-4956-85CB-E7BC3B05486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90" name="Text Box 1">
          <a:extLst>
            <a:ext uri="{FF2B5EF4-FFF2-40B4-BE49-F238E27FC236}">
              <a16:creationId xmlns:a16="http://schemas.microsoft.com/office/drawing/2014/main" id="{1C3E8722-EBD0-402B-9AC5-59F98357904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91" name="Text Box 1">
          <a:extLst>
            <a:ext uri="{FF2B5EF4-FFF2-40B4-BE49-F238E27FC236}">
              <a16:creationId xmlns:a16="http://schemas.microsoft.com/office/drawing/2014/main" id="{D68CF872-F08E-48CA-A2C8-039CE5C13DB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92" name="Text Box 1">
          <a:extLst>
            <a:ext uri="{FF2B5EF4-FFF2-40B4-BE49-F238E27FC236}">
              <a16:creationId xmlns:a16="http://schemas.microsoft.com/office/drawing/2014/main" id="{253ACA1D-1BB8-46BF-B41B-B78DB7EB51C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93" name="Text Box 1">
          <a:extLst>
            <a:ext uri="{FF2B5EF4-FFF2-40B4-BE49-F238E27FC236}">
              <a16:creationId xmlns:a16="http://schemas.microsoft.com/office/drawing/2014/main" id="{79EA9E92-FAD2-4176-9A13-2316020AF02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94" name="Text Box 1">
          <a:extLst>
            <a:ext uri="{FF2B5EF4-FFF2-40B4-BE49-F238E27FC236}">
              <a16:creationId xmlns:a16="http://schemas.microsoft.com/office/drawing/2014/main" id="{C63AAA50-D38D-456B-BE38-FA58231B27C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95" name="Text Box 1">
          <a:extLst>
            <a:ext uri="{FF2B5EF4-FFF2-40B4-BE49-F238E27FC236}">
              <a16:creationId xmlns:a16="http://schemas.microsoft.com/office/drawing/2014/main" id="{6C8CF618-0621-4D3E-BA9E-16542F65579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96" name="Text Box 1">
          <a:extLst>
            <a:ext uri="{FF2B5EF4-FFF2-40B4-BE49-F238E27FC236}">
              <a16:creationId xmlns:a16="http://schemas.microsoft.com/office/drawing/2014/main" id="{9A72BC54-5493-4F6C-9A39-5EBD515DBC7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97" name="Text Box 1">
          <a:extLst>
            <a:ext uri="{FF2B5EF4-FFF2-40B4-BE49-F238E27FC236}">
              <a16:creationId xmlns:a16="http://schemas.microsoft.com/office/drawing/2014/main" id="{171DB8B4-5A5B-4E1C-B670-A6B1EB83A31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98" name="Text Box 1">
          <a:extLst>
            <a:ext uri="{FF2B5EF4-FFF2-40B4-BE49-F238E27FC236}">
              <a16:creationId xmlns:a16="http://schemas.microsoft.com/office/drawing/2014/main" id="{A9A799D8-5A51-4388-9305-F284625E63C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5999" name="Text Box 1">
          <a:extLst>
            <a:ext uri="{FF2B5EF4-FFF2-40B4-BE49-F238E27FC236}">
              <a16:creationId xmlns:a16="http://schemas.microsoft.com/office/drawing/2014/main" id="{FF038C6A-21ED-412E-8376-8CBCD205C8E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00" name="Text Box 1">
          <a:extLst>
            <a:ext uri="{FF2B5EF4-FFF2-40B4-BE49-F238E27FC236}">
              <a16:creationId xmlns:a16="http://schemas.microsoft.com/office/drawing/2014/main" id="{551356A4-C6DA-4498-953D-53735EB4E21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565150</xdr:colOff>
      <xdr:row>48</xdr:row>
      <xdr:rowOff>0</xdr:rowOff>
    </xdr:from>
    <xdr:ext cx="247650" cy="85725"/>
    <xdr:sp macro="" textlink="">
      <xdr:nvSpPr>
        <xdr:cNvPr id="16001" name="Text Box 1">
          <a:extLst>
            <a:ext uri="{FF2B5EF4-FFF2-40B4-BE49-F238E27FC236}">
              <a16:creationId xmlns:a16="http://schemas.microsoft.com/office/drawing/2014/main" id="{CDB78117-0000-4DF9-9C0A-DE559EFE1A02}"/>
            </a:ext>
          </a:extLst>
        </xdr:cNvPr>
        <xdr:cNvSpPr txBox="1">
          <a:spLocks noChangeArrowheads="1"/>
        </xdr:cNvSpPr>
      </xdr:nvSpPr>
      <xdr:spPr bwMode="auto">
        <a:xfrm>
          <a:off x="155575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21</xdr:col>
      <xdr:colOff>565150</xdr:colOff>
      <xdr:row>48</xdr:row>
      <xdr:rowOff>0</xdr:rowOff>
    </xdr:from>
    <xdr:ext cx="247650" cy="85725"/>
    <xdr:sp macro="" textlink="">
      <xdr:nvSpPr>
        <xdr:cNvPr id="16002" name="Text Box 1">
          <a:extLst>
            <a:ext uri="{FF2B5EF4-FFF2-40B4-BE49-F238E27FC236}">
              <a16:creationId xmlns:a16="http://schemas.microsoft.com/office/drawing/2014/main" id="{A42299D6-A797-4147-971D-B931E186DC85}"/>
            </a:ext>
          </a:extLst>
        </xdr:cNvPr>
        <xdr:cNvSpPr txBox="1">
          <a:spLocks noChangeArrowheads="1"/>
        </xdr:cNvSpPr>
      </xdr:nvSpPr>
      <xdr:spPr bwMode="auto">
        <a:xfrm>
          <a:off x="159067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565150</xdr:colOff>
      <xdr:row>48</xdr:row>
      <xdr:rowOff>0</xdr:rowOff>
    </xdr:from>
    <xdr:ext cx="247650" cy="85725"/>
    <xdr:sp macro="" textlink="">
      <xdr:nvSpPr>
        <xdr:cNvPr id="16003" name="Text Box 1">
          <a:extLst>
            <a:ext uri="{FF2B5EF4-FFF2-40B4-BE49-F238E27FC236}">
              <a16:creationId xmlns:a16="http://schemas.microsoft.com/office/drawing/2014/main" id="{7EF730CE-13E9-4975-92CA-6A98C05FD9A2}"/>
            </a:ext>
          </a:extLst>
        </xdr:cNvPr>
        <xdr:cNvSpPr txBox="1">
          <a:spLocks noChangeArrowheads="1"/>
        </xdr:cNvSpPr>
      </xdr:nvSpPr>
      <xdr:spPr bwMode="auto">
        <a:xfrm>
          <a:off x="170497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24</xdr:col>
      <xdr:colOff>565150</xdr:colOff>
      <xdr:row>48</xdr:row>
      <xdr:rowOff>0</xdr:rowOff>
    </xdr:from>
    <xdr:ext cx="247650" cy="85725"/>
    <xdr:sp macro="" textlink="">
      <xdr:nvSpPr>
        <xdr:cNvPr id="16004" name="Text Box 1">
          <a:extLst>
            <a:ext uri="{FF2B5EF4-FFF2-40B4-BE49-F238E27FC236}">
              <a16:creationId xmlns:a16="http://schemas.microsoft.com/office/drawing/2014/main" id="{3243D8DC-16EE-4267-BDEF-6CB33BBCD1F5}"/>
            </a:ext>
          </a:extLst>
        </xdr:cNvPr>
        <xdr:cNvSpPr txBox="1">
          <a:spLocks noChangeArrowheads="1"/>
        </xdr:cNvSpPr>
      </xdr:nvSpPr>
      <xdr:spPr bwMode="auto">
        <a:xfrm>
          <a:off x="176149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25</xdr:col>
      <xdr:colOff>565150</xdr:colOff>
      <xdr:row>48</xdr:row>
      <xdr:rowOff>0</xdr:rowOff>
    </xdr:from>
    <xdr:ext cx="247650" cy="85725"/>
    <xdr:sp macro="" textlink="">
      <xdr:nvSpPr>
        <xdr:cNvPr id="16005" name="Text Box 1">
          <a:extLst>
            <a:ext uri="{FF2B5EF4-FFF2-40B4-BE49-F238E27FC236}">
              <a16:creationId xmlns:a16="http://schemas.microsoft.com/office/drawing/2014/main" id="{AF3F63F6-D5D6-4D9E-A9BE-12BA60C7EAFD}"/>
            </a:ext>
          </a:extLst>
        </xdr:cNvPr>
        <xdr:cNvSpPr txBox="1">
          <a:spLocks noChangeArrowheads="1"/>
        </xdr:cNvSpPr>
      </xdr:nvSpPr>
      <xdr:spPr bwMode="auto">
        <a:xfrm>
          <a:off x="182435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26</xdr:col>
      <xdr:colOff>565150</xdr:colOff>
      <xdr:row>48</xdr:row>
      <xdr:rowOff>0</xdr:rowOff>
    </xdr:from>
    <xdr:ext cx="247650" cy="85725"/>
    <xdr:sp macro="" textlink="">
      <xdr:nvSpPr>
        <xdr:cNvPr id="16006" name="Text Box 1">
          <a:extLst>
            <a:ext uri="{FF2B5EF4-FFF2-40B4-BE49-F238E27FC236}">
              <a16:creationId xmlns:a16="http://schemas.microsoft.com/office/drawing/2014/main" id="{9C76F1D7-F982-48AE-83FF-0C916DA906D3}"/>
            </a:ext>
          </a:extLst>
        </xdr:cNvPr>
        <xdr:cNvSpPr txBox="1">
          <a:spLocks noChangeArrowheads="1"/>
        </xdr:cNvSpPr>
      </xdr:nvSpPr>
      <xdr:spPr bwMode="auto">
        <a:xfrm>
          <a:off x="187642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565150</xdr:colOff>
      <xdr:row>48</xdr:row>
      <xdr:rowOff>0</xdr:rowOff>
    </xdr:from>
    <xdr:ext cx="247650" cy="85725"/>
    <xdr:sp macro="" textlink="">
      <xdr:nvSpPr>
        <xdr:cNvPr id="16007" name="Text Box 1">
          <a:extLst>
            <a:ext uri="{FF2B5EF4-FFF2-40B4-BE49-F238E27FC236}">
              <a16:creationId xmlns:a16="http://schemas.microsoft.com/office/drawing/2014/main" id="{81602F3C-981D-40B7-ABB6-0BDA33E99177}"/>
            </a:ext>
          </a:extLst>
        </xdr:cNvPr>
        <xdr:cNvSpPr txBox="1">
          <a:spLocks noChangeArrowheads="1"/>
        </xdr:cNvSpPr>
      </xdr:nvSpPr>
      <xdr:spPr bwMode="auto">
        <a:xfrm>
          <a:off x="193040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565150</xdr:colOff>
      <xdr:row>48</xdr:row>
      <xdr:rowOff>0</xdr:rowOff>
    </xdr:from>
    <xdr:ext cx="247650" cy="85725"/>
    <xdr:sp macro="" textlink="">
      <xdr:nvSpPr>
        <xdr:cNvPr id="16008" name="Text Box 1">
          <a:extLst>
            <a:ext uri="{FF2B5EF4-FFF2-40B4-BE49-F238E27FC236}">
              <a16:creationId xmlns:a16="http://schemas.microsoft.com/office/drawing/2014/main" id="{4D606C7A-3FE2-40D2-881D-DD3DFAF48569}"/>
            </a:ext>
          </a:extLst>
        </xdr:cNvPr>
        <xdr:cNvSpPr txBox="1">
          <a:spLocks noChangeArrowheads="1"/>
        </xdr:cNvSpPr>
      </xdr:nvSpPr>
      <xdr:spPr bwMode="auto">
        <a:xfrm>
          <a:off x="204089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565150</xdr:colOff>
      <xdr:row>48</xdr:row>
      <xdr:rowOff>0</xdr:rowOff>
    </xdr:from>
    <xdr:ext cx="247650" cy="85725"/>
    <xdr:sp macro="" textlink="">
      <xdr:nvSpPr>
        <xdr:cNvPr id="16009" name="Text Box 1">
          <a:extLst>
            <a:ext uri="{FF2B5EF4-FFF2-40B4-BE49-F238E27FC236}">
              <a16:creationId xmlns:a16="http://schemas.microsoft.com/office/drawing/2014/main" id="{74E3BACF-1BB4-4CA4-8F4A-AE8D0E6E6D37}"/>
            </a:ext>
          </a:extLst>
        </xdr:cNvPr>
        <xdr:cNvSpPr txBox="1">
          <a:spLocks noChangeArrowheads="1"/>
        </xdr:cNvSpPr>
      </xdr:nvSpPr>
      <xdr:spPr bwMode="auto">
        <a:xfrm>
          <a:off x="210629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31</xdr:col>
      <xdr:colOff>565150</xdr:colOff>
      <xdr:row>48</xdr:row>
      <xdr:rowOff>0</xdr:rowOff>
    </xdr:from>
    <xdr:ext cx="247650" cy="85725"/>
    <xdr:sp macro="" textlink="">
      <xdr:nvSpPr>
        <xdr:cNvPr id="16010" name="Text Box 1">
          <a:extLst>
            <a:ext uri="{FF2B5EF4-FFF2-40B4-BE49-F238E27FC236}">
              <a16:creationId xmlns:a16="http://schemas.microsoft.com/office/drawing/2014/main" id="{1F0D1937-9F7C-4873-8FE8-3F54A00A98FD}"/>
            </a:ext>
          </a:extLst>
        </xdr:cNvPr>
        <xdr:cNvSpPr txBox="1">
          <a:spLocks noChangeArrowheads="1"/>
        </xdr:cNvSpPr>
      </xdr:nvSpPr>
      <xdr:spPr bwMode="auto">
        <a:xfrm>
          <a:off x="216789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32</xdr:col>
      <xdr:colOff>565150</xdr:colOff>
      <xdr:row>48</xdr:row>
      <xdr:rowOff>0</xdr:rowOff>
    </xdr:from>
    <xdr:ext cx="247650" cy="85725"/>
    <xdr:sp macro="" textlink="">
      <xdr:nvSpPr>
        <xdr:cNvPr id="16011" name="Text Box 1">
          <a:extLst>
            <a:ext uri="{FF2B5EF4-FFF2-40B4-BE49-F238E27FC236}">
              <a16:creationId xmlns:a16="http://schemas.microsoft.com/office/drawing/2014/main" id="{DD2B5A2F-ED41-4F74-9104-F1291C7CA246}"/>
            </a:ext>
          </a:extLst>
        </xdr:cNvPr>
        <xdr:cNvSpPr txBox="1">
          <a:spLocks noChangeArrowheads="1"/>
        </xdr:cNvSpPr>
      </xdr:nvSpPr>
      <xdr:spPr bwMode="auto">
        <a:xfrm>
          <a:off x="223329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33</xdr:col>
      <xdr:colOff>565150</xdr:colOff>
      <xdr:row>48</xdr:row>
      <xdr:rowOff>0</xdr:rowOff>
    </xdr:from>
    <xdr:ext cx="247650" cy="85725"/>
    <xdr:sp macro="" textlink="">
      <xdr:nvSpPr>
        <xdr:cNvPr id="16012" name="Text Box 1">
          <a:extLst>
            <a:ext uri="{FF2B5EF4-FFF2-40B4-BE49-F238E27FC236}">
              <a16:creationId xmlns:a16="http://schemas.microsoft.com/office/drawing/2014/main" id="{8431FC24-DF4D-4922-9D9E-CB3B64F69693}"/>
            </a:ext>
          </a:extLst>
        </xdr:cNvPr>
        <xdr:cNvSpPr txBox="1">
          <a:spLocks noChangeArrowheads="1"/>
        </xdr:cNvSpPr>
      </xdr:nvSpPr>
      <xdr:spPr bwMode="auto">
        <a:xfrm>
          <a:off x="229489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565150</xdr:colOff>
      <xdr:row>48</xdr:row>
      <xdr:rowOff>0</xdr:rowOff>
    </xdr:from>
    <xdr:ext cx="247650" cy="85725"/>
    <xdr:sp macro="" textlink="">
      <xdr:nvSpPr>
        <xdr:cNvPr id="16013" name="Text Box 1">
          <a:extLst>
            <a:ext uri="{FF2B5EF4-FFF2-40B4-BE49-F238E27FC236}">
              <a16:creationId xmlns:a16="http://schemas.microsoft.com/office/drawing/2014/main" id="{8AC49752-7AD8-4A90-B923-93994ECCAC84}"/>
            </a:ext>
          </a:extLst>
        </xdr:cNvPr>
        <xdr:cNvSpPr txBox="1">
          <a:spLocks noChangeArrowheads="1"/>
        </xdr:cNvSpPr>
      </xdr:nvSpPr>
      <xdr:spPr bwMode="auto">
        <a:xfrm>
          <a:off x="235648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35</xdr:col>
      <xdr:colOff>565150</xdr:colOff>
      <xdr:row>48</xdr:row>
      <xdr:rowOff>0</xdr:rowOff>
    </xdr:from>
    <xdr:ext cx="247650" cy="85725"/>
    <xdr:sp macro="" textlink="">
      <xdr:nvSpPr>
        <xdr:cNvPr id="16014" name="Text Box 1">
          <a:extLst>
            <a:ext uri="{FF2B5EF4-FFF2-40B4-BE49-F238E27FC236}">
              <a16:creationId xmlns:a16="http://schemas.microsoft.com/office/drawing/2014/main" id="{09C33178-DDCB-4E1C-9A27-B1DB27BFEBF8}"/>
            </a:ext>
          </a:extLst>
        </xdr:cNvPr>
        <xdr:cNvSpPr txBox="1">
          <a:spLocks noChangeArrowheads="1"/>
        </xdr:cNvSpPr>
      </xdr:nvSpPr>
      <xdr:spPr bwMode="auto">
        <a:xfrm>
          <a:off x="245935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36</xdr:col>
      <xdr:colOff>565150</xdr:colOff>
      <xdr:row>48</xdr:row>
      <xdr:rowOff>0</xdr:rowOff>
    </xdr:from>
    <xdr:ext cx="247650" cy="85725"/>
    <xdr:sp macro="" textlink="">
      <xdr:nvSpPr>
        <xdr:cNvPr id="16015" name="Text Box 1">
          <a:extLst>
            <a:ext uri="{FF2B5EF4-FFF2-40B4-BE49-F238E27FC236}">
              <a16:creationId xmlns:a16="http://schemas.microsoft.com/office/drawing/2014/main" id="{87D4235A-8FDE-4C00-ABF1-3917EC8563C4}"/>
            </a:ext>
          </a:extLst>
        </xdr:cNvPr>
        <xdr:cNvSpPr txBox="1">
          <a:spLocks noChangeArrowheads="1"/>
        </xdr:cNvSpPr>
      </xdr:nvSpPr>
      <xdr:spPr bwMode="auto">
        <a:xfrm>
          <a:off x="252095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565150</xdr:colOff>
      <xdr:row>48</xdr:row>
      <xdr:rowOff>0</xdr:rowOff>
    </xdr:from>
    <xdr:ext cx="247650" cy="85725"/>
    <xdr:sp macro="" textlink="">
      <xdr:nvSpPr>
        <xdr:cNvPr id="16016" name="Text Box 1">
          <a:extLst>
            <a:ext uri="{FF2B5EF4-FFF2-40B4-BE49-F238E27FC236}">
              <a16:creationId xmlns:a16="http://schemas.microsoft.com/office/drawing/2014/main" id="{1CE4659B-78F1-4413-93B0-D22980765634}"/>
            </a:ext>
          </a:extLst>
        </xdr:cNvPr>
        <xdr:cNvSpPr txBox="1">
          <a:spLocks noChangeArrowheads="1"/>
        </xdr:cNvSpPr>
      </xdr:nvSpPr>
      <xdr:spPr bwMode="auto">
        <a:xfrm>
          <a:off x="264414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565150</xdr:colOff>
      <xdr:row>48</xdr:row>
      <xdr:rowOff>0</xdr:rowOff>
    </xdr:from>
    <xdr:ext cx="247650" cy="85725"/>
    <xdr:sp macro="" textlink="">
      <xdr:nvSpPr>
        <xdr:cNvPr id="16017" name="Text Box 1">
          <a:extLst>
            <a:ext uri="{FF2B5EF4-FFF2-40B4-BE49-F238E27FC236}">
              <a16:creationId xmlns:a16="http://schemas.microsoft.com/office/drawing/2014/main" id="{F8ABAA34-CBF9-4A84-82B8-FBE25E0096B4}"/>
            </a:ext>
          </a:extLst>
        </xdr:cNvPr>
        <xdr:cNvSpPr txBox="1">
          <a:spLocks noChangeArrowheads="1"/>
        </xdr:cNvSpPr>
      </xdr:nvSpPr>
      <xdr:spPr bwMode="auto">
        <a:xfrm>
          <a:off x="270954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18" name="Text Box 1">
          <a:extLst>
            <a:ext uri="{FF2B5EF4-FFF2-40B4-BE49-F238E27FC236}">
              <a16:creationId xmlns:a16="http://schemas.microsoft.com/office/drawing/2014/main" id="{11C6DB38-D535-4E81-9FF3-A218DD7967B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19" name="Text Box 1">
          <a:extLst>
            <a:ext uri="{FF2B5EF4-FFF2-40B4-BE49-F238E27FC236}">
              <a16:creationId xmlns:a16="http://schemas.microsoft.com/office/drawing/2014/main" id="{94E63C3A-DAFA-44EA-8277-A6BB7BAF2E3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20" name="Text Box 1">
          <a:extLst>
            <a:ext uri="{FF2B5EF4-FFF2-40B4-BE49-F238E27FC236}">
              <a16:creationId xmlns:a16="http://schemas.microsoft.com/office/drawing/2014/main" id="{C7873C44-F43F-47A1-8EFF-F70FBEA0626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21" name="Text Box 1">
          <a:extLst>
            <a:ext uri="{FF2B5EF4-FFF2-40B4-BE49-F238E27FC236}">
              <a16:creationId xmlns:a16="http://schemas.microsoft.com/office/drawing/2014/main" id="{3A835E21-2230-4899-AA21-F9AAA1AF44D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22" name="Text Box 1">
          <a:extLst>
            <a:ext uri="{FF2B5EF4-FFF2-40B4-BE49-F238E27FC236}">
              <a16:creationId xmlns:a16="http://schemas.microsoft.com/office/drawing/2014/main" id="{1802152B-20C7-49A8-A30B-0D21BD87FB5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23" name="Text Box 1">
          <a:extLst>
            <a:ext uri="{FF2B5EF4-FFF2-40B4-BE49-F238E27FC236}">
              <a16:creationId xmlns:a16="http://schemas.microsoft.com/office/drawing/2014/main" id="{728E2EDC-239F-4D45-BA53-6622BAD7563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24" name="Text Box 1">
          <a:extLst>
            <a:ext uri="{FF2B5EF4-FFF2-40B4-BE49-F238E27FC236}">
              <a16:creationId xmlns:a16="http://schemas.microsoft.com/office/drawing/2014/main" id="{090CA6A2-8024-472B-9D84-CC704941374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25" name="Text Box 1">
          <a:extLst>
            <a:ext uri="{FF2B5EF4-FFF2-40B4-BE49-F238E27FC236}">
              <a16:creationId xmlns:a16="http://schemas.microsoft.com/office/drawing/2014/main" id="{14BD9EC9-7764-452D-904B-0F27CA199C5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26" name="Text Box 1">
          <a:extLst>
            <a:ext uri="{FF2B5EF4-FFF2-40B4-BE49-F238E27FC236}">
              <a16:creationId xmlns:a16="http://schemas.microsoft.com/office/drawing/2014/main" id="{B9CA8228-C2F0-4064-8515-954F3025027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27" name="Text Box 1">
          <a:extLst>
            <a:ext uri="{FF2B5EF4-FFF2-40B4-BE49-F238E27FC236}">
              <a16:creationId xmlns:a16="http://schemas.microsoft.com/office/drawing/2014/main" id="{45D76B3D-2CD2-4985-A6E6-9D924F8C2E7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28" name="Text Box 1">
          <a:extLst>
            <a:ext uri="{FF2B5EF4-FFF2-40B4-BE49-F238E27FC236}">
              <a16:creationId xmlns:a16="http://schemas.microsoft.com/office/drawing/2014/main" id="{2F048088-2884-40FA-8EF4-92C4D9DB44E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29" name="Text Box 1">
          <a:extLst>
            <a:ext uri="{FF2B5EF4-FFF2-40B4-BE49-F238E27FC236}">
              <a16:creationId xmlns:a16="http://schemas.microsoft.com/office/drawing/2014/main" id="{591C0A8F-9916-489A-9E09-D1477100F9D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30" name="Text Box 1">
          <a:extLst>
            <a:ext uri="{FF2B5EF4-FFF2-40B4-BE49-F238E27FC236}">
              <a16:creationId xmlns:a16="http://schemas.microsoft.com/office/drawing/2014/main" id="{F37FEDF3-D759-4E3B-ABA9-D7561081DD9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31" name="Text Box 1">
          <a:extLst>
            <a:ext uri="{FF2B5EF4-FFF2-40B4-BE49-F238E27FC236}">
              <a16:creationId xmlns:a16="http://schemas.microsoft.com/office/drawing/2014/main" id="{DC9BCA69-EC1E-46B2-8CBF-0DB33DC36C0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32" name="Text Box 1">
          <a:extLst>
            <a:ext uri="{FF2B5EF4-FFF2-40B4-BE49-F238E27FC236}">
              <a16:creationId xmlns:a16="http://schemas.microsoft.com/office/drawing/2014/main" id="{66EF124B-D5C6-4EAF-A973-434367A39DF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33" name="Text Box 1">
          <a:extLst>
            <a:ext uri="{FF2B5EF4-FFF2-40B4-BE49-F238E27FC236}">
              <a16:creationId xmlns:a16="http://schemas.microsoft.com/office/drawing/2014/main" id="{ACAA4240-F17B-41B4-B7E3-96E86B606EA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34" name="Text Box 1">
          <a:extLst>
            <a:ext uri="{FF2B5EF4-FFF2-40B4-BE49-F238E27FC236}">
              <a16:creationId xmlns:a16="http://schemas.microsoft.com/office/drawing/2014/main" id="{C3E6BA28-A8BA-407A-8789-7D0D739D5FC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35" name="Text Box 1">
          <a:extLst>
            <a:ext uri="{FF2B5EF4-FFF2-40B4-BE49-F238E27FC236}">
              <a16:creationId xmlns:a16="http://schemas.microsoft.com/office/drawing/2014/main" id="{33F70E2B-DDC5-4C47-9357-26639DA1480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36" name="Text Box 1">
          <a:extLst>
            <a:ext uri="{FF2B5EF4-FFF2-40B4-BE49-F238E27FC236}">
              <a16:creationId xmlns:a16="http://schemas.microsoft.com/office/drawing/2014/main" id="{2C5786A5-D04E-475D-978A-E271D62D9AB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37" name="Text Box 1">
          <a:extLst>
            <a:ext uri="{FF2B5EF4-FFF2-40B4-BE49-F238E27FC236}">
              <a16:creationId xmlns:a16="http://schemas.microsoft.com/office/drawing/2014/main" id="{F82F1ACE-78EE-43F4-B8A6-D2F7B351A00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38" name="Text Box 1">
          <a:extLst>
            <a:ext uri="{FF2B5EF4-FFF2-40B4-BE49-F238E27FC236}">
              <a16:creationId xmlns:a16="http://schemas.microsoft.com/office/drawing/2014/main" id="{ED25EF30-2FCE-4462-9926-6D1483D20B1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39" name="Text Box 1">
          <a:extLst>
            <a:ext uri="{FF2B5EF4-FFF2-40B4-BE49-F238E27FC236}">
              <a16:creationId xmlns:a16="http://schemas.microsoft.com/office/drawing/2014/main" id="{7223DD6A-0CEE-4077-A8AD-2CF28E7E253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40" name="Text Box 1">
          <a:extLst>
            <a:ext uri="{FF2B5EF4-FFF2-40B4-BE49-F238E27FC236}">
              <a16:creationId xmlns:a16="http://schemas.microsoft.com/office/drawing/2014/main" id="{0627D3A5-CBCE-4348-A0F9-FA84571877B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41" name="Text Box 1">
          <a:extLst>
            <a:ext uri="{FF2B5EF4-FFF2-40B4-BE49-F238E27FC236}">
              <a16:creationId xmlns:a16="http://schemas.microsoft.com/office/drawing/2014/main" id="{4E1CA018-3693-4F2C-9B8F-74C1A174078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42" name="Text Box 1">
          <a:extLst>
            <a:ext uri="{FF2B5EF4-FFF2-40B4-BE49-F238E27FC236}">
              <a16:creationId xmlns:a16="http://schemas.microsoft.com/office/drawing/2014/main" id="{08143047-9703-4C9C-A82E-5743493AEA0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43" name="Text Box 1">
          <a:extLst>
            <a:ext uri="{FF2B5EF4-FFF2-40B4-BE49-F238E27FC236}">
              <a16:creationId xmlns:a16="http://schemas.microsoft.com/office/drawing/2014/main" id="{0C5A68B3-270A-4149-9847-FA76223EAEC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44" name="Text Box 1">
          <a:extLst>
            <a:ext uri="{FF2B5EF4-FFF2-40B4-BE49-F238E27FC236}">
              <a16:creationId xmlns:a16="http://schemas.microsoft.com/office/drawing/2014/main" id="{26D6BCDE-B347-487E-B14F-A545817072F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45" name="Text Box 1">
          <a:extLst>
            <a:ext uri="{FF2B5EF4-FFF2-40B4-BE49-F238E27FC236}">
              <a16:creationId xmlns:a16="http://schemas.microsoft.com/office/drawing/2014/main" id="{4E4251CD-105D-4D18-8BB1-52C963AB2B7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46" name="Text Box 1">
          <a:extLst>
            <a:ext uri="{FF2B5EF4-FFF2-40B4-BE49-F238E27FC236}">
              <a16:creationId xmlns:a16="http://schemas.microsoft.com/office/drawing/2014/main" id="{B3EA4FC2-86E4-4959-AF57-FC1450F6F5A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47" name="Text Box 1">
          <a:extLst>
            <a:ext uri="{FF2B5EF4-FFF2-40B4-BE49-F238E27FC236}">
              <a16:creationId xmlns:a16="http://schemas.microsoft.com/office/drawing/2014/main" id="{0D788184-102D-4034-808D-A3C3D844663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48" name="Text Box 1">
          <a:extLst>
            <a:ext uri="{FF2B5EF4-FFF2-40B4-BE49-F238E27FC236}">
              <a16:creationId xmlns:a16="http://schemas.microsoft.com/office/drawing/2014/main" id="{09ABD0B4-6327-4E1D-80F4-E7ECE9DB70D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49" name="Text Box 1">
          <a:extLst>
            <a:ext uri="{FF2B5EF4-FFF2-40B4-BE49-F238E27FC236}">
              <a16:creationId xmlns:a16="http://schemas.microsoft.com/office/drawing/2014/main" id="{AC339D53-1FA1-469A-93FA-6C88D96C8F6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50" name="Text Box 1">
          <a:extLst>
            <a:ext uri="{FF2B5EF4-FFF2-40B4-BE49-F238E27FC236}">
              <a16:creationId xmlns:a16="http://schemas.microsoft.com/office/drawing/2014/main" id="{0D6EEDA7-3F42-4E8B-9C68-DFC14ACCCEA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51" name="Text Box 1">
          <a:extLst>
            <a:ext uri="{FF2B5EF4-FFF2-40B4-BE49-F238E27FC236}">
              <a16:creationId xmlns:a16="http://schemas.microsoft.com/office/drawing/2014/main" id="{1751E6CB-FD05-4119-B2E8-520763FE548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52" name="Text Box 1">
          <a:extLst>
            <a:ext uri="{FF2B5EF4-FFF2-40B4-BE49-F238E27FC236}">
              <a16:creationId xmlns:a16="http://schemas.microsoft.com/office/drawing/2014/main" id="{C2C4D3DD-BD33-4D6B-BD79-B14A44AA1F1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53" name="Text Box 1">
          <a:extLst>
            <a:ext uri="{FF2B5EF4-FFF2-40B4-BE49-F238E27FC236}">
              <a16:creationId xmlns:a16="http://schemas.microsoft.com/office/drawing/2014/main" id="{D3526032-8365-4286-A73B-A7D9139244D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54" name="Text Box 1">
          <a:extLst>
            <a:ext uri="{FF2B5EF4-FFF2-40B4-BE49-F238E27FC236}">
              <a16:creationId xmlns:a16="http://schemas.microsoft.com/office/drawing/2014/main" id="{F85E05CE-A71F-4911-89A1-8827AB897F7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55" name="Text Box 1">
          <a:extLst>
            <a:ext uri="{FF2B5EF4-FFF2-40B4-BE49-F238E27FC236}">
              <a16:creationId xmlns:a16="http://schemas.microsoft.com/office/drawing/2014/main" id="{07DD54A0-873F-4496-9626-EE1878E6216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56" name="Text Box 1">
          <a:extLst>
            <a:ext uri="{FF2B5EF4-FFF2-40B4-BE49-F238E27FC236}">
              <a16:creationId xmlns:a16="http://schemas.microsoft.com/office/drawing/2014/main" id="{3C4F8DAF-2B30-4654-B5C3-20D16B6D07A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57" name="Text Box 1">
          <a:extLst>
            <a:ext uri="{FF2B5EF4-FFF2-40B4-BE49-F238E27FC236}">
              <a16:creationId xmlns:a16="http://schemas.microsoft.com/office/drawing/2014/main" id="{A8270A15-BD47-43B1-9690-359A773A1F2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58" name="Text Box 1">
          <a:extLst>
            <a:ext uri="{FF2B5EF4-FFF2-40B4-BE49-F238E27FC236}">
              <a16:creationId xmlns:a16="http://schemas.microsoft.com/office/drawing/2014/main" id="{EC54DC55-4849-466A-A8E3-55F71001571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59" name="Text Box 1">
          <a:extLst>
            <a:ext uri="{FF2B5EF4-FFF2-40B4-BE49-F238E27FC236}">
              <a16:creationId xmlns:a16="http://schemas.microsoft.com/office/drawing/2014/main" id="{BB976897-4D9D-427D-A3E6-CE35AF6AC89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60" name="Text Box 1">
          <a:extLst>
            <a:ext uri="{FF2B5EF4-FFF2-40B4-BE49-F238E27FC236}">
              <a16:creationId xmlns:a16="http://schemas.microsoft.com/office/drawing/2014/main" id="{A1677465-354C-4B58-889C-EDADCE7BD27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61" name="Text Box 1">
          <a:extLst>
            <a:ext uri="{FF2B5EF4-FFF2-40B4-BE49-F238E27FC236}">
              <a16:creationId xmlns:a16="http://schemas.microsoft.com/office/drawing/2014/main" id="{DEF7831D-E167-4EF9-9EB1-102A86341FE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62" name="Text Box 1">
          <a:extLst>
            <a:ext uri="{FF2B5EF4-FFF2-40B4-BE49-F238E27FC236}">
              <a16:creationId xmlns:a16="http://schemas.microsoft.com/office/drawing/2014/main" id="{08097D96-83A5-415B-9E48-A7896DE2CFA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63" name="Text Box 1">
          <a:extLst>
            <a:ext uri="{FF2B5EF4-FFF2-40B4-BE49-F238E27FC236}">
              <a16:creationId xmlns:a16="http://schemas.microsoft.com/office/drawing/2014/main" id="{FC30C876-9D1E-4CDD-857A-7FBAFB04F1D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64" name="Text Box 1">
          <a:extLst>
            <a:ext uri="{FF2B5EF4-FFF2-40B4-BE49-F238E27FC236}">
              <a16:creationId xmlns:a16="http://schemas.microsoft.com/office/drawing/2014/main" id="{5389DACC-A02B-43EE-8D6D-C9A3967F946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65" name="Text Box 1">
          <a:extLst>
            <a:ext uri="{FF2B5EF4-FFF2-40B4-BE49-F238E27FC236}">
              <a16:creationId xmlns:a16="http://schemas.microsoft.com/office/drawing/2014/main" id="{FEE4F83B-1230-4651-A380-717BE08D88F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66" name="Text Box 1">
          <a:extLst>
            <a:ext uri="{FF2B5EF4-FFF2-40B4-BE49-F238E27FC236}">
              <a16:creationId xmlns:a16="http://schemas.microsoft.com/office/drawing/2014/main" id="{97CB018B-6FE2-419D-BBC2-7F23A5F5E5F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67" name="Text Box 1">
          <a:extLst>
            <a:ext uri="{FF2B5EF4-FFF2-40B4-BE49-F238E27FC236}">
              <a16:creationId xmlns:a16="http://schemas.microsoft.com/office/drawing/2014/main" id="{03D86104-226F-486F-B822-90E41CEB625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68" name="Text Box 1">
          <a:extLst>
            <a:ext uri="{FF2B5EF4-FFF2-40B4-BE49-F238E27FC236}">
              <a16:creationId xmlns:a16="http://schemas.microsoft.com/office/drawing/2014/main" id="{562D20B7-76A2-466A-8F9D-5A1E2D2E36A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69" name="Text Box 1">
          <a:extLst>
            <a:ext uri="{FF2B5EF4-FFF2-40B4-BE49-F238E27FC236}">
              <a16:creationId xmlns:a16="http://schemas.microsoft.com/office/drawing/2014/main" id="{67FCBA64-5207-4A14-AC45-7CE91DEB55C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70" name="Text Box 1">
          <a:extLst>
            <a:ext uri="{FF2B5EF4-FFF2-40B4-BE49-F238E27FC236}">
              <a16:creationId xmlns:a16="http://schemas.microsoft.com/office/drawing/2014/main" id="{28D0824B-0DA5-415A-9229-DC6E22A9A85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71" name="Text Box 1">
          <a:extLst>
            <a:ext uri="{FF2B5EF4-FFF2-40B4-BE49-F238E27FC236}">
              <a16:creationId xmlns:a16="http://schemas.microsoft.com/office/drawing/2014/main" id="{3C1744E5-BDD0-47FA-A187-DFCA2792448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72" name="Text Box 1">
          <a:extLst>
            <a:ext uri="{FF2B5EF4-FFF2-40B4-BE49-F238E27FC236}">
              <a16:creationId xmlns:a16="http://schemas.microsoft.com/office/drawing/2014/main" id="{1EE79064-5F7D-4958-BB69-E7CA2AE9C78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73" name="Text Box 1">
          <a:extLst>
            <a:ext uri="{FF2B5EF4-FFF2-40B4-BE49-F238E27FC236}">
              <a16:creationId xmlns:a16="http://schemas.microsoft.com/office/drawing/2014/main" id="{B0E66902-57D7-4CD9-A69F-981ED2B14D1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74" name="Text Box 1">
          <a:extLst>
            <a:ext uri="{FF2B5EF4-FFF2-40B4-BE49-F238E27FC236}">
              <a16:creationId xmlns:a16="http://schemas.microsoft.com/office/drawing/2014/main" id="{DB8D33E0-457B-4AA4-A4A8-9677F4F5EFC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75" name="Text Box 1">
          <a:extLst>
            <a:ext uri="{FF2B5EF4-FFF2-40B4-BE49-F238E27FC236}">
              <a16:creationId xmlns:a16="http://schemas.microsoft.com/office/drawing/2014/main" id="{13AF296B-8573-4429-9038-EB21450FE70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76" name="Text Box 1">
          <a:extLst>
            <a:ext uri="{FF2B5EF4-FFF2-40B4-BE49-F238E27FC236}">
              <a16:creationId xmlns:a16="http://schemas.microsoft.com/office/drawing/2014/main" id="{9859A082-0CFF-44EE-88AF-0648E4BE5B1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77" name="Text Box 1">
          <a:extLst>
            <a:ext uri="{FF2B5EF4-FFF2-40B4-BE49-F238E27FC236}">
              <a16:creationId xmlns:a16="http://schemas.microsoft.com/office/drawing/2014/main" id="{48250303-CF5A-4CB1-8BAD-9839AFFC477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78" name="Text Box 1">
          <a:extLst>
            <a:ext uri="{FF2B5EF4-FFF2-40B4-BE49-F238E27FC236}">
              <a16:creationId xmlns:a16="http://schemas.microsoft.com/office/drawing/2014/main" id="{F51F6C72-3DC7-44C1-B55F-9F88AB2AEC5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79" name="Text Box 1">
          <a:extLst>
            <a:ext uri="{FF2B5EF4-FFF2-40B4-BE49-F238E27FC236}">
              <a16:creationId xmlns:a16="http://schemas.microsoft.com/office/drawing/2014/main" id="{B1818CD2-59A4-4303-9EAE-886658C29FD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80" name="Text Box 1">
          <a:extLst>
            <a:ext uri="{FF2B5EF4-FFF2-40B4-BE49-F238E27FC236}">
              <a16:creationId xmlns:a16="http://schemas.microsoft.com/office/drawing/2014/main" id="{2B07BDA2-A831-4E1A-B7DC-6A9742B694F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81" name="Text Box 1">
          <a:extLst>
            <a:ext uri="{FF2B5EF4-FFF2-40B4-BE49-F238E27FC236}">
              <a16:creationId xmlns:a16="http://schemas.microsoft.com/office/drawing/2014/main" id="{FA4B2579-505B-4558-8F30-AAF4E514E5E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82" name="Text Box 1">
          <a:extLst>
            <a:ext uri="{FF2B5EF4-FFF2-40B4-BE49-F238E27FC236}">
              <a16:creationId xmlns:a16="http://schemas.microsoft.com/office/drawing/2014/main" id="{B19A59EE-E942-4B10-86E0-91D60C294FF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83" name="Text Box 1">
          <a:extLst>
            <a:ext uri="{FF2B5EF4-FFF2-40B4-BE49-F238E27FC236}">
              <a16:creationId xmlns:a16="http://schemas.microsoft.com/office/drawing/2014/main" id="{00AC9DC1-25FE-43A5-BE9A-449A354AB5B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84" name="Text Box 1">
          <a:extLst>
            <a:ext uri="{FF2B5EF4-FFF2-40B4-BE49-F238E27FC236}">
              <a16:creationId xmlns:a16="http://schemas.microsoft.com/office/drawing/2014/main" id="{FB9F579D-4858-4ED7-8C36-F11C5F84283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85" name="Text Box 1">
          <a:extLst>
            <a:ext uri="{FF2B5EF4-FFF2-40B4-BE49-F238E27FC236}">
              <a16:creationId xmlns:a16="http://schemas.microsoft.com/office/drawing/2014/main" id="{92DBECAC-FFFF-4438-BD8E-21E73ACBF31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86" name="Text Box 1">
          <a:extLst>
            <a:ext uri="{FF2B5EF4-FFF2-40B4-BE49-F238E27FC236}">
              <a16:creationId xmlns:a16="http://schemas.microsoft.com/office/drawing/2014/main" id="{FCD478B0-C020-4E08-AEDD-A0F90107D7A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87" name="Text Box 1">
          <a:extLst>
            <a:ext uri="{FF2B5EF4-FFF2-40B4-BE49-F238E27FC236}">
              <a16:creationId xmlns:a16="http://schemas.microsoft.com/office/drawing/2014/main" id="{D4BB638C-8EF0-48EB-857F-3B270327AE6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88" name="Text Box 1">
          <a:extLst>
            <a:ext uri="{FF2B5EF4-FFF2-40B4-BE49-F238E27FC236}">
              <a16:creationId xmlns:a16="http://schemas.microsoft.com/office/drawing/2014/main" id="{C47768C2-B5CF-4FA2-8765-B0575FAB350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89" name="Text Box 1">
          <a:extLst>
            <a:ext uri="{FF2B5EF4-FFF2-40B4-BE49-F238E27FC236}">
              <a16:creationId xmlns:a16="http://schemas.microsoft.com/office/drawing/2014/main" id="{700FF3A9-8192-4BCF-8C7F-F912E6E9436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90" name="Text Box 1">
          <a:extLst>
            <a:ext uri="{FF2B5EF4-FFF2-40B4-BE49-F238E27FC236}">
              <a16:creationId xmlns:a16="http://schemas.microsoft.com/office/drawing/2014/main" id="{1564BFBB-38E9-4477-A1AC-5AD003F4E3D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91" name="Text Box 1">
          <a:extLst>
            <a:ext uri="{FF2B5EF4-FFF2-40B4-BE49-F238E27FC236}">
              <a16:creationId xmlns:a16="http://schemas.microsoft.com/office/drawing/2014/main" id="{73ECCE9D-AF59-4B76-BD0B-335687D6529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92" name="Text Box 1">
          <a:extLst>
            <a:ext uri="{FF2B5EF4-FFF2-40B4-BE49-F238E27FC236}">
              <a16:creationId xmlns:a16="http://schemas.microsoft.com/office/drawing/2014/main" id="{EDC44212-957B-478B-ACF0-67A9B48E59F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93" name="Text Box 1">
          <a:extLst>
            <a:ext uri="{FF2B5EF4-FFF2-40B4-BE49-F238E27FC236}">
              <a16:creationId xmlns:a16="http://schemas.microsoft.com/office/drawing/2014/main" id="{14E407FA-DB94-457F-884A-5BCC0309364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94" name="Text Box 1">
          <a:extLst>
            <a:ext uri="{FF2B5EF4-FFF2-40B4-BE49-F238E27FC236}">
              <a16:creationId xmlns:a16="http://schemas.microsoft.com/office/drawing/2014/main" id="{63B7F37F-EB4D-4FD5-8D83-9267A649F5D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95" name="Text Box 1">
          <a:extLst>
            <a:ext uri="{FF2B5EF4-FFF2-40B4-BE49-F238E27FC236}">
              <a16:creationId xmlns:a16="http://schemas.microsoft.com/office/drawing/2014/main" id="{234A56AE-00BB-464C-9F25-52D4705E34F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96" name="Text Box 1">
          <a:extLst>
            <a:ext uri="{FF2B5EF4-FFF2-40B4-BE49-F238E27FC236}">
              <a16:creationId xmlns:a16="http://schemas.microsoft.com/office/drawing/2014/main" id="{344FF221-5E48-434A-B477-BAD807E4F18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97" name="Text Box 1">
          <a:extLst>
            <a:ext uri="{FF2B5EF4-FFF2-40B4-BE49-F238E27FC236}">
              <a16:creationId xmlns:a16="http://schemas.microsoft.com/office/drawing/2014/main" id="{91E9B517-1D4B-4482-A1AD-BAFE6623D7C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98" name="Text Box 1">
          <a:extLst>
            <a:ext uri="{FF2B5EF4-FFF2-40B4-BE49-F238E27FC236}">
              <a16:creationId xmlns:a16="http://schemas.microsoft.com/office/drawing/2014/main" id="{E76E71B0-8D82-4AEE-A52E-855E8B03562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099" name="Text Box 1">
          <a:extLst>
            <a:ext uri="{FF2B5EF4-FFF2-40B4-BE49-F238E27FC236}">
              <a16:creationId xmlns:a16="http://schemas.microsoft.com/office/drawing/2014/main" id="{1FB4EA57-41CA-4613-B443-C67351B4936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00" name="Text Box 1">
          <a:extLst>
            <a:ext uri="{FF2B5EF4-FFF2-40B4-BE49-F238E27FC236}">
              <a16:creationId xmlns:a16="http://schemas.microsoft.com/office/drawing/2014/main" id="{71F8CF9F-E031-4390-93B7-B001C062C86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01" name="Text Box 1">
          <a:extLst>
            <a:ext uri="{FF2B5EF4-FFF2-40B4-BE49-F238E27FC236}">
              <a16:creationId xmlns:a16="http://schemas.microsoft.com/office/drawing/2014/main" id="{713465C1-9A43-41D3-9B51-2A495FD3155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02" name="Text Box 1">
          <a:extLst>
            <a:ext uri="{FF2B5EF4-FFF2-40B4-BE49-F238E27FC236}">
              <a16:creationId xmlns:a16="http://schemas.microsoft.com/office/drawing/2014/main" id="{AB151B61-06FC-4109-BB64-99E5351EED9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03" name="Text Box 1">
          <a:extLst>
            <a:ext uri="{FF2B5EF4-FFF2-40B4-BE49-F238E27FC236}">
              <a16:creationId xmlns:a16="http://schemas.microsoft.com/office/drawing/2014/main" id="{E8342CE8-31A9-4B25-B4A2-1EB61AA79B6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04" name="Text Box 1">
          <a:extLst>
            <a:ext uri="{FF2B5EF4-FFF2-40B4-BE49-F238E27FC236}">
              <a16:creationId xmlns:a16="http://schemas.microsoft.com/office/drawing/2014/main" id="{77211410-05D5-48B1-B4F9-08D3DC47511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05" name="Text Box 1">
          <a:extLst>
            <a:ext uri="{FF2B5EF4-FFF2-40B4-BE49-F238E27FC236}">
              <a16:creationId xmlns:a16="http://schemas.microsoft.com/office/drawing/2014/main" id="{B2983719-9A08-4B27-A291-AD612FFF228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06" name="Text Box 1">
          <a:extLst>
            <a:ext uri="{FF2B5EF4-FFF2-40B4-BE49-F238E27FC236}">
              <a16:creationId xmlns:a16="http://schemas.microsoft.com/office/drawing/2014/main" id="{50269AA9-1FF1-4F22-BA6F-3B56CF67CEE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07" name="Text Box 1">
          <a:extLst>
            <a:ext uri="{FF2B5EF4-FFF2-40B4-BE49-F238E27FC236}">
              <a16:creationId xmlns:a16="http://schemas.microsoft.com/office/drawing/2014/main" id="{D05D6D80-A207-4012-9EB0-C78E9C7FF9E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08" name="Text Box 1">
          <a:extLst>
            <a:ext uri="{FF2B5EF4-FFF2-40B4-BE49-F238E27FC236}">
              <a16:creationId xmlns:a16="http://schemas.microsoft.com/office/drawing/2014/main" id="{1D31297C-9F32-460E-B402-3D0605A791E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09" name="Text Box 1">
          <a:extLst>
            <a:ext uri="{FF2B5EF4-FFF2-40B4-BE49-F238E27FC236}">
              <a16:creationId xmlns:a16="http://schemas.microsoft.com/office/drawing/2014/main" id="{6FC60B17-51E5-4032-8671-B663577DE08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10" name="Text Box 1">
          <a:extLst>
            <a:ext uri="{FF2B5EF4-FFF2-40B4-BE49-F238E27FC236}">
              <a16:creationId xmlns:a16="http://schemas.microsoft.com/office/drawing/2014/main" id="{BFBE22A6-519C-459E-91EE-2739F508C55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11" name="Text Box 1">
          <a:extLst>
            <a:ext uri="{FF2B5EF4-FFF2-40B4-BE49-F238E27FC236}">
              <a16:creationId xmlns:a16="http://schemas.microsoft.com/office/drawing/2014/main" id="{5C71CBD4-0AF2-46BA-B25E-77A2A5CACEC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12" name="Text Box 1">
          <a:extLst>
            <a:ext uri="{FF2B5EF4-FFF2-40B4-BE49-F238E27FC236}">
              <a16:creationId xmlns:a16="http://schemas.microsoft.com/office/drawing/2014/main" id="{B991558E-09D6-425A-92DF-9E8E90F3CBF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13" name="Text Box 1">
          <a:extLst>
            <a:ext uri="{FF2B5EF4-FFF2-40B4-BE49-F238E27FC236}">
              <a16:creationId xmlns:a16="http://schemas.microsoft.com/office/drawing/2014/main" id="{BA24EF81-E4A3-4B39-BC35-C8688C556AA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14" name="Text Box 1">
          <a:extLst>
            <a:ext uri="{FF2B5EF4-FFF2-40B4-BE49-F238E27FC236}">
              <a16:creationId xmlns:a16="http://schemas.microsoft.com/office/drawing/2014/main" id="{F9978A44-26BD-4508-BF0D-87504D0DCC2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15" name="Text Box 1">
          <a:extLst>
            <a:ext uri="{FF2B5EF4-FFF2-40B4-BE49-F238E27FC236}">
              <a16:creationId xmlns:a16="http://schemas.microsoft.com/office/drawing/2014/main" id="{6D052D24-B863-478F-B2E0-0FF6FEFEAE7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16" name="Text Box 1">
          <a:extLst>
            <a:ext uri="{FF2B5EF4-FFF2-40B4-BE49-F238E27FC236}">
              <a16:creationId xmlns:a16="http://schemas.microsoft.com/office/drawing/2014/main" id="{63E90949-0A52-45D7-B595-11C06989CED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17" name="Text Box 1">
          <a:extLst>
            <a:ext uri="{FF2B5EF4-FFF2-40B4-BE49-F238E27FC236}">
              <a16:creationId xmlns:a16="http://schemas.microsoft.com/office/drawing/2014/main" id="{3471CBE1-32B8-4644-8254-919FB21CEC5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18" name="Text Box 1">
          <a:extLst>
            <a:ext uri="{FF2B5EF4-FFF2-40B4-BE49-F238E27FC236}">
              <a16:creationId xmlns:a16="http://schemas.microsoft.com/office/drawing/2014/main" id="{63533A34-643D-499D-9332-18C684C8D26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19" name="Text Box 1">
          <a:extLst>
            <a:ext uri="{FF2B5EF4-FFF2-40B4-BE49-F238E27FC236}">
              <a16:creationId xmlns:a16="http://schemas.microsoft.com/office/drawing/2014/main" id="{B0CE1FEF-6E21-4E26-8BE7-A494127505E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20" name="Text Box 1">
          <a:extLst>
            <a:ext uri="{FF2B5EF4-FFF2-40B4-BE49-F238E27FC236}">
              <a16:creationId xmlns:a16="http://schemas.microsoft.com/office/drawing/2014/main" id="{7009126D-54D8-4229-BCB9-80AC288CDC3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21" name="Text Box 1">
          <a:extLst>
            <a:ext uri="{FF2B5EF4-FFF2-40B4-BE49-F238E27FC236}">
              <a16:creationId xmlns:a16="http://schemas.microsoft.com/office/drawing/2014/main" id="{AA31150F-B4DE-446F-AB31-C7472D6594A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22" name="Text Box 1">
          <a:extLst>
            <a:ext uri="{FF2B5EF4-FFF2-40B4-BE49-F238E27FC236}">
              <a16:creationId xmlns:a16="http://schemas.microsoft.com/office/drawing/2014/main" id="{E85A0745-6DE4-4D29-9FE9-8215D3FA022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23" name="Text Box 1">
          <a:extLst>
            <a:ext uri="{FF2B5EF4-FFF2-40B4-BE49-F238E27FC236}">
              <a16:creationId xmlns:a16="http://schemas.microsoft.com/office/drawing/2014/main" id="{76E75785-2686-4B40-A911-5D089D6E2D9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24" name="Text Box 1">
          <a:extLst>
            <a:ext uri="{FF2B5EF4-FFF2-40B4-BE49-F238E27FC236}">
              <a16:creationId xmlns:a16="http://schemas.microsoft.com/office/drawing/2014/main" id="{94100598-7435-4F81-897D-B5FDAEE3E0A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25" name="Text Box 1">
          <a:extLst>
            <a:ext uri="{FF2B5EF4-FFF2-40B4-BE49-F238E27FC236}">
              <a16:creationId xmlns:a16="http://schemas.microsoft.com/office/drawing/2014/main" id="{EE83B386-F4CB-4E86-8A51-4E39DD4965C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26" name="Text Box 1">
          <a:extLst>
            <a:ext uri="{FF2B5EF4-FFF2-40B4-BE49-F238E27FC236}">
              <a16:creationId xmlns:a16="http://schemas.microsoft.com/office/drawing/2014/main" id="{21C171DE-2BA2-4BDD-BEB3-142C3943B6A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27" name="Text Box 1">
          <a:extLst>
            <a:ext uri="{FF2B5EF4-FFF2-40B4-BE49-F238E27FC236}">
              <a16:creationId xmlns:a16="http://schemas.microsoft.com/office/drawing/2014/main" id="{090F89F1-F050-4020-91E0-CA2DE3AA3DD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28" name="Text Box 1">
          <a:extLst>
            <a:ext uri="{FF2B5EF4-FFF2-40B4-BE49-F238E27FC236}">
              <a16:creationId xmlns:a16="http://schemas.microsoft.com/office/drawing/2014/main" id="{C4E52012-4854-4FE8-B924-508B6C5F962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29" name="Text Box 1">
          <a:extLst>
            <a:ext uri="{FF2B5EF4-FFF2-40B4-BE49-F238E27FC236}">
              <a16:creationId xmlns:a16="http://schemas.microsoft.com/office/drawing/2014/main" id="{0C93AD90-6B7D-4DBC-B8B3-363DC40733D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30" name="Text Box 1">
          <a:extLst>
            <a:ext uri="{FF2B5EF4-FFF2-40B4-BE49-F238E27FC236}">
              <a16:creationId xmlns:a16="http://schemas.microsoft.com/office/drawing/2014/main" id="{DEE84B60-831D-4625-81F2-8CA4FDF7031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31" name="Text Box 1">
          <a:extLst>
            <a:ext uri="{FF2B5EF4-FFF2-40B4-BE49-F238E27FC236}">
              <a16:creationId xmlns:a16="http://schemas.microsoft.com/office/drawing/2014/main" id="{A51919E6-323D-4D3B-80A4-55A8FE3BC49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32" name="Text Box 1">
          <a:extLst>
            <a:ext uri="{FF2B5EF4-FFF2-40B4-BE49-F238E27FC236}">
              <a16:creationId xmlns:a16="http://schemas.microsoft.com/office/drawing/2014/main" id="{83B78B83-4F0B-4FC0-B272-045E30FE862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33" name="Text Box 1">
          <a:extLst>
            <a:ext uri="{FF2B5EF4-FFF2-40B4-BE49-F238E27FC236}">
              <a16:creationId xmlns:a16="http://schemas.microsoft.com/office/drawing/2014/main" id="{B857B5AF-0AA1-4F2A-AB77-CB95F87D3BB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34" name="Text Box 1">
          <a:extLst>
            <a:ext uri="{FF2B5EF4-FFF2-40B4-BE49-F238E27FC236}">
              <a16:creationId xmlns:a16="http://schemas.microsoft.com/office/drawing/2014/main" id="{04D87BB4-3794-4969-910F-E260A923FCD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35" name="Text Box 1">
          <a:extLst>
            <a:ext uri="{FF2B5EF4-FFF2-40B4-BE49-F238E27FC236}">
              <a16:creationId xmlns:a16="http://schemas.microsoft.com/office/drawing/2014/main" id="{399E6FE9-1081-4B43-9A07-110B58B1BC3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36" name="Text Box 1">
          <a:extLst>
            <a:ext uri="{FF2B5EF4-FFF2-40B4-BE49-F238E27FC236}">
              <a16:creationId xmlns:a16="http://schemas.microsoft.com/office/drawing/2014/main" id="{DDF48D31-AC38-4F92-AB37-8FF447FDF07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37" name="Text Box 1">
          <a:extLst>
            <a:ext uri="{FF2B5EF4-FFF2-40B4-BE49-F238E27FC236}">
              <a16:creationId xmlns:a16="http://schemas.microsoft.com/office/drawing/2014/main" id="{9770C89E-2AFB-4B04-8CD6-0254F19D16A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38" name="Text Box 1">
          <a:extLst>
            <a:ext uri="{FF2B5EF4-FFF2-40B4-BE49-F238E27FC236}">
              <a16:creationId xmlns:a16="http://schemas.microsoft.com/office/drawing/2014/main" id="{45718261-A38A-4853-9835-1FC684B6971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39" name="Text Box 1">
          <a:extLst>
            <a:ext uri="{FF2B5EF4-FFF2-40B4-BE49-F238E27FC236}">
              <a16:creationId xmlns:a16="http://schemas.microsoft.com/office/drawing/2014/main" id="{C46719D5-9374-4E92-A023-0538223BE09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40" name="Text Box 1">
          <a:extLst>
            <a:ext uri="{FF2B5EF4-FFF2-40B4-BE49-F238E27FC236}">
              <a16:creationId xmlns:a16="http://schemas.microsoft.com/office/drawing/2014/main" id="{A560178B-42A1-46EE-9BCF-362D1E2FF45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41" name="Text Box 1">
          <a:extLst>
            <a:ext uri="{FF2B5EF4-FFF2-40B4-BE49-F238E27FC236}">
              <a16:creationId xmlns:a16="http://schemas.microsoft.com/office/drawing/2014/main" id="{E9DC4FC2-BDBD-40D7-BFBA-B54065DFB4E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42" name="Text Box 1">
          <a:extLst>
            <a:ext uri="{FF2B5EF4-FFF2-40B4-BE49-F238E27FC236}">
              <a16:creationId xmlns:a16="http://schemas.microsoft.com/office/drawing/2014/main" id="{A537681A-AABF-4BEF-9FEE-18DD5345E68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43" name="Text Box 1">
          <a:extLst>
            <a:ext uri="{FF2B5EF4-FFF2-40B4-BE49-F238E27FC236}">
              <a16:creationId xmlns:a16="http://schemas.microsoft.com/office/drawing/2014/main" id="{28E3F423-61CB-4FDA-ACB3-A9ED986CBDB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44" name="Text Box 1">
          <a:extLst>
            <a:ext uri="{FF2B5EF4-FFF2-40B4-BE49-F238E27FC236}">
              <a16:creationId xmlns:a16="http://schemas.microsoft.com/office/drawing/2014/main" id="{FAA71BB0-63E2-4606-AE0D-A8C48CF9472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45" name="Text Box 1">
          <a:extLst>
            <a:ext uri="{FF2B5EF4-FFF2-40B4-BE49-F238E27FC236}">
              <a16:creationId xmlns:a16="http://schemas.microsoft.com/office/drawing/2014/main" id="{904F1E42-64F5-4981-92D9-F609D0C3ED3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46" name="Text Box 1">
          <a:extLst>
            <a:ext uri="{FF2B5EF4-FFF2-40B4-BE49-F238E27FC236}">
              <a16:creationId xmlns:a16="http://schemas.microsoft.com/office/drawing/2014/main" id="{DA04FD95-69D6-4455-9EAA-874D27C680D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47" name="Text Box 1">
          <a:extLst>
            <a:ext uri="{FF2B5EF4-FFF2-40B4-BE49-F238E27FC236}">
              <a16:creationId xmlns:a16="http://schemas.microsoft.com/office/drawing/2014/main" id="{C6F18F80-A652-41FB-8CFC-BBF4CFFD785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48" name="Text Box 1">
          <a:extLst>
            <a:ext uri="{FF2B5EF4-FFF2-40B4-BE49-F238E27FC236}">
              <a16:creationId xmlns:a16="http://schemas.microsoft.com/office/drawing/2014/main" id="{CAA609FD-DDCB-4058-BD70-DB624038C04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49" name="Text Box 1">
          <a:extLst>
            <a:ext uri="{FF2B5EF4-FFF2-40B4-BE49-F238E27FC236}">
              <a16:creationId xmlns:a16="http://schemas.microsoft.com/office/drawing/2014/main" id="{4842EDF0-C333-4806-93C3-28A7701F8FA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50" name="Text Box 1">
          <a:extLst>
            <a:ext uri="{FF2B5EF4-FFF2-40B4-BE49-F238E27FC236}">
              <a16:creationId xmlns:a16="http://schemas.microsoft.com/office/drawing/2014/main" id="{5A2EEF14-77DB-438D-867F-54E3D2F3B6E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51" name="Text Box 1">
          <a:extLst>
            <a:ext uri="{FF2B5EF4-FFF2-40B4-BE49-F238E27FC236}">
              <a16:creationId xmlns:a16="http://schemas.microsoft.com/office/drawing/2014/main" id="{40932281-64AA-4962-ACB4-848DCDBC65D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52" name="Text Box 1">
          <a:extLst>
            <a:ext uri="{FF2B5EF4-FFF2-40B4-BE49-F238E27FC236}">
              <a16:creationId xmlns:a16="http://schemas.microsoft.com/office/drawing/2014/main" id="{5C0B83E7-EEC5-4F28-BCB7-C25B616B0BA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53" name="Text Box 1">
          <a:extLst>
            <a:ext uri="{FF2B5EF4-FFF2-40B4-BE49-F238E27FC236}">
              <a16:creationId xmlns:a16="http://schemas.microsoft.com/office/drawing/2014/main" id="{1F574B68-046E-42D2-8B16-BC5D9D119AF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54" name="Text Box 1">
          <a:extLst>
            <a:ext uri="{FF2B5EF4-FFF2-40B4-BE49-F238E27FC236}">
              <a16:creationId xmlns:a16="http://schemas.microsoft.com/office/drawing/2014/main" id="{C03BCF3E-9FCA-4CC2-AFBE-3B692EB2F98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55" name="Text Box 1">
          <a:extLst>
            <a:ext uri="{FF2B5EF4-FFF2-40B4-BE49-F238E27FC236}">
              <a16:creationId xmlns:a16="http://schemas.microsoft.com/office/drawing/2014/main" id="{A6994773-E0CB-4BC2-8EC1-11DA99BDF53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56" name="Text Box 1">
          <a:extLst>
            <a:ext uri="{FF2B5EF4-FFF2-40B4-BE49-F238E27FC236}">
              <a16:creationId xmlns:a16="http://schemas.microsoft.com/office/drawing/2014/main" id="{6A5CB679-DB68-4EFB-9BAA-668DB08321C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57" name="Text Box 1">
          <a:extLst>
            <a:ext uri="{FF2B5EF4-FFF2-40B4-BE49-F238E27FC236}">
              <a16:creationId xmlns:a16="http://schemas.microsoft.com/office/drawing/2014/main" id="{8C5A815A-0DA6-47F9-90A5-6F46E8FDEBE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58" name="Text Box 1">
          <a:extLst>
            <a:ext uri="{FF2B5EF4-FFF2-40B4-BE49-F238E27FC236}">
              <a16:creationId xmlns:a16="http://schemas.microsoft.com/office/drawing/2014/main" id="{43ED1E45-328F-47F8-A837-B9DB46EFF97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59" name="Text Box 1">
          <a:extLst>
            <a:ext uri="{FF2B5EF4-FFF2-40B4-BE49-F238E27FC236}">
              <a16:creationId xmlns:a16="http://schemas.microsoft.com/office/drawing/2014/main" id="{A386B69F-3B91-4EC1-9CBF-BFB51085E91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60" name="Text Box 1">
          <a:extLst>
            <a:ext uri="{FF2B5EF4-FFF2-40B4-BE49-F238E27FC236}">
              <a16:creationId xmlns:a16="http://schemas.microsoft.com/office/drawing/2014/main" id="{8AD52108-D0B3-4B3E-8A41-140D79C960D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61" name="Text Box 1">
          <a:extLst>
            <a:ext uri="{FF2B5EF4-FFF2-40B4-BE49-F238E27FC236}">
              <a16:creationId xmlns:a16="http://schemas.microsoft.com/office/drawing/2014/main" id="{CAD29DCA-D4EB-4BC3-A336-0FE7F738A0E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62" name="Text Box 1">
          <a:extLst>
            <a:ext uri="{FF2B5EF4-FFF2-40B4-BE49-F238E27FC236}">
              <a16:creationId xmlns:a16="http://schemas.microsoft.com/office/drawing/2014/main" id="{D0E9DCE9-04F0-4F54-B617-591D69456D0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63" name="Text Box 1">
          <a:extLst>
            <a:ext uri="{FF2B5EF4-FFF2-40B4-BE49-F238E27FC236}">
              <a16:creationId xmlns:a16="http://schemas.microsoft.com/office/drawing/2014/main" id="{842EA2C8-8B12-43CA-A6A9-F8312E341B9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64" name="Text Box 1">
          <a:extLst>
            <a:ext uri="{FF2B5EF4-FFF2-40B4-BE49-F238E27FC236}">
              <a16:creationId xmlns:a16="http://schemas.microsoft.com/office/drawing/2014/main" id="{F4B119FE-D5A0-4499-B81B-2FF1BD1DDC4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65" name="Text Box 1">
          <a:extLst>
            <a:ext uri="{FF2B5EF4-FFF2-40B4-BE49-F238E27FC236}">
              <a16:creationId xmlns:a16="http://schemas.microsoft.com/office/drawing/2014/main" id="{28F65A0F-5E3C-4ED9-80E6-493B287A8C1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66" name="Text Box 1">
          <a:extLst>
            <a:ext uri="{FF2B5EF4-FFF2-40B4-BE49-F238E27FC236}">
              <a16:creationId xmlns:a16="http://schemas.microsoft.com/office/drawing/2014/main" id="{98C6BCDC-9518-4D53-8409-C02D1BBBAE5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67" name="Text Box 1">
          <a:extLst>
            <a:ext uri="{FF2B5EF4-FFF2-40B4-BE49-F238E27FC236}">
              <a16:creationId xmlns:a16="http://schemas.microsoft.com/office/drawing/2014/main" id="{ECAD563F-4E28-420A-A4E8-5EC6A897DC3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68" name="Text Box 1">
          <a:extLst>
            <a:ext uri="{FF2B5EF4-FFF2-40B4-BE49-F238E27FC236}">
              <a16:creationId xmlns:a16="http://schemas.microsoft.com/office/drawing/2014/main" id="{7B5D732A-965A-486C-B569-B1B57C4BE8B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69" name="Text Box 1">
          <a:extLst>
            <a:ext uri="{FF2B5EF4-FFF2-40B4-BE49-F238E27FC236}">
              <a16:creationId xmlns:a16="http://schemas.microsoft.com/office/drawing/2014/main" id="{436D0380-CCA4-471A-8849-DB7F75BC606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70" name="Text Box 1">
          <a:extLst>
            <a:ext uri="{FF2B5EF4-FFF2-40B4-BE49-F238E27FC236}">
              <a16:creationId xmlns:a16="http://schemas.microsoft.com/office/drawing/2014/main" id="{37B9081B-195F-4949-B130-8C5954D3F0B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71" name="Text Box 1">
          <a:extLst>
            <a:ext uri="{FF2B5EF4-FFF2-40B4-BE49-F238E27FC236}">
              <a16:creationId xmlns:a16="http://schemas.microsoft.com/office/drawing/2014/main" id="{6671D181-FE98-4EBC-8EA2-0374B3D4CC1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72" name="Text Box 1">
          <a:extLst>
            <a:ext uri="{FF2B5EF4-FFF2-40B4-BE49-F238E27FC236}">
              <a16:creationId xmlns:a16="http://schemas.microsoft.com/office/drawing/2014/main" id="{4319F1B7-56A2-4641-ABE8-7DF4B5FB910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73" name="Text Box 1">
          <a:extLst>
            <a:ext uri="{FF2B5EF4-FFF2-40B4-BE49-F238E27FC236}">
              <a16:creationId xmlns:a16="http://schemas.microsoft.com/office/drawing/2014/main" id="{3A7916BC-6D18-4751-85D4-2D6E631A110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74" name="Text Box 1">
          <a:extLst>
            <a:ext uri="{FF2B5EF4-FFF2-40B4-BE49-F238E27FC236}">
              <a16:creationId xmlns:a16="http://schemas.microsoft.com/office/drawing/2014/main" id="{DE0CD4F8-590C-422F-B446-8D2719268D4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75" name="Text Box 1">
          <a:extLst>
            <a:ext uri="{FF2B5EF4-FFF2-40B4-BE49-F238E27FC236}">
              <a16:creationId xmlns:a16="http://schemas.microsoft.com/office/drawing/2014/main" id="{05D3DECD-A6D3-4A53-8B1B-423B35E162E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76" name="Text Box 1">
          <a:extLst>
            <a:ext uri="{FF2B5EF4-FFF2-40B4-BE49-F238E27FC236}">
              <a16:creationId xmlns:a16="http://schemas.microsoft.com/office/drawing/2014/main" id="{43906C56-1A67-4140-A44A-391EFBF4849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77" name="Text Box 1">
          <a:extLst>
            <a:ext uri="{FF2B5EF4-FFF2-40B4-BE49-F238E27FC236}">
              <a16:creationId xmlns:a16="http://schemas.microsoft.com/office/drawing/2014/main" id="{2017C2CF-40AA-4981-AE1B-9BAF170B825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78" name="Text Box 1">
          <a:extLst>
            <a:ext uri="{FF2B5EF4-FFF2-40B4-BE49-F238E27FC236}">
              <a16:creationId xmlns:a16="http://schemas.microsoft.com/office/drawing/2014/main" id="{1824CA68-3206-4B3E-ACF8-2DA6CCC1BFC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79" name="Text Box 1">
          <a:extLst>
            <a:ext uri="{FF2B5EF4-FFF2-40B4-BE49-F238E27FC236}">
              <a16:creationId xmlns:a16="http://schemas.microsoft.com/office/drawing/2014/main" id="{FFFEF2F3-C166-4919-9795-BFBC7C3FC4B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80" name="Text Box 1">
          <a:extLst>
            <a:ext uri="{FF2B5EF4-FFF2-40B4-BE49-F238E27FC236}">
              <a16:creationId xmlns:a16="http://schemas.microsoft.com/office/drawing/2014/main" id="{DFAA8298-EE3E-47D7-93A3-F7FB27BA2DA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81" name="Text Box 1">
          <a:extLst>
            <a:ext uri="{FF2B5EF4-FFF2-40B4-BE49-F238E27FC236}">
              <a16:creationId xmlns:a16="http://schemas.microsoft.com/office/drawing/2014/main" id="{768C3F7D-2DFE-44EC-A76E-9BF69E5CA5A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82" name="Text Box 1">
          <a:extLst>
            <a:ext uri="{FF2B5EF4-FFF2-40B4-BE49-F238E27FC236}">
              <a16:creationId xmlns:a16="http://schemas.microsoft.com/office/drawing/2014/main" id="{F58CEB46-A1EA-450F-BE4E-21E06E75E66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83" name="Text Box 1">
          <a:extLst>
            <a:ext uri="{FF2B5EF4-FFF2-40B4-BE49-F238E27FC236}">
              <a16:creationId xmlns:a16="http://schemas.microsoft.com/office/drawing/2014/main" id="{0D0DC30B-8BF5-48CA-A6C6-AD6CA3CFC4E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84" name="Text Box 1">
          <a:extLst>
            <a:ext uri="{FF2B5EF4-FFF2-40B4-BE49-F238E27FC236}">
              <a16:creationId xmlns:a16="http://schemas.microsoft.com/office/drawing/2014/main" id="{6CB23AC7-6685-4F6D-8609-94AFEC68C7D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85" name="Text Box 1">
          <a:extLst>
            <a:ext uri="{FF2B5EF4-FFF2-40B4-BE49-F238E27FC236}">
              <a16:creationId xmlns:a16="http://schemas.microsoft.com/office/drawing/2014/main" id="{F3048BB9-DD79-404F-AFED-A7B498A58A8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86" name="Text Box 1">
          <a:extLst>
            <a:ext uri="{FF2B5EF4-FFF2-40B4-BE49-F238E27FC236}">
              <a16:creationId xmlns:a16="http://schemas.microsoft.com/office/drawing/2014/main" id="{7E200D0F-62E3-4209-B442-8F71B865A67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87" name="Text Box 1">
          <a:extLst>
            <a:ext uri="{FF2B5EF4-FFF2-40B4-BE49-F238E27FC236}">
              <a16:creationId xmlns:a16="http://schemas.microsoft.com/office/drawing/2014/main" id="{8C641544-27B5-4752-AD40-8A153CE85EC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88" name="Text Box 1">
          <a:extLst>
            <a:ext uri="{FF2B5EF4-FFF2-40B4-BE49-F238E27FC236}">
              <a16:creationId xmlns:a16="http://schemas.microsoft.com/office/drawing/2014/main" id="{E5C4885D-D2B0-4DA5-9DC7-6D241DDD943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89" name="Text Box 1">
          <a:extLst>
            <a:ext uri="{FF2B5EF4-FFF2-40B4-BE49-F238E27FC236}">
              <a16:creationId xmlns:a16="http://schemas.microsoft.com/office/drawing/2014/main" id="{0E92F58B-CFAB-466E-B036-7B861FE03AB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90" name="Text Box 1">
          <a:extLst>
            <a:ext uri="{FF2B5EF4-FFF2-40B4-BE49-F238E27FC236}">
              <a16:creationId xmlns:a16="http://schemas.microsoft.com/office/drawing/2014/main" id="{FCCB3197-37CF-40A4-BC89-ACB37D3CE6C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91" name="Text Box 1">
          <a:extLst>
            <a:ext uri="{FF2B5EF4-FFF2-40B4-BE49-F238E27FC236}">
              <a16:creationId xmlns:a16="http://schemas.microsoft.com/office/drawing/2014/main" id="{D444CF78-D6BE-4766-A773-D40EEB99CED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92" name="Text Box 1">
          <a:extLst>
            <a:ext uri="{FF2B5EF4-FFF2-40B4-BE49-F238E27FC236}">
              <a16:creationId xmlns:a16="http://schemas.microsoft.com/office/drawing/2014/main" id="{D7506CD0-5B14-4B83-938D-FA54035C984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93" name="Text Box 1">
          <a:extLst>
            <a:ext uri="{FF2B5EF4-FFF2-40B4-BE49-F238E27FC236}">
              <a16:creationId xmlns:a16="http://schemas.microsoft.com/office/drawing/2014/main" id="{BFD1FD28-EEDE-4A36-8618-2BB9BA95EA4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94" name="Text Box 1">
          <a:extLst>
            <a:ext uri="{FF2B5EF4-FFF2-40B4-BE49-F238E27FC236}">
              <a16:creationId xmlns:a16="http://schemas.microsoft.com/office/drawing/2014/main" id="{72DB7BE3-53CA-47BA-9B68-5FBB76FCDDE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95" name="Text Box 1">
          <a:extLst>
            <a:ext uri="{FF2B5EF4-FFF2-40B4-BE49-F238E27FC236}">
              <a16:creationId xmlns:a16="http://schemas.microsoft.com/office/drawing/2014/main" id="{D4DA2A53-0DF4-4E6E-92C1-32DAD917F2C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96" name="Text Box 1">
          <a:extLst>
            <a:ext uri="{FF2B5EF4-FFF2-40B4-BE49-F238E27FC236}">
              <a16:creationId xmlns:a16="http://schemas.microsoft.com/office/drawing/2014/main" id="{B253D5BF-6BB6-4786-8AC4-4C8AF950DA2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97" name="Text Box 1">
          <a:extLst>
            <a:ext uri="{FF2B5EF4-FFF2-40B4-BE49-F238E27FC236}">
              <a16:creationId xmlns:a16="http://schemas.microsoft.com/office/drawing/2014/main" id="{BC46950A-67F3-430F-B0A3-159D7FB0A73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98" name="Text Box 1">
          <a:extLst>
            <a:ext uri="{FF2B5EF4-FFF2-40B4-BE49-F238E27FC236}">
              <a16:creationId xmlns:a16="http://schemas.microsoft.com/office/drawing/2014/main" id="{020104FA-39D9-44A1-994B-A4B407A683C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199" name="Text Box 1">
          <a:extLst>
            <a:ext uri="{FF2B5EF4-FFF2-40B4-BE49-F238E27FC236}">
              <a16:creationId xmlns:a16="http://schemas.microsoft.com/office/drawing/2014/main" id="{3149866E-26C1-4D86-AD80-EFEA780E6CA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00" name="Text Box 1">
          <a:extLst>
            <a:ext uri="{FF2B5EF4-FFF2-40B4-BE49-F238E27FC236}">
              <a16:creationId xmlns:a16="http://schemas.microsoft.com/office/drawing/2014/main" id="{6BB48582-7903-4AFA-88CA-CD647992A2F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01" name="Text Box 1">
          <a:extLst>
            <a:ext uri="{FF2B5EF4-FFF2-40B4-BE49-F238E27FC236}">
              <a16:creationId xmlns:a16="http://schemas.microsoft.com/office/drawing/2014/main" id="{54635A3B-5761-49D2-8599-702DAA1F332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02" name="Text Box 1">
          <a:extLst>
            <a:ext uri="{FF2B5EF4-FFF2-40B4-BE49-F238E27FC236}">
              <a16:creationId xmlns:a16="http://schemas.microsoft.com/office/drawing/2014/main" id="{96FEA618-9B53-4EDB-9507-5E0CB2EBB0E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03" name="Text Box 1">
          <a:extLst>
            <a:ext uri="{FF2B5EF4-FFF2-40B4-BE49-F238E27FC236}">
              <a16:creationId xmlns:a16="http://schemas.microsoft.com/office/drawing/2014/main" id="{A37702C4-400B-40C4-A549-2F8CC2313E6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04" name="Text Box 1">
          <a:extLst>
            <a:ext uri="{FF2B5EF4-FFF2-40B4-BE49-F238E27FC236}">
              <a16:creationId xmlns:a16="http://schemas.microsoft.com/office/drawing/2014/main" id="{E70A7BBF-A8B9-4D87-9C1A-417D4461F0A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05" name="Text Box 1">
          <a:extLst>
            <a:ext uri="{FF2B5EF4-FFF2-40B4-BE49-F238E27FC236}">
              <a16:creationId xmlns:a16="http://schemas.microsoft.com/office/drawing/2014/main" id="{3BB1A350-60B6-4A0E-8DFE-B05D96DB7BA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06" name="Text Box 1">
          <a:extLst>
            <a:ext uri="{FF2B5EF4-FFF2-40B4-BE49-F238E27FC236}">
              <a16:creationId xmlns:a16="http://schemas.microsoft.com/office/drawing/2014/main" id="{A3F16172-F107-42A4-98FD-CBD4743E67F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07" name="Text Box 1">
          <a:extLst>
            <a:ext uri="{FF2B5EF4-FFF2-40B4-BE49-F238E27FC236}">
              <a16:creationId xmlns:a16="http://schemas.microsoft.com/office/drawing/2014/main" id="{5E24CB64-DFA0-4FE3-9719-7CF264CD45C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08" name="Text Box 1">
          <a:extLst>
            <a:ext uri="{FF2B5EF4-FFF2-40B4-BE49-F238E27FC236}">
              <a16:creationId xmlns:a16="http://schemas.microsoft.com/office/drawing/2014/main" id="{5645E02E-F2DF-4618-8C54-6413F8BED78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09" name="Text Box 1">
          <a:extLst>
            <a:ext uri="{FF2B5EF4-FFF2-40B4-BE49-F238E27FC236}">
              <a16:creationId xmlns:a16="http://schemas.microsoft.com/office/drawing/2014/main" id="{BDF8C15F-2D05-4E1F-B9B1-2393296691F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10" name="Text Box 1">
          <a:extLst>
            <a:ext uri="{FF2B5EF4-FFF2-40B4-BE49-F238E27FC236}">
              <a16:creationId xmlns:a16="http://schemas.microsoft.com/office/drawing/2014/main" id="{DAA44845-7149-46B7-A098-A234028687F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11" name="Text Box 1">
          <a:extLst>
            <a:ext uri="{FF2B5EF4-FFF2-40B4-BE49-F238E27FC236}">
              <a16:creationId xmlns:a16="http://schemas.microsoft.com/office/drawing/2014/main" id="{1A2C6404-0577-4EF9-9E2D-E14332B65EA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12" name="Text Box 1">
          <a:extLst>
            <a:ext uri="{FF2B5EF4-FFF2-40B4-BE49-F238E27FC236}">
              <a16:creationId xmlns:a16="http://schemas.microsoft.com/office/drawing/2014/main" id="{D9AEEB4A-BD58-4335-A045-216480A9E60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13" name="Text Box 1">
          <a:extLst>
            <a:ext uri="{FF2B5EF4-FFF2-40B4-BE49-F238E27FC236}">
              <a16:creationId xmlns:a16="http://schemas.microsoft.com/office/drawing/2014/main" id="{32CBD12F-8BB2-4446-A7D8-4AD72EFCE7F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14" name="Text Box 1">
          <a:extLst>
            <a:ext uri="{FF2B5EF4-FFF2-40B4-BE49-F238E27FC236}">
              <a16:creationId xmlns:a16="http://schemas.microsoft.com/office/drawing/2014/main" id="{3F7B1B55-328B-454D-A486-7938AA2358A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15" name="Text Box 1">
          <a:extLst>
            <a:ext uri="{FF2B5EF4-FFF2-40B4-BE49-F238E27FC236}">
              <a16:creationId xmlns:a16="http://schemas.microsoft.com/office/drawing/2014/main" id="{CEDF4A40-AB57-4298-B74F-B856EF62D9B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16" name="Text Box 1">
          <a:extLst>
            <a:ext uri="{FF2B5EF4-FFF2-40B4-BE49-F238E27FC236}">
              <a16:creationId xmlns:a16="http://schemas.microsoft.com/office/drawing/2014/main" id="{8A1DD03C-89EA-4957-B4F2-9D01481CE38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17" name="Text Box 1">
          <a:extLst>
            <a:ext uri="{FF2B5EF4-FFF2-40B4-BE49-F238E27FC236}">
              <a16:creationId xmlns:a16="http://schemas.microsoft.com/office/drawing/2014/main" id="{1856C100-B045-426B-AE59-21952FF2F90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18" name="Text Box 1">
          <a:extLst>
            <a:ext uri="{FF2B5EF4-FFF2-40B4-BE49-F238E27FC236}">
              <a16:creationId xmlns:a16="http://schemas.microsoft.com/office/drawing/2014/main" id="{7A52303B-CA0B-4B47-B9AB-3F0049A3233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19" name="Text Box 1">
          <a:extLst>
            <a:ext uri="{FF2B5EF4-FFF2-40B4-BE49-F238E27FC236}">
              <a16:creationId xmlns:a16="http://schemas.microsoft.com/office/drawing/2014/main" id="{EFA22459-7018-4CF7-AE7E-6E817EDF2D2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20" name="Text Box 1">
          <a:extLst>
            <a:ext uri="{FF2B5EF4-FFF2-40B4-BE49-F238E27FC236}">
              <a16:creationId xmlns:a16="http://schemas.microsoft.com/office/drawing/2014/main" id="{B34D0B70-6F40-40D3-9CB8-54C0903DC30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21" name="Text Box 1">
          <a:extLst>
            <a:ext uri="{FF2B5EF4-FFF2-40B4-BE49-F238E27FC236}">
              <a16:creationId xmlns:a16="http://schemas.microsoft.com/office/drawing/2014/main" id="{E817772B-B95E-47C9-A2EF-40C46415DC7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22" name="Text Box 1">
          <a:extLst>
            <a:ext uri="{FF2B5EF4-FFF2-40B4-BE49-F238E27FC236}">
              <a16:creationId xmlns:a16="http://schemas.microsoft.com/office/drawing/2014/main" id="{D84C15A1-7437-4BF3-9B85-14CA137CC2A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23" name="Text Box 1">
          <a:extLst>
            <a:ext uri="{FF2B5EF4-FFF2-40B4-BE49-F238E27FC236}">
              <a16:creationId xmlns:a16="http://schemas.microsoft.com/office/drawing/2014/main" id="{8ED8311C-F6CC-4CA2-B508-972DF741182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24" name="Text Box 1">
          <a:extLst>
            <a:ext uri="{FF2B5EF4-FFF2-40B4-BE49-F238E27FC236}">
              <a16:creationId xmlns:a16="http://schemas.microsoft.com/office/drawing/2014/main" id="{B0DE1907-29B1-4A21-9FC0-F0A45FFAD7F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25" name="Text Box 1">
          <a:extLst>
            <a:ext uri="{FF2B5EF4-FFF2-40B4-BE49-F238E27FC236}">
              <a16:creationId xmlns:a16="http://schemas.microsoft.com/office/drawing/2014/main" id="{6483C328-B115-4119-87C7-E22992A52BC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26" name="Text Box 1">
          <a:extLst>
            <a:ext uri="{FF2B5EF4-FFF2-40B4-BE49-F238E27FC236}">
              <a16:creationId xmlns:a16="http://schemas.microsoft.com/office/drawing/2014/main" id="{BE8AA8D3-AB0F-46D4-B576-26B9DFE265D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27" name="Text Box 1">
          <a:extLst>
            <a:ext uri="{FF2B5EF4-FFF2-40B4-BE49-F238E27FC236}">
              <a16:creationId xmlns:a16="http://schemas.microsoft.com/office/drawing/2014/main" id="{DDB55436-F8B3-49BB-A8F9-EFF50164834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28" name="Text Box 1">
          <a:extLst>
            <a:ext uri="{FF2B5EF4-FFF2-40B4-BE49-F238E27FC236}">
              <a16:creationId xmlns:a16="http://schemas.microsoft.com/office/drawing/2014/main" id="{D67B8CFD-F47B-4F73-B696-E4C8B20EC30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29" name="Text Box 1">
          <a:extLst>
            <a:ext uri="{FF2B5EF4-FFF2-40B4-BE49-F238E27FC236}">
              <a16:creationId xmlns:a16="http://schemas.microsoft.com/office/drawing/2014/main" id="{42342651-820E-4A6F-AC05-E2E2C2F9B05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30" name="Text Box 1">
          <a:extLst>
            <a:ext uri="{FF2B5EF4-FFF2-40B4-BE49-F238E27FC236}">
              <a16:creationId xmlns:a16="http://schemas.microsoft.com/office/drawing/2014/main" id="{B7B07D52-2FB5-4DD2-9FB4-63315EBAF12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31" name="Text Box 1">
          <a:extLst>
            <a:ext uri="{FF2B5EF4-FFF2-40B4-BE49-F238E27FC236}">
              <a16:creationId xmlns:a16="http://schemas.microsoft.com/office/drawing/2014/main" id="{06DAA8D4-411B-4300-BA14-593A7F6EE38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32" name="Text Box 1">
          <a:extLst>
            <a:ext uri="{FF2B5EF4-FFF2-40B4-BE49-F238E27FC236}">
              <a16:creationId xmlns:a16="http://schemas.microsoft.com/office/drawing/2014/main" id="{BA368DE5-6926-486A-9ECE-7160B251FCC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33" name="Text Box 1">
          <a:extLst>
            <a:ext uri="{FF2B5EF4-FFF2-40B4-BE49-F238E27FC236}">
              <a16:creationId xmlns:a16="http://schemas.microsoft.com/office/drawing/2014/main" id="{C5068694-EF76-4D42-AFDA-2E47DCAEFA8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34" name="Text Box 1">
          <a:extLst>
            <a:ext uri="{FF2B5EF4-FFF2-40B4-BE49-F238E27FC236}">
              <a16:creationId xmlns:a16="http://schemas.microsoft.com/office/drawing/2014/main" id="{47F90853-4A32-40D0-BC76-4C08188B1CF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35" name="Text Box 1">
          <a:extLst>
            <a:ext uri="{FF2B5EF4-FFF2-40B4-BE49-F238E27FC236}">
              <a16:creationId xmlns:a16="http://schemas.microsoft.com/office/drawing/2014/main" id="{211980E3-FD65-4EEF-831E-C176CCA2FF2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36" name="Text Box 1">
          <a:extLst>
            <a:ext uri="{FF2B5EF4-FFF2-40B4-BE49-F238E27FC236}">
              <a16:creationId xmlns:a16="http://schemas.microsoft.com/office/drawing/2014/main" id="{9BA69FEB-1B1B-485A-8845-0E40320EFCB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37" name="Text Box 1">
          <a:extLst>
            <a:ext uri="{FF2B5EF4-FFF2-40B4-BE49-F238E27FC236}">
              <a16:creationId xmlns:a16="http://schemas.microsoft.com/office/drawing/2014/main" id="{5E87D8E2-D958-437E-843F-3EC0A0643C0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38" name="Text Box 1">
          <a:extLst>
            <a:ext uri="{FF2B5EF4-FFF2-40B4-BE49-F238E27FC236}">
              <a16:creationId xmlns:a16="http://schemas.microsoft.com/office/drawing/2014/main" id="{8C1B3243-2B0F-456F-8B4E-16279C73A3B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39" name="Text Box 1">
          <a:extLst>
            <a:ext uri="{FF2B5EF4-FFF2-40B4-BE49-F238E27FC236}">
              <a16:creationId xmlns:a16="http://schemas.microsoft.com/office/drawing/2014/main" id="{B7F6F167-EFB7-462D-8FED-29389B32C71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40" name="Text Box 1">
          <a:extLst>
            <a:ext uri="{FF2B5EF4-FFF2-40B4-BE49-F238E27FC236}">
              <a16:creationId xmlns:a16="http://schemas.microsoft.com/office/drawing/2014/main" id="{712ADE52-603C-475C-AC20-20F32263986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41" name="Text Box 1">
          <a:extLst>
            <a:ext uri="{FF2B5EF4-FFF2-40B4-BE49-F238E27FC236}">
              <a16:creationId xmlns:a16="http://schemas.microsoft.com/office/drawing/2014/main" id="{B582B4BB-D512-4EA5-919D-980DA784DFB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42" name="Text Box 1">
          <a:extLst>
            <a:ext uri="{FF2B5EF4-FFF2-40B4-BE49-F238E27FC236}">
              <a16:creationId xmlns:a16="http://schemas.microsoft.com/office/drawing/2014/main" id="{FD00712E-2F35-4419-98A8-E8E0132118C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43" name="Text Box 1">
          <a:extLst>
            <a:ext uri="{FF2B5EF4-FFF2-40B4-BE49-F238E27FC236}">
              <a16:creationId xmlns:a16="http://schemas.microsoft.com/office/drawing/2014/main" id="{4DFF16D4-BFC0-4395-955F-E6C11A1586E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44" name="Text Box 1">
          <a:extLst>
            <a:ext uri="{FF2B5EF4-FFF2-40B4-BE49-F238E27FC236}">
              <a16:creationId xmlns:a16="http://schemas.microsoft.com/office/drawing/2014/main" id="{CC5E5337-E68F-46C7-9148-97406F71478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45" name="Text Box 1">
          <a:extLst>
            <a:ext uri="{FF2B5EF4-FFF2-40B4-BE49-F238E27FC236}">
              <a16:creationId xmlns:a16="http://schemas.microsoft.com/office/drawing/2014/main" id="{31659D35-98C6-41E9-83D8-827AE60824F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46" name="Text Box 1">
          <a:extLst>
            <a:ext uri="{FF2B5EF4-FFF2-40B4-BE49-F238E27FC236}">
              <a16:creationId xmlns:a16="http://schemas.microsoft.com/office/drawing/2014/main" id="{365348E8-21FE-406C-920D-8BB3361014F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47" name="Text Box 1">
          <a:extLst>
            <a:ext uri="{FF2B5EF4-FFF2-40B4-BE49-F238E27FC236}">
              <a16:creationId xmlns:a16="http://schemas.microsoft.com/office/drawing/2014/main" id="{B45881FB-71E4-4E0A-8925-6CBC5A6A254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48" name="Text Box 1">
          <a:extLst>
            <a:ext uri="{FF2B5EF4-FFF2-40B4-BE49-F238E27FC236}">
              <a16:creationId xmlns:a16="http://schemas.microsoft.com/office/drawing/2014/main" id="{E33A4545-9B66-485D-8F5E-EC2B5DDD9B8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49" name="Text Box 1">
          <a:extLst>
            <a:ext uri="{FF2B5EF4-FFF2-40B4-BE49-F238E27FC236}">
              <a16:creationId xmlns:a16="http://schemas.microsoft.com/office/drawing/2014/main" id="{1619CCA4-8E9B-4F18-BC34-FE5182D37D7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50" name="Text Box 1">
          <a:extLst>
            <a:ext uri="{FF2B5EF4-FFF2-40B4-BE49-F238E27FC236}">
              <a16:creationId xmlns:a16="http://schemas.microsoft.com/office/drawing/2014/main" id="{23D517CA-A1B6-408D-A5B0-99525597391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51" name="Text Box 1">
          <a:extLst>
            <a:ext uri="{FF2B5EF4-FFF2-40B4-BE49-F238E27FC236}">
              <a16:creationId xmlns:a16="http://schemas.microsoft.com/office/drawing/2014/main" id="{ED4CB983-3433-405D-B83E-AEDBC4B3BE4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52" name="Text Box 1">
          <a:extLst>
            <a:ext uri="{FF2B5EF4-FFF2-40B4-BE49-F238E27FC236}">
              <a16:creationId xmlns:a16="http://schemas.microsoft.com/office/drawing/2014/main" id="{C2B207D9-8A29-4525-A00B-007F8039737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53" name="Text Box 1">
          <a:extLst>
            <a:ext uri="{FF2B5EF4-FFF2-40B4-BE49-F238E27FC236}">
              <a16:creationId xmlns:a16="http://schemas.microsoft.com/office/drawing/2014/main" id="{8B2F5AA0-470D-4DB6-8D19-E22CE189DB0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54" name="Text Box 1">
          <a:extLst>
            <a:ext uri="{FF2B5EF4-FFF2-40B4-BE49-F238E27FC236}">
              <a16:creationId xmlns:a16="http://schemas.microsoft.com/office/drawing/2014/main" id="{DEEF9385-4E82-4AE3-9135-023AC772CC8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55" name="Text Box 1">
          <a:extLst>
            <a:ext uri="{FF2B5EF4-FFF2-40B4-BE49-F238E27FC236}">
              <a16:creationId xmlns:a16="http://schemas.microsoft.com/office/drawing/2014/main" id="{5213EBA5-7D20-420A-8DD3-26C9EC1C286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56" name="Text Box 1">
          <a:extLst>
            <a:ext uri="{FF2B5EF4-FFF2-40B4-BE49-F238E27FC236}">
              <a16:creationId xmlns:a16="http://schemas.microsoft.com/office/drawing/2014/main" id="{1FE7D884-58CD-4B6F-849E-34AAA71837F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57" name="Text Box 1">
          <a:extLst>
            <a:ext uri="{FF2B5EF4-FFF2-40B4-BE49-F238E27FC236}">
              <a16:creationId xmlns:a16="http://schemas.microsoft.com/office/drawing/2014/main" id="{B4DB362A-AAFA-46F6-8F22-DB0AFAD0F0C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58" name="Text Box 1">
          <a:extLst>
            <a:ext uri="{FF2B5EF4-FFF2-40B4-BE49-F238E27FC236}">
              <a16:creationId xmlns:a16="http://schemas.microsoft.com/office/drawing/2014/main" id="{599BAC2F-CEFC-4892-9B36-4FD1B0B345B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59" name="Text Box 1">
          <a:extLst>
            <a:ext uri="{FF2B5EF4-FFF2-40B4-BE49-F238E27FC236}">
              <a16:creationId xmlns:a16="http://schemas.microsoft.com/office/drawing/2014/main" id="{16D346F9-A8C5-4B77-8699-D4FFA8D4513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60" name="Text Box 1">
          <a:extLst>
            <a:ext uri="{FF2B5EF4-FFF2-40B4-BE49-F238E27FC236}">
              <a16:creationId xmlns:a16="http://schemas.microsoft.com/office/drawing/2014/main" id="{E67EDFE2-4B55-4DED-AB1F-B32961DB9AA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61" name="Text Box 1">
          <a:extLst>
            <a:ext uri="{FF2B5EF4-FFF2-40B4-BE49-F238E27FC236}">
              <a16:creationId xmlns:a16="http://schemas.microsoft.com/office/drawing/2014/main" id="{7619A015-4CCA-4C4B-A926-7E7B71363B7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62" name="Text Box 1">
          <a:extLst>
            <a:ext uri="{FF2B5EF4-FFF2-40B4-BE49-F238E27FC236}">
              <a16:creationId xmlns:a16="http://schemas.microsoft.com/office/drawing/2014/main" id="{1984CF62-F066-4BBE-B186-1798BBBBC45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63" name="Text Box 1">
          <a:extLst>
            <a:ext uri="{FF2B5EF4-FFF2-40B4-BE49-F238E27FC236}">
              <a16:creationId xmlns:a16="http://schemas.microsoft.com/office/drawing/2014/main" id="{58672554-717D-423D-A191-C69192DBCC0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64" name="Text Box 1">
          <a:extLst>
            <a:ext uri="{FF2B5EF4-FFF2-40B4-BE49-F238E27FC236}">
              <a16:creationId xmlns:a16="http://schemas.microsoft.com/office/drawing/2014/main" id="{3B614BB5-CC87-42F1-A3C0-5039799C00D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65" name="Text Box 1">
          <a:extLst>
            <a:ext uri="{FF2B5EF4-FFF2-40B4-BE49-F238E27FC236}">
              <a16:creationId xmlns:a16="http://schemas.microsoft.com/office/drawing/2014/main" id="{1B6B2D85-0BC6-4FBC-B936-6B9B6CDC2D6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66" name="Text Box 1">
          <a:extLst>
            <a:ext uri="{FF2B5EF4-FFF2-40B4-BE49-F238E27FC236}">
              <a16:creationId xmlns:a16="http://schemas.microsoft.com/office/drawing/2014/main" id="{489E5AB5-D870-4F52-8F64-24C7C83DB17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67" name="Text Box 1">
          <a:extLst>
            <a:ext uri="{FF2B5EF4-FFF2-40B4-BE49-F238E27FC236}">
              <a16:creationId xmlns:a16="http://schemas.microsoft.com/office/drawing/2014/main" id="{E17E11F2-17C1-4E23-9C94-34A19616917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68" name="Text Box 1">
          <a:extLst>
            <a:ext uri="{FF2B5EF4-FFF2-40B4-BE49-F238E27FC236}">
              <a16:creationId xmlns:a16="http://schemas.microsoft.com/office/drawing/2014/main" id="{1363DB21-9A42-40A2-BADC-D07BD4F0051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69" name="Text Box 1">
          <a:extLst>
            <a:ext uri="{FF2B5EF4-FFF2-40B4-BE49-F238E27FC236}">
              <a16:creationId xmlns:a16="http://schemas.microsoft.com/office/drawing/2014/main" id="{5333A2C1-B4A2-4197-A336-8E5E68A5B5E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70" name="Text Box 1">
          <a:extLst>
            <a:ext uri="{FF2B5EF4-FFF2-40B4-BE49-F238E27FC236}">
              <a16:creationId xmlns:a16="http://schemas.microsoft.com/office/drawing/2014/main" id="{DD91C8A0-CD5C-498F-9F64-2C704F55A8F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71" name="Text Box 1">
          <a:extLst>
            <a:ext uri="{FF2B5EF4-FFF2-40B4-BE49-F238E27FC236}">
              <a16:creationId xmlns:a16="http://schemas.microsoft.com/office/drawing/2014/main" id="{DB7BE7A5-8490-47F3-9746-9B0E315C400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72" name="Text Box 1">
          <a:extLst>
            <a:ext uri="{FF2B5EF4-FFF2-40B4-BE49-F238E27FC236}">
              <a16:creationId xmlns:a16="http://schemas.microsoft.com/office/drawing/2014/main" id="{184415E4-5077-4EBE-9626-BEA4F44E2F8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73" name="Text Box 1">
          <a:extLst>
            <a:ext uri="{FF2B5EF4-FFF2-40B4-BE49-F238E27FC236}">
              <a16:creationId xmlns:a16="http://schemas.microsoft.com/office/drawing/2014/main" id="{F39B3A18-B2F1-4AB2-ABEB-35F77308F6B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74" name="Text Box 1">
          <a:extLst>
            <a:ext uri="{FF2B5EF4-FFF2-40B4-BE49-F238E27FC236}">
              <a16:creationId xmlns:a16="http://schemas.microsoft.com/office/drawing/2014/main" id="{E3922856-2600-45EC-9E69-4DEA87ED7CE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75" name="Text Box 1">
          <a:extLst>
            <a:ext uri="{FF2B5EF4-FFF2-40B4-BE49-F238E27FC236}">
              <a16:creationId xmlns:a16="http://schemas.microsoft.com/office/drawing/2014/main" id="{686D7F00-C72F-42D5-BB08-F4023B23C08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76" name="Text Box 1">
          <a:extLst>
            <a:ext uri="{FF2B5EF4-FFF2-40B4-BE49-F238E27FC236}">
              <a16:creationId xmlns:a16="http://schemas.microsoft.com/office/drawing/2014/main" id="{0B3E487C-626C-4623-B992-18AEAFBD403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77" name="Text Box 1">
          <a:extLst>
            <a:ext uri="{FF2B5EF4-FFF2-40B4-BE49-F238E27FC236}">
              <a16:creationId xmlns:a16="http://schemas.microsoft.com/office/drawing/2014/main" id="{6484430B-2A67-4364-9CD4-B50B71980DE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78" name="Text Box 1">
          <a:extLst>
            <a:ext uri="{FF2B5EF4-FFF2-40B4-BE49-F238E27FC236}">
              <a16:creationId xmlns:a16="http://schemas.microsoft.com/office/drawing/2014/main" id="{612CDCF9-AA39-41C5-89D8-F8F56562530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79" name="Text Box 1">
          <a:extLst>
            <a:ext uri="{FF2B5EF4-FFF2-40B4-BE49-F238E27FC236}">
              <a16:creationId xmlns:a16="http://schemas.microsoft.com/office/drawing/2014/main" id="{57600D9C-06F5-4BE1-B9A0-1881EC35F2A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80" name="Text Box 1">
          <a:extLst>
            <a:ext uri="{FF2B5EF4-FFF2-40B4-BE49-F238E27FC236}">
              <a16:creationId xmlns:a16="http://schemas.microsoft.com/office/drawing/2014/main" id="{8E493D93-54CB-43A3-B091-B33EF0245F2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81" name="Text Box 1">
          <a:extLst>
            <a:ext uri="{FF2B5EF4-FFF2-40B4-BE49-F238E27FC236}">
              <a16:creationId xmlns:a16="http://schemas.microsoft.com/office/drawing/2014/main" id="{CA70F194-0007-4BD4-B7B5-8EA8BD627B1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82" name="Text Box 1">
          <a:extLst>
            <a:ext uri="{FF2B5EF4-FFF2-40B4-BE49-F238E27FC236}">
              <a16:creationId xmlns:a16="http://schemas.microsoft.com/office/drawing/2014/main" id="{7D53C75F-CE8A-4325-B7F5-4905BB6AFB7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83" name="Text Box 1">
          <a:extLst>
            <a:ext uri="{FF2B5EF4-FFF2-40B4-BE49-F238E27FC236}">
              <a16:creationId xmlns:a16="http://schemas.microsoft.com/office/drawing/2014/main" id="{14BBE9EF-D9B7-49B8-BEBF-8AB3BE99693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84" name="Text Box 1">
          <a:extLst>
            <a:ext uri="{FF2B5EF4-FFF2-40B4-BE49-F238E27FC236}">
              <a16:creationId xmlns:a16="http://schemas.microsoft.com/office/drawing/2014/main" id="{77F1EED2-F00B-4060-809D-E53C10E9C7D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85" name="Text Box 1">
          <a:extLst>
            <a:ext uri="{FF2B5EF4-FFF2-40B4-BE49-F238E27FC236}">
              <a16:creationId xmlns:a16="http://schemas.microsoft.com/office/drawing/2014/main" id="{D76555A5-DCB8-4975-ADB9-4CCD9C3227E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86" name="Text Box 1">
          <a:extLst>
            <a:ext uri="{FF2B5EF4-FFF2-40B4-BE49-F238E27FC236}">
              <a16:creationId xmlns:a16="http://schemas.microsoft.com/office/drawing/2014/main" id="{4303EA58-AEF8-4C90-B0A0-A6B6B20EA29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87" name="Text Box 1">
          <a:extLst>
            <a:ext uri="{FF2B5EF4-FFF2-40B4-BE49-F238E27FC236}">
              <a16:creationId xmlns:a16="http://schemas.microsoft.com/office/drawing/2014/main" id="{0A131038-D89C-4E7C-BA13-CC03310DA8D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88" name="Text Box 1">
          <a:extLst>
            <a:ext uri="{FF2B5EF4-FFF2-40B4-BE49-F238E27FC236}">
              <a16:creationId xmlns:a16="http://schemas.microsoft.com/office/drawing/2014/main" id="{19AA2D2A-D043-46DA-8098-334DF1257AB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89" name="Text Box 1">
          <a:extLst>
            <a:ext uri="{FF2B5EF4-FFF2-40B4-BE49-F238E27FC236}">
              <a16:creationId xmlns:a16="http://schemas.microsoft.com/office/drawing/2014/main" id="{7850C685-FED7-4864-AC4A-810CD70B590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90" name="Text Box 1">
          <a:extLst>
            <a:ext uri="{FF2B5EF4-FFF2-40B4-BE49-F238E27FC236}">
              <a16:creationId xmlns:a16="http://schemas.microsoft.com/office/drawing/2014/main" id="{B640E361-8D5A-414B-A5B0-D22BA4B355D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91" name="Text Box 1">
          <a:extLst>
            <a:ext uri="{FF2B5EF4-FFF2-40B4-BE49-F238E27FC236}">
              <a16:creationId xmlns:a16="http://schemas.microsoft.com/office/drawing/2014/main" id="{91096E52-31AA-4D07-A62F-7D7BEF536E5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92" name="Text Box 1">
          <a:extLst>
            <a:ext uri="{FF2B5EF4-FFF2-40B4-BE49-F238E27FC236}">
              <a16:creationId xmlns:a16="http://schemas.microsoft.com/office/drawing/2014/main" id="{EB3D9EA6-DAAF-45E9-B5DC-1AA3A640EBA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93" name="Text Box 1">
          <a:extLst>
            <a:ext uri="{FF2B5EF4-FFF2-40B4-BE49-F238E27FC236}">
              <a16:creationId xmlns:a16="http://schemas.microsoft.com/office/drawing/2014/main" id="{BEBB395D-A11E-418F-B1B6-30D16EC8556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94" name="Text Box 1">
          <a:extLst>
            <a:ext uri="{FF2B5EF4-FFF2-40B4-BE49-F238E27FC236}">
              <a16:creationId xmlns:a16="http://schemas.microsoft.com/office/drawing/2014/main" id="{908740D7-209D-4815-93BA-221C0B83232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95" name="Text Box 1">
          <a:extLst>
            <a:ext uri="{FF2B5EF4-FFF2-40B4-BE49-F238E27FC236}">
              <a16:creationId xmlns:a16="http://schemas.microsoft.com/office/drawing/2014/main" id="{1C3E2444-7959-41FA-99B0-3B76C45EA8A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96" name="Text Box 1">
          <a:extLst>
            <a:ext uri="{FF2B5EF4-FFF2-40B4-BE49-F238E27FC236}">
              <a16:creationId xmlns:a16="http://schemas.microsoft.com/office/drawing/2014/main" id="{1888E7DA-9F7B-496E-90F8-49486655D94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97" name="Text Box 1">
          <a:extLst>
            <a:ext uri="{FF2B5EF4-FFF2-40B4-BE49-F238E27FC236}">
              <a16:creationId xmlns:a16="http://schemas.microsoft.com/office/drawing/2014/main" id="{394E71F4-62C0-40E6-BB2D-937F7BE688A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98" name="Text Box 1">
          <a:extLst>
            <a:ext uri="{FF2B5EF4-FFF2-40B4-BE49-F238E27FC236}">
              <a16:creationId xmlns:a16="http://schemas.microsoft.com/office/drawing/2014/main" id="{DCAFF5A2-AFB5-4673-9CA9-36CE9D76C8D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299" name="Text Box 1">
          <a:extLst>
            <a:ext uri="{FF2B5EF4-FFF2-40B4-BE49-F238E27FC236}">
              <a16:creationId xmlns:a16="http://schemas.microsoft.com/office/drawing/2014/main" id="{D309AEEA-D450-47F4-814E-5A746E43E34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00" name="Text Box 1">
          <a:extLst>
            <a:ext uri="{FF2B5EF4-FFF2-40B4-BE49-F238E27FC236}">
              <a16:creationId xmlns:a16="http://schemas.microsoft.com/office/drawing/2014/main" id="{B9042FCC-2795-4646-9811-40C4CCD1780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01" name="Text Box 1">
          <a:extLst>
            <a:ext uri="{FF2B5EF4-FFF2-40B4-BE49-F238E27FC236}">
              <a16:creationId xmlns:a16="http://schemas.microsoft.com/office/drawing/2014/main" id="{FB346D31-EBF1-43AD-B687-3E6625E604C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02" name="Text Box 1">
          <a:extLst>
            <a:ext uri="{FF2B5EF4-FFF2-40B4-BE49-F238E27FC236}">
              <a16:creationId xmlns:a16="http://schemas.microsoft.com/office/drawing/2014/main" id="{FD862096-ABAA-4BB6-AD94-0B7E9D08F63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03" name="Text Box 1">
          <a:extLst>
            <a:ext uri="{FF2B5EF4-FFF2-40B4-BE49-F238E27FC236}">
              <a16:creationId xmlns:a16="http://schemas.microsoft.com/office/drawing/2014/main" id="{D38BE038-2B85-48A0-82F4-4AE7FB1CFB9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04" name="Text Box 1">
          <a:extLst>
            <a:ext uri="{FF2B5EF4-FFF2-40B4-BE49-F238E27FC236}">
              <a16:creationId xmlns:a16="http://schemas.microsoft.com/office/drawing/2014/main" id="{ABED6ED8-B7D3-4864-812A-A15249A6F4E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05" name="Text Box 1">
          <a:extLst>
            <a:ext uri="{FF2B5EF4-FFF2-40B4-BE49-F238E27FC236}">
              <a16:creationId xmlns:a16="http://schemas.microsoft.com/office/drawing/2014/main" id="{C0BD7A99-95B7-465B-87EF-252623A7F68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06" name="Text Box 1">
          <a:extLst>
            <a:ext uri="{FF2B5EF4-FFF2-40B4-BE49-F238E27FC236}">
              <a16:creationId xmlns:a16="http://schemas.microsoft.com/office/drawing/2014/main" id="{0ADBA034-1172-470E-B3C6-237194A47AC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07" name="Text Box 1">
          <a:extLst>
            <a:ext uri="{FF2B5EF4-FFF2-40B4-BE49-F238E27FC236}">
              <a16:creationId xmlns:a16="http://schemas.microsoft.com/office/drawing/2014/main" id="{0EFC40DE-488F-45F3-BBCF-7C04A8354B0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08" name="Text Box 1">
          <a:extLst>
            <a:ext uri="{FF2B5EF4-FFF2-40B4-BE49-F238E27FC236}">
              <a16:creationId xmlns:a16="http://schemas.microsoft.com/office/drawing/2014/main" id="{085BED3B-6EA2-415D-B42D-FD63ED90A52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09" name="Text Box 1">
          <a:extLst>
            <a:ext uri="{FF2B5EF4-FFF2-40B4-BE49-F238E27FC236}">
              <a16:creationId xmlns:a16="http://schemas.microsoft.com/office/drawing/2014/main" id="{B9F4D865-9ACB-4A70-AB2D-2DD3A41CB2E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10" name="Text Box 1">
          <a:extLst>
            <a:ext uri="{FF2B5EF4-FFF2-40B4-BE49-F238E27FC236}">
              <a16:creationId xmlns:a16="http://schemas.microsoft.com/office/drawing/2014/main" id="{1801398F-7FE0-4AC7-B530-5BC56973781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11" name="Text Box 1">
          <a:extLst>
            <a:ext uri="{FF2B5EF4-FFF2-40B4-BE49-F238E27FC236}">
              <a16:creationId xmlns:a16="http://schemas.microsoft.com/office/drawing/2014/main" id="{70A69F25-06E5-49A8-B0D4-653D972B5F0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12" name="Text Box 1">
          <a:extLst>
            <a:ext uri="{FF2B5EF4-FFF2-40B4-BE49-F238E27FC236}">
              <a16:creationId xmlns:a16="http://schemas.microsoft.com/office/drawing/2014/main" id="{EA60D62A-2A27-4915-B07E-3D6D69DDAD2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13" name="Text Box 1">
          <a:extLst>
            <a:ext uri="{FF2B5EF4-FFF2-40B4-BE49-F238E27FC236}">
              <a16:creationId xmlns:a16="http://schemas.microsoft.com/office/drawing/2014/main" id="{C4BD07D4-B90B-46B1-AD3A-1851B0AEBCD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14" name="Text Box 1">
          <a:extLst>
            <a:ext uri="{FF2B5EF4-FFF2-40B4-BE49-F238E27FC236}">
              <a16:creationId xmlns:a16="http://schemas.microsoft.com/office/drawing/2014/main" id="{E8E9DE37-77CF-4523-ABFB-F3920A99F02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15" name="Text Box 1">
          <a:extLst>
            <a:ext uri="{FF2B5EF4-FFF2-40B4-BE49-F238E27FC236}">
              <a16:creationId xmlns:a16="http://schemas.microsoft.com/office/drawing/2014/main" id="{80558B15-76C4-462A-81A5-801BAB0814B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16" name="Text Box 1">
          <a:extLst>
            <a:ext uri="{FF2B5EF4-FFF2-40B4-BE49-F238E27FC236}">
              <a16:creationId xmlns:a16="http://schemas.microsoft.com/office/drawing/2014/main" id="{EF693CD1-B3C7-4573-A9DB-0EC50D57CED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17" name="Text Box 1">
          <a:extLst>
            <a:ext uri="{FF2B5EF4-FFF2-40B4-BE49-F238E27FC236}">
              <a16:creationId xmlns:a16="http://schemas.microsoft.com/office/drawing/2014/main" id="{8B3A14A8-B692-4543-9837-0CC81B1EF76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18" name="Text Box 1">
          <a:extLst>
            <a:ext uri="{FF2B5EF4-FFF2-40B4-BE49-F238E27FC236}">
              <a16:creationId xmlns:a16="http://schemas.microsoft.com/office/drawing/2014/main" id="{5268563D-14AB-4051-A87F-E49A90B5706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19" name="Text Box 1">
          <a:extLst>
            <a:ext uri="{FF2B5EF4-FFF2-40B4-BE49-F238E27FC236}">
              <a16:creationId xmlns:a16="http://schemas.microsoft.com/office/drawing/2014/main" id="{34F42E0F-11C0-4B51-BE63-DACA22B1457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20" name="Text Box 1">
          <a:extLst>
            <a:ext uri="{FF2B5EF4-FFF2-40B4-BE49-F238E27FC236}">
              <a16:creationId xmlns:a16="http://schemas.microsoft.com/office/drawing/2014/main" id="{475992DB-94BF-4C99-A7A7-B71019BD125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21" name="Text Box 1">
          <a:extLst>
            <a:ext uri="{FF2B5EF4-FFF2-40B4-BE49-F238E27FC236}">
              <a16:creationId xmlns:a16="http://schemas.microsoft.com/office/drawing/2014/main" id="{ABAF78D0-71CF-4BAB-A046-9623BCCCCEE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22" name="Text Box 1">
          <a:extLst>
            <a:ext uri="{FF2B5EF4-FFF2-40B4-BE49-F238E27FC236}">
              <a16:creationId xmlns:a16="http://schemas.microsoft.com/office/drawing/2014/main" id="{152ECFA3-C659-4959-8E0A-B1BD840EAD9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23" name="Text Box 1">
          <a:extLst>
            <a:ext uri="{FF2B5EF4-FFF2-40B4-BE49-F238E27FC236}">
              <a16:creationId xmlns:a16="http://schemas.microsoft.com/office/drawing/2014/main" id="{8BF294DA-641D-4C65-80EB-3197954358B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24" name="Text Box 1">
          <a:extLst>
            <a:ext uri="{FF2B5EF4-FFF2-40B4-BE49-F238E27FC236}">
              <a16:creationId xmlns:a16="http://schemas.microsoft.com/office/drawing/2014/main" id="{7CCF0DC5-5849-437A-908F-55433525A6F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25" name="Text Box 1">
          <a:extLst>
            <a:ext uri="{FF2B5EF4-FFF2-40B4-BE49-F238E27FC236}">
              <a16:creationId xmlns:a16="http://schemas.microsoft.com/office/drawing/2014/main" id="{4B6D5889-F29C-4080-A1B5-620AC86C3BE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26" name="Text Box 1">
          <a:extLst>
            <a:ext uri="{FF2B5EF4-FFF2-40B4-BE49-F238E27FC236}">
              <a16:creationId xmlns:a16="http://schemas.microsoft.com/office/drawing/2014/main" id="{611FF510-9708-4C80-87EC-51A5106FE6E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27" name="Text Box 1">
          <a:extLst>
            <a:ext uri="{FF2B5EF4-FFF2-40B4-BE49-F238E27FC236}">
              <a16:creationId xmlns:a16="http://schemas.microsoft.com/office/drawing/2014/main" id="{A7AF226E-4BBF-427D-8EAB-8E559B1953C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28" name="Text Box 1">
          <a:extLst>
            <a:ext uri="{FF2B5EF4-FFF2-40B4-BE49-F238E27FC236}">
              <a16:creationId xmlns:a16="http://schemas.microsoft.com/office/drawing/2014/main" id="{2092CDDE-BB0B-4C01-B78D-60B62E6CBDE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29" name="Text Box 1">
          <a:extLst>
            <a:ext uri="{FF2B5EF4-FFF2-40B4-BE49-F238E27FC236}">
              <a16:creationId xmlns:a16="http://schemas.microsoft.com/office/drawing/2014/main" id="{AE147B1F-8283-4AB0-8CF8-D611C17B48B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30" name="Text Box 1">
          <a:extLst>
            <a:ext uri="{FF2B5EF4-FFF2-40B4-BE49-F238E27FC236}">
              <a16:creationId xmlns:a16="http://schemas.microsoft.com/office/drawing/2014/main" id="{B08D8979-CA27-4AB4-8490-86A66DB91DB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31" name="Text Box 1">
          <a:extLst>
            <a:ext uri="{FF2B5EF4-FFF2-40B4-BE49-F238E27FC236}">
              <a16:creationId xmlns:a16="http://schemas.microsoft.com/office/drawing/2014/main" id="{1BB6CE23-2C80-4979-B17F-9EF8969A3A3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32" name="Text Box 1">
          <a:extLst>
            <a:ext uri="{FF2B5EF4-FFF2-40B4-BE49-F238E27FC236}">
              <a16:creationId xmlns:a16="http://schemas.microsoft.com/office/drawing/2014/main" id="{54C60DF3-73F5-49C9-AC07-36D818A2E72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33" name="Text Box 1">
          <a:extLst>
            <a:ext uri="{FF2B5EF4-FFF2-40B4-BE49-F238E27FC236}">
              <a16:creationId xmlns:a16="http://schemas.microsoft.com/office/drawing/2014/main" id="{0423E13D-27FB-43DD-A41F-9F46B33EFE5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34" name="Text Box 1">
          <a:extLst>
            <a:ext uri="{FF2B5EF4-FFF2-40B4-BE49-F238E27FC236}">
              <a16:creationId xmlns:a16="http://schemas.microsoft.com/office/drawing/2014/main" id="{49D482AB-C386-459A-B394-4998262FA92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35" name="Text Box 1">
          <a:extLst>
            <a:ext uri="{FF2B5EF4-FFF2-40B4-BE49-F238E27FC236}">
              <a16:creationId xmlns:a16="http://schemas.microsoft.com/office/drawing/2014/main" id="{435060EA-CD5F-4D18-9E6D-E79E679F29D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36" name="Text Box 1">
          <a:extLst>
            <a:ext uri="{FF2B5EF4-FFF2-40B4-BE49-F238E27FC236}">
              <a16:creationId xmlns:a16="http://schemas.microsoft.com/office/drawing/2014/main" id="{9A69D1CD-B28D-4D76-8E00-A3A6DA6550D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37" name="Text Box 1">
          <a:extLst>
            <a:ext uri="{FF2B5EF4-FFF2-40B4-BE49-F238E27FC236}">
              <a16:creationId xmlns:a16="http://schemas.microsoft.com/office/drawing/2014/main" id="{B4B0B935-DBF3-4325-B59A-FA9B1FB7BA0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38" name="Text Box 1">
          <a:extLst>
            <a:ext uri="{FF2B5EF4-FFF2-40B4-BE49-F238E27FC236}">
              <a16:creationId xmlns:a16="http://schemas.microsoft.com/office/drawing/2014/main" id="{73E1FA3C-F990-4F9F-98F6-2309B79DB39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39" name="Text Box 1">
          <a:extLst>
            <a:ext uri="{FF2B5EF4-FFF2-40B4-BE49-F238E27FC236}">
              <a16:creationId xmlns:a16="http://schemas.microsoft.com/office/drawing/2014/main" id="{5B7983EF-5A4C-4B03-AEB3-47B57248B58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40" name="Text Box 1">
          <a:extLst>
            <a:ext uri="{FF2B5EF4-FFF2-40B4-BE49-F238E27FC236}">
              <a16:creationId xmlns:a16="http://schemas.microsoft.com/office/drawing/2014/main" id="{512DE08F-8E47-46A0-8125-1E8A90DA644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41" name="Text Box 1">
          <a:extLst>
            <a:ext uri="{FF2B5EF4-FFF2-40B4-BE49-F238E27FC236}">
              <a16:creationId xmlns:a16="http://schemas.microsoft.com/office/drawing/2014/main" id="{332960EA-1703-41EE-A270-2404EBC919E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42" name="Text Box 1">
          <a:extLst>
            <a:ext uri="{FF2B5EF4-FFF2-40B4-BE49-F238E27FC236}">
              <a16:creationId xmlns:a16="http://schemas.microsoft.com/office/drawing/2014/main" id="{9E15BDE0-0AA5-4968-B6C0-914A9415CA6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43" name="Text Box 1">
          <a:extLst>
            <a:ext uri="{FF2B5EF4-FFF2-40B4-BE49-F238E27FC236}">
              <a16:creationId xmlns:a16="http://schemas.microsoft.com/office/drawing/2014/main" id="{B1321810-F028-4E91-9F08-359C3F9B146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44" name="Text Box 1">
          <a:extLst>
            <a:ext uri="{FF2B5EF4-FFF2-40B4-BE49-F238E27FC236}">
              <a16:creationId xmlns:a16="http://schemas.microsoft.com/office/drawing/2014/main" id="{3D3DE0B7-CF99-4F98-A033-610D8DC10FE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45" name="Text Box 1">
          <a:extLst>
            <a:ext uri="{FF2B5EF4-FFF2-40B4-BE49-F238E27FC236}">
              <a16:creationId xmlns:a16="http://schemas.microsoft.com/office/drawing/2014/main" id="{67AA69EF-C9C8-42AD-BB59-C322B03A063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46" name="Text Box 1">
          <a:extLst>
            <a:ext uri="{FF2B5EF4-FFF2-40B4-BE49-F238E27FC236}">
              <a16:creationId xmlns:a16="http://schemas.microsoft.com/office/drawing/2014/main" id="{A21AE71D-34CC-4A0C-A7CB-21016C1EE45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47" name="Text Box 1">
          <a:extLst>
            <a:ext uri="{FF2B5EF4-FFF2-40B4-BE49-F238E27FC236}">
              <a16:creationId xmlns:a16="http://schemas.microsoft.com/office/drawing/2014/main" id="{5C2E29C6-938C-4C27-8884-B35950064C3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48" name="Text Box 1">
          <a:extLst>
            <a:ext uri="{FF2B5EF4-FFF2-40B4-BE49-F238E27FC236}">
              <a16:creationId xmlns:a16="http://schemas.microsoft.com/office/drawing/2014/main" id="{60245F4F-CC3E-440E-A180-FC5C0190241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49" name="Text Box 1">
          <a:extLst>
            <a:ext uri="{FF2B5EF4-FFF2-40B4-BE49-F238E27FC236}">
              <a16:creationId xmlns:a16="http://schemas.microsoft.com/office/drawing/2014/main" id="{6F63F4C7-4777-4389-B1D8-6EEAD642238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50" name="Text Box 1">
          <a:extLst>
            <a:ext uri="{FF2B5EF4-FFF2-40B4-BE49-F238E27FC236}">
              <a16:creationId xmlns:a16="http://schemas.microsoft.com/office/drawing/2014/main" id="{6702C2FB-66CC-4D4A-8722-78292F32091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51" name="Text Box 1">
          <a:extLst>
            <a:ext uri="{FF2B5EF4-FFF2-40B4-BE49-F238E27FC236}">
              <a16:creationId xmlns:a16="http://schemas.microsoft.com/office/drawing/2014/main" id="{7AAAC5D8-C1B8-4FAB-9F0B-CF6D9E4C796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52" name="Text Box 1">
          <a:extLst>
            <a:ext uri="{FF2B5EF4-FFF2-40B4-BE49-F238E27FC236}">
              <a16:creationId xmlns:a16="http://schemas.microsoft.com/office/drawing/2014/main" id="{E5FFEBD9-4C6C-4402-B5E8-4DD635F19E8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53" name="Text Box 1">
          <a:extLst>
            <a:ext uri="{FF2B5EF4-FFF2-40B4-BE49-F238E27FC236}">
              <a16:creationId xmlns:a16="http://schemas.microsoft.com/office/drawing/2014/main" id="{F5E87460-F15D-4287-9291-C712FA0AD98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54" name="Text Box 1">
          <a:extLst>
            <a:ext uri="{FF2B5EF4-FFF2-40B4-BE49-F238E27FC236}">
              <a16:creationId xmlns:a16="http://schemas.microsoft.com/office/drawing/2014/main" id="{C36084F1-5ADF-4508-A33D-5452D454B3F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55" name="Text Box 1">
          <a:extLst>
            <a:ext uri="{FF2B5EF4-FFF2-40B4-BE49-F238E27FC236}">
              <a16:creationId xmlns:a16="http://schemas.microsoft.com/office/drawing/2014/main" id="{7B8B0FC0-30CB-4F93-B4A1-39B0977E9BF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56" name="Text Box 1">
          <a:extLst>
            <a:ext uri="{FF2B5EF4-FFF2-40B4-BE49-F238E27FC236}">
              <a16:creationId xmlns:a16="http://schemas.microsoft.com/office/drawing/2014/main" id="{0D3D212B-0565-4CE1-A7E2-B6548E21EDE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57" name="Text Box 1">
          <a:extLst>
            <a:ext uri="{FF2B5EF4-FFF2-40B4-BE49-F238E27FC236}">
              <a16:creationId xmlns:a16="http://schemas.microsoft.com/office/drawing/2014/main" id="{071F473C-DB7A-441D-846B-FF1069899B8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58" name="Text Box 1">
          <a:extLst>
            <a:ext uri="{FF2B5EF4-FFF2-40B4-BE49-F238E27FC236}">
              <a16:creationId xmlns:a16="http://schemas.microsoft.com/office/drawing/2014/main" id="{9CFB0EA0-1113-4A55-96B7-5E188D371A3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59" name="Text Box 1">
          <a:extLst>
            <a:ext uri="{FF2B5EF4-FFF2-40B4-BE49-F238E27FC236}">
              <a16:creationId xmlns:a16="http://schemas.microsoft.com/office/drawing/2014/main" id="{F7035501-EECF-415F-B586-1E5FC8FC32F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60" name="Text Box 1">
          <a:extLst>
            <a:ext uri="{FF2B5EF4-FFF2-40B4-BE49-F238E27FC236}">
              <a16:creationId xmlns:a16="http://schemas.microsoft.com/office/drawing/2014/main" id="{270471B2-4F52-451F-9F67-4732715CCE0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61" name="Text Box 1">
          <a:extLst>
            <a:ext uri="{FF2B5EF4-FFF2-40B4-BE49-F238E27FC236}">
              <a16:creationId xmlns:a16="http://schemas.microsoft.com/office/drawing/2014/main" id="{F1450AC4-D56F-4F5B-AD45-A9629CF4111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62" name="Text Box 1">
          <a:extLst>
            <a:ext uri="{FF2B5EF4-FFF2-40B4-BE49-F238E27FC236}">
              <a16:creationId xmlns:a16="http://schemas.microsoft.com/office/drawing/2014/main" id="{AD2C9D8C-CE2A-4F7A-A4F4-6456F4A1481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63" name="Text Box 1">
          <a:extLst>
            <a:ext uri="{FF2B5EF4-FFF2-40B4-BE49-F238E27FC236}">
              <a16:creationId xmlns:a16="http://schemas.microsoft.com/office/drawing/2014/main" id="{E9AA9EB3-AB22-4449-A87A-EC9D8F59444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64" name="Text Box 1">
          <a:extLst>
            <a:ext uri="{FF2B5EF4-FFF2-40B4-BE49-F238E27FC236}">
              <a16:creationId xmlns:a16="http://schemas.microsoft.com/office/drawing/2014/main" id="{E8745A32-EC8E-4906-929A-CF53134C6B8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65" name="Text Box 1">
          <a:extLst>
            <a:ext uri="{FF2B5EF4-FFF2-40B4-BE49-F238E27FC236}">
              <a16:creationId xmlns:a16="http://schemas.microsoft.com/office/drawing/2014/main" id="{4AA6DAB2-FF26-454C-9E3B-D8D253F0981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66" name="Text Box 1">
          <a:extLst>
            <a:ext uri="{FF2B5EF4-FFF2-40B4-BE49-F238E27FC236}">
              <a16:creationId xmlns:a16="http://schemas.microsoft.com/office/drawing/2014/main" id="{65984287-B170-4D53-A968-D783005BA8B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67" name="Text Box 1">
          <a:extLst>
            <a:ext uri="{FF2B5EF4-FFF2-40B4-BE49-F238E27FC236}">
              <a16:creationId xmlns:a16="http://schemas.microsoft.com/office/drawing/2014/main" id="{9F3E101F-2F52-481A-8F92-3257E69F323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68" name="Text Box 1">
          <a:extLst>
            <a:ext uri="{FF2B5EF4-FFF2-40B4-BE49-F238E27FC236}">
              <a16:creationId xmlns:a16="http://schemas.microsoft.com/office/drawing/2014/main" id="{ABEA0D21-FB6B-44A2-9CA7-A3B02765203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69" name="Text Box 1">
          <a:extLst>
            <a:ext uri="{FF2B5EF4-FFF2-40B4-BE49-F238E27FC236}">
              <a16:creationId xmlns:a16="http://schemas.microsoft.com/office/drawing/2014/main" id="{2073D054-B9AA-4D4D-A429-020CA801D1F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70" name="Text Box 1">
          <a:extLst>
            <a:ext uri="{FF2B5EF4-FFF2-40B4-BE49-F238E27FC236}">
              <a16:creationId xmlns:a16="http://schemas.microsoft.com/office/drawing/2014/main" id="{709789DB-0CBE-40FE-97F1-5AADA19C623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71" name="Text Box 1">
          <a:extLst>
            <a:ext uri="{FF2B5EF4-FFF2-40B4-BE49-F238E27FC236}">
              <a16:creationId xmlns:a16="http://schemas.microsoft.com/office/drawing/2014/main" id="{BEB40821-367F-447C-BDBB-1E5BCBA992A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72" name="Text Box 1">
          <a:extLst>
            <a:ext uri="{FF2B5EF4-FFF2-40B4-BE49-F238E27FC236}">
              <a16:creationId xmlns:a16="http://schemas.microsoft.com/office/drawing/2014/main" id="{51CEE0BD-96B8-4EE1-8BBA-6B73564D16D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73" name="Text Box 1">
          <a:extLst>
            <a:ext uri="{FF2B5EF4-FFF2-40B4-BE49-F238E27FC236}">
              <a16:creationId xmlns:a16="http://schemas.microsoft.com/office/drawing/2014/main" id="{75CE0F9B-0263-424E-8D90-E3884095E1E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74" name="Text Box 1">
          <a:extLst>
            <a:ext uri="{FF2B5EF4-FFF2-40B4-BE49-F238E27FC236}">
              <a16:creationId xmlns:a16="http://schemas.microsoft.com/office/drawing/2014/main" id="{A8C34631-FFB9-4132-B11A-915920B50FA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75" name="Text Box 1">
          <a:extLst>
            <a:ext uri="{FF2B5EF4-FFF2-40B4-BE49-F238E27FC236}">
              <a16:creationId xmlns:a16="http://schemas.microsoft.com/office/drawing/2014/main" id="{0F31D472-28CD-4FA5-8B8F-A0B5EDE87A1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76" name="Text Box 1">
          <a:extLst>
            <a:ext uri="{FF2B5EF4-FFF2-40B4-BE49-F238E27FC236}">
              <a16:creationId xmlns:a16="http://schemas.microsoft.com/office/drawing/2014/main" id="{1164AD75-EE91-4B9F-9AE9-FAA122D3E28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77" name="Text Box 1">
          <a:extLst>
            <a:ext uri="{FF2B5EF4-FFF2-40B4-BE49-F238E27FC236}">
              <a16:creationId xmlns:a16="http://schemas.microsoft.com/office/drawing/2014/main" id="{5C09E200-B1AF-4727-8A21-4A2C32AC4F1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78" name="Text Box 1">
          <a:extLst>
            <a:ext uri="{FF2B5EF4-FFF2-40B4-BE49-F238E27FC236}">
              <a16:creationId xmlns:a16="http://schemas.microsoft.com/office/drawing/2014/main" id="{1AEDB836-FEEE-4183-A13A-1F81E4F938A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79" name="Text Box 1">
          <a:extLst>
            <a:ext uri="{FF2B5EF4-FFF2-40B4-BE49-F238E27FC236}">
              <a16:creationId xmlns:a16="http://schemas.microsoft.com/office/drawing/2014/main" id="{7C4DB2D4-859C-4BBF-AB3D-567C7348E84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80" name="Text Box 1">
          <a:extLst>
            <a:ext uri="{FF2B5EF4-FFF2-40B4-BE49-F238E27FC236}">
              <a16:creationId xmlns:a16="http://schemas.microsoft.com/office/drawing/2014/main" id="{5C8E586B-1BA1-40EE-945B-97040569B64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81" name="Text Box 1">
          <a:extLst>
            <a:ext uri="{FF2B5EF4-FFF2-40B4-BE49-F238E27FC236}">
              <a16:creationId xmlns:a16="http://schemas.microsoft.com/office/drawing/2014/main" id="{742880F8-5E8D-46CF-98BF-60D600E9986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82" name="Text Box 1">
          <a:extLst>
            <a:ext uri="{FF2B5EF4-FFF2-40B4-BE49-F238E27FC236}">
              <a16:creationId xmlns:a16="http://schemas.microsoft.com/office/drawing/2014/main" id="{3BE39383-29B2-4F5E-AAE7-9EE85FCFBD6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83" name="Text Box 1">
          <a:extLst>
            <a:ext uri="{FF2B5EF4-FFF2-40B4-BE49-F238E27FC236}">
              <a16:creationId xmlns:a16="http://schemas.microsoft.com/office/drawing/2014/main" id="{849540D1-E3CA-42DB-9A50-167FEEDBB9A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84" name="Text Box 1">
          <a:extLst>
            <a:ext uri="{FF2B5EF4-FFF2-40B4-BE49-F238E27FC236}">
              <a16:creationId xmlns:a16="http://schemas.microsoft.com/office/drawing/2014/main" id="{E83C5BB2-31EA-4869-A6B4-2340ECA0EFE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85" name="Text Box 1">
          <a:extLst>
            <a:ext uri="{FF2B5EF4-FFF2-40B4-BE49-F238E27FC236}">
              <a16:creationId xmlns:a16="http://schemas.microsoft.com/office/drawing/2014/main" id="{D810D93D-F021-48BB-972B-8FA9A9A6983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86" name="Text Box 1">
          <a:extLst>
            <a:ext uri="{FF2B5EF4-FFF2-40B4-BE49-F238E27FC236}">
              <a16:creationId xmlns:a16="http://schemas.microsoft.com/office/drawing/2014/main" id="{4C84AC71-2CA0-47A7-B838-65E1138DD26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87" name="Text Box 1">
          <a:extLst>
            <a:ext uri="{FF2B5EF4-FFF2-40B4-BE49-F238E27FC236}">
              <a16:creationId xmlns:a16="http://schemas.microsoft.com/office/drawing/2014/main" id="{E8E21EA8-B598-4A88-8A04-B63F69E0CB2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88" name="Text Box 1">
          <a:extLst>
            <a:ext uri="{FF2B5EF4-FFF2-40B4-BE49-F238E27FC236}">
              <a16:creationId xmlns:a16="http://schemas.microsoft.com/office/drawing/2014/main" id="{A3A7ED47-1F48-4134-ACA7-132DFAD01C3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89" name="Text Box 1">
          <a:extLst>
            <a:ext uri="{FF2B5EF4-FFF2-40B4-BE49-F238E27FC236}">
              <a16:creationId xmlns:a16="http://schemas.microsoft.com/office/drawing/2014/main" id="{883ACA32-EC8C-4622-82B4-EDEB47658FF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90" name="Text Box 1">
          <a:extLst>
            <a:ext uri="{FF2B5EF4-FFF2-40B4-BE49-F238E27FC236}">
              <a16:creationId xmlns:a16="http://schemas.microsoft.com/office/drawing/2014/main" id="{A1840AB0-AC96-400B-8266-80FF96D6E0C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91" name="Text Box 1">
          <a:extLst>
            <a:ext uri="{FF2B5EF4-FFF2-40B4-BE49-F238E27FC236}">
              <a16:creationId xmlns:a16="http://schemas.microsoft.com/office/drawing/2014/main" id="{E425C6CA-963C-4F21-8C7F-BD52479F645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92" name="Text Box 1">
          <a:extLst>
            <a:ext uri="{FF2B5EF4-FFF2-40B4-BE49-F238E27FC236}">
              <a16:creationId xmlns:a16="http://schemas.microsoft.com/office/drawing/2014/main" id="{F17A7620-06EA-46FA-AB4B-574C06DD170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93" name="Text Box 1">
          <a:extLst>
            <a:ext uri="{FF2B5EF4-FFF2-40B4-BE49-F238E27FC236}">
              <a16:creationId xmlns:a16="http://schemas.microsoft.com/office/drawing/2014/main" id="{9F848980-9524-4D14-93E9-192E5F98A22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94" name="Text Box 1">
          <a:extLst>
            <a:ext uri="{FF2B5EF4-FFF2-40B4-BE49-F238E27FC236}">
              <a16:creationId xmlns:a16="http://schemas.microsoft.com/office/drawing/2014/main" id="{53416CD7-C50C-4EAC-B30C-A4EFD6B9FCA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95" name="Text Box 1">
          <a:extLst>
            <a:ext uri="{FF2B5EF4-FFF2-40B4-BE49-F238E27FC236}">
              <a16:creationId xmlns:a16="http://schemas.microsoft.com/office/drawing/2014/main" id="{962A1C06-3C02-4AA9-8170-CC04D67F528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96" name="Text Box 1">
          <a:extLst>
            <a:ext uri="{FF2B5EF4-FFF2-40B4-BE49-F238E27FC236}">
              <a16:creationId xmlns:a16="http://schemas.microsoft.com/office/drawing/2014/main" id="{AC069B48-DA24-49D0-894E-C6487D09F68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97" name="Text Box 1">
          <a:extLst>
            <a:ext uri="{FF2B5EF4-FFF2-40B4-BE49-F238E27FC236}">
              <a16:creationId xmlns:a16="http://schemas.microsoft.com/office/drawing/2014/main" id="{14612761-B8F5-439A-AFA2-445E3E2A210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98" name="Text Box 1">
          <a:extLst>
            <a:ext uri="{FF2B5EF4-FFF2-40B4-BE49-F238E27FC236}">
              <a16:creationId xmlns:a16="http://schemas.microsoft.com/office/drawing/2014/main" id="{2028A9E8-84B4-424E-B961-0645B922207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399" name="Text Box 1">
          <a:extLst>
            <a:ext uri="{FF2B5EF4-FFF2-40B4-BE49-F238E27FC236}">
              <a16:creationId xmlns:a16="http://schemas.microsoft.com/office/drawing/2014/main" id="{5FF66055-2778-4B6B-B312-46A98B7C77D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00" name="Text Box 1">
          <a:extLst>
            <a:ext uri="{FF2B5EF4-FFF2-40B4-BE49-F238E27FC236}">
              <a16:creationId xmlns:a16="http://schemas.microsoft.com/office/drawing/2014/main" id="{296D2A7D-F299-4A71-8B5F-1A01796F7BB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01" name="Text Box 1">
          <a:extLst>
            <a:ext uri="{FF2B5EF4-FFF2-40B4-BE49-F238E27FC236}">
              <a16:creationId xmlns:a16="http://schemas.microsoft.com/office/drawing/2014/main" id="{A590F86E-0262-44D4-B3CD-BFBF059BEC4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02" name="Text Box 1">
          <a:extLst>
            <a:ext uri="{FF2B5EF4-FFF2-40B4-BE49-F238E27FC236}">
              <a16:creationId xmlns:a16="http://schemas.microsoft.com/office/drawing/2014/main" id="{66BC8741-D823-470D-BFF3-EA09F823051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03" name="Text Box 1">
          <a:extLst>
            <a:ext uri="{FF2B5EF4-FFF2-40B4-BE49-F238E27FC236}">
              <a16:creationId xmlns:a16="http://schemas.microsoft.com/office/drawing/2014/main" id="{DC57DBBF-9666-47FA-AD24-7191F508C9D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04" name="Text Box 1">
          <a:extLst>
            <a:ext uri="{FF2B5EF4-FFF2-40B4-BE49-F238E27FC236}">
              <a16:creationId xmlns:a16="http://schemas.microsoft.com/office/drawing/2014/main" id="{DD16A819-F637-471D-82F4-FE87EC157B1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05" name="Text Box 1">
          <a:extLst>
            <a:ext uri="{FF2B5EF4-FFF2-40B4-BE49-F238E27FC236}">
              <a16:creationId xmlns:a16="http://schemas.microsoft.com/office/drawing/2014/main" id="{DC452FE6-B8B3-4738-8970-6C782941F88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06" name="Text Box 1">
          <a:extLst>
            <a:ext uri="{FF2B5EF4-FFF2-40B4-BE49-F238E27FC236}">
              <a16:creationId xmlns:a16="http://schemas.microsoft.com/office/drawing/2014/main" id="{1D6CE0B9-D2CE-4B93-93B6-6BB5AD6F356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07" name="Text Box 1">
          <a:extLst>
            <a:ext uri="{FF2B5EF4-FFF2-40B4-BE49-F238E27FC236}">
              <a16:creationId xmlns:a16="http://schemas.microsoft.com/office/drawing/2014/main" id="{DBD489B2-B68A-416D-AA30-49164B76B2B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08" name="Text Box 1">
          <a:extLst>
            <a:ext uri="{FF2B5EF4-FFF2-40B4-BE49-F238E27FC236}">
              <a16:creationId xmlns:a16="http://schemas.microsoft.com/office/drawing/2014/main" id="{CF406319-B6E0-4F44-B493-1F1B2235F3D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09" name="Text Box 1">
          <a:extLst>
            <a:ext uri="{FF2B5EF4-FFF2-40B4-BE49-F238E27FC236}">
              <a16:creationId xmlns:a16="http://schemas.microsoft.com/office/drawing/2014/main" id="{464764D1-56F8-41F4-BBC4-3858B220C14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10" name="Text Box 1">
          <a:extLst>
            <a:ext uri="{FF2B5EF4-FFF2-40B4-BE49-F238E27FC236}">
              <a16:creationId xmlns:a16="http://schemas.microsoft.com/office/drawing/2014/main" id="{79C90248-3D01-4193-8C00-4D2C6128989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11" name="Text Box 1">
          <a:extLst>
            <a:ext uri="{FF2B5EF4-FFF2-40B4-BE49-F238E27FC236}">
              <a16:creationId xmlns:a16="http://schemas.microsoft.com/office/drawing/2014/main" id="{5E011584-0DF5-4977-97CA-72D6E4C4D05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12" name="Text Box 1">
          <a:extLst>
            <a:ext uri="{FF2B5EF4-FFF2-40B4-BE49-F238E27FC236}">
              <a16:creationId xmlns:a16="http://schemas.microsoft.com/office/drawing/2014/main" id="{87604D5A-829C-4CBD-931F-46E100E9EBC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13" name="Text Box 1">
          <a:extLst>
            <a:ext uri="{FF2B5EF4-FFF2-40B4-BE49-F238E27FC236}">
              <a16:creationId xmlns:a16="http://schemas.microsoft.com/office/drawing/2014/main" id="{B1468F4A-6646-4669-93A3-8550D620D9D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14" name="Text Box 1">
          <a:extLst>
            <a:ext uri="{FF2B5EF4-FFF2-40B4-BE49-F238E27FC236}">
              <a16:creationId xmlns:a16="http://schemas.microsoft.com/office/drawing/2014/main" id="{D598A4E4-48CF-415D-8D64-1F99F15F20B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15" name="Text Box 1">
          <a:extLst>
            <a:ext uri="{FF2B5EF4-FFF2-40B4-BE49-F238E27FC236}">
              <a16:creationId xmlns:a16="http://schemas.microsoft.com/office/drawing/2014/main" id="{A611BA42-8C51-4977-9242-A8A270A4CE5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16" name="Text Box 1">
          <a:extLst>
            <a:ext uri="{FF2B5EF4-FFF2-40B4-BE49-F238E27FC236}">
              <a16:creationId xmlns:a16="http://schemas.microsoft.com/office/drawing/2014/main" id="{8742B7F8-A4DE-4257-9830-B83311CF29B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17" name="Text Box 1">
          <a:extLst>
            <a:ext uri="{FF2B5EF4-FFF2-40B4-BE49-F238E27FC236}">
              <a16:creationId xmlns:a16="http://schemas.microsoft.com/office/drawing/2014/main" id="{18F9AA0F-0F62-43C7-AF4A-313985177F3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18" name="Text Box 1">
          <a:extLst>
            <a:ext uri="{FF2B5EF4-FFF2-40B4-BE49-F238E27FC236}">
              <a16:creationId xmlns:a16="http://schemas.microsoft.com/office/drawing/2014/main" id="{55DE0EAA-91F7-4131-8C14-A0D145F465D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19" name="Text Box 1">
          <a:extLst>
            <a:ext uri="{FF2B5EF4-FFF2-40B4-BE49-F238E27FC236}">
              <a16:creationId xmlns:a16="http://schemas.microsoft.com/office/drawing/2014/main" id="{3A10CE32-BBA0-4D3F-A8EF-B60E09AC8FF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20" name="Text Box 1">
          <a:extLst>
            <a:ext uri="{FF2B5EF4-FFF2-40B4-BE49-F238E27FC236}">
              <a16:creationId xmlns:a16="http://schemas.microsoft.com/office/drawing/2014/main" id="{971E5FBB-33BE-4A39-9388-6CB18A9EE1A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21" name="Text Box 1">
          <a:extLst>
            <a:ext uri="{FF2B5EF4-FFF2-40B4-BE49-F238E27FC236}">
              <a16:creationId xmlns:a16="http://schemas.microsoft.com/office/drawing/2014/main" id="{4909B689-C098-42EE-8180-3BBDAE11A91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22" name="Text Box 1">
          <a:extLst>
            <a:ext uri="{FF2B5EF4-FFF2-40B4-BE49-F238E27FC236}">
              <a16:creationId xmlns:a16="http://schemas.microsoft.com/office/drawing/2014/main" id="{CA073569-0C1D-43B4-BDB7-6703417CA5B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23" name="Text Box 1">
          <a:extLst>
            <a:ext uri="{FF2B5EF4-FFF2-40B4-BE49-F238E27FC236}">
              <a16:creationId xmlns:a16="http://schemas.microsoft.com/office/drawing/2014/main" id="{921C746B-F2DD-49F6-AA0C-98A5B882C4D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24" name="Text Box 1">
          <a:extLst>
            <a:ext uri="{FF2B5EF4-FFF2-40B4-BE49-F238E27FC236}">
              <a16:creationId xmlns:a16="http://schemas.microsoft.com/office/drawing/2014/main" id="{E154013C-8FD2-4A07-B687-CB7DCD47C11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25" name="Text Box 1">
          <a:extLst>
            <a:ext uri="{FF2B5EF4-FFF2-40B4-BE49-F238E27FC236}">
              <a16:creationId xmlns:a16="http://schemas.microsoft.com/office/drawing/2014/main" id="{1D7E0865-B611-4C01-83B7-F1DD601425F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26" name="Text Box 1">
          <a:extLst>
            <a:ext uri="{FF2B5EF4-FFF2-40B4-BE49-F238E27FC236}">
              <a16:creationId xmlns:a16="http://schemas.microsoft.com/office/drawing/2014/main" id="{1B204376-CB48-4E8D-9E2D-05815DB2F66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27" name="Text Box 1">
          <a:extLst>
            <a:ext uri="{FF2B5EF4-FFF2-40B4-BE49-F238E27FC236}">
              <a16:creationId xmlns:a16="http://schemas.microsoft.com/office/drawing/2014/main" id="{CF461D39-B06F-43E0-9BC9-DBF1BCCD4D2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28" name="Text Box 1">
          <a:extLst>
            <a:ext uri="{FF2B5EF4-FFF2-40B4-BE49-F238E27FC236}">
              <a16:creationId xmlns:a16="http://schemas.microsoft.com/office/drawing/2014/main" id="{085DCD16-7365-4C33-A930-D7306C38533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29" name="Text Box 1">
          <a:extLst>
            <a:ext uri="{FF2B5EF4-FFF2-40B4-BE49-F238E27FC236}">
              <a16:creationId xmlns:a16="http://schemas.microsoft.com/office/drawing/2014/main" id="{5ABCB7BC-9411-4854-B9F2-D5D0A1063DB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30" name="Text Box 1">
          <a:extLst>
            <a:ext uri="{FF2B5EF4-FFF2-40B4-BE49-F238E27FC236}">
              <a16:creationId xmlns:a16="http://schemas.microsoft.com/office/drawing/2014/main" id="{604A2004-1972-44EF-9E6C-C009A04F57B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31" name="Text Box 1">
          <a:extLst>
            <a:ext uri="{FF2B5EF4-FFF2-40B4-BE49-F238E27FC236}">
              <a16:creationId xmlns:a16="http://schemas.microsoft.com/office/drawing/2014/main" id="{91B2466D-6EEF-4731-8651-1A0DD3E6F6C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32" name="Text Box 1">
          <a:extLst>
            <a:ext uri="{FF2B5EF4-FFF2-40B4-BE49-F238E27FC236}">
              <a16:creationId xmlns:a16="http://schemas.microsoft.com/office/drawing/2014/main" id="{5E746A30-2233-451D-B731-15B887CDCCB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33" name="Text Box 1">
          <a:extLst>
            <a:ext uri="{FF2B5EF4-FFF2-40B4-BE49-F238E27FC236}">
              <a16:creationId xmlns:a16="http://schemas.microsoft.com/office/drawing/2014/main" id="{54795592-B5AE-472A-ADF4-07F71F5E0C5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34" name="Text Box 1">
          <a:extLst>
            <a:ext uri="{FF2B5EF4-FFF2-40B4-BE49-F238E27FC236}">
              <a16:creationId xmlns:a16="http://schemas.microsoft.com/office/drawing/2014/main" id="{8D737A3E-ACF6-481F-8B94-EE7ACE8270C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35" name="Text Box 1">
          <a:extLst>
            <a:ext uri="{FF2B5EF4-FFF2-40B4-BE49-F238E27FC236}">
              <a16:creationId xmlns:a16="http://schemas.microsoft.com/office/drawing/2014/main" id="{52CC0DB5-61A2-4E1B-9180-8658CD7C7AF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36" name="Text Box 1">
          <a:extLst>
            <a:ext uri="{FF2B5EF4-FFF2-40B4-BE49-F238E27FC236}">
              <a16:creationId xmlns:a16="http://schemas.microsoft.com/office/drawing/2014/main" id="{DA0AC541-C25D-4234-A100-AD8FEA06CA3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37" name="Text Box 1">
          <a:extLst>
            <a:ext uri="{FF2B5EF4-FFF2-40B4-BE49-F238E27FC236}">
              <a16:creationId xmlns:a16="http://schemas.microsoft.com/office/drawing/2014/main" id="{D962925B-4EC9-41D7-A579-C1F829112F7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38" name="Text Box 1">
          <a:extLst>
            <a:ext uri="{FF2B5EF4-FFF2-40B4-BE49-F238E27FC236}">
              <a16:creationId xmlns:a16="http://schemas.microsoft.com/office/drawing/2014/main" id="{4316B436-A4C0-43C3-919D-EEE769D6D8E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39" name="Text Box 1">
          <a:extLst>
            <a:ext uri="{FF2B5EF4-FFF2-40B4-BE49-F238E27FC236}">
              <a16:creationId xmlns:a16="http://schemas.microsoft.com/office/drawing/2014/main" id="{96002293-3528-4178-AB87-7A8337EB810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40" name="Text Box 1">
          <a:extLst>
            <a:ext uri="{FF2B5EF4-FFF2-40B4-BE49-F238E27FC236}">
              <a16:creationId xmlns:a16="http://schemas.microsoft.com/office/drawing/2014/main" id="{2AEE629E-DB11-4180-92B4-19009FB7632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41" name="Text Box 1">
          <a:extLst>
            <a:ext uri="{FF2B5EF4-FFF2-40B4-BE49-F238E27FC236}">
              <a16:creationId xmlns:a16="http://schemas.microsoft.com/office/drawing/2014/main" id="{07F1696C-DDEF-4D93-9B12-EDBBF43E4FE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42" name="Text Box 1">
          <a:extLst>
            <a:ext uri="{FF2B5EF4-FFF2-40B4-BE49-F238E27FC236}">
              <a16:creationId xmlns:a16="http://schemas.microsoft.com/office/drawing/2014/main" id="{15202132-9BFD-45CB-8B7B-9055AAB79F0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43" name="Text Box 1">
          <a:extLst>
            <a:ext uri="{FF2B5EF4-FFF2-40B4-BE49-F238E27FC236}">
              <a16:creationId xmlns:a16="http://schemas.microsoft.com/office/drawing/2014/main" id="{798F0B93-486D-437E-BC1E-137F3EE183A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44" name="Text Box 1">
          <a:extLst>
            <a:ext uri="{FF2B5EF4-FFF2-40B4-BE49-F238E27FC236}">
              <a16:creationId xmlns:a16="http://schemas.microsoft.com/office/drawing/2014/main" id="{71426949-276C-4353-A8B6-6441EF7A366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45" name="Text Box 1">
          <a:extLst>
            <a:ext uri="{FF2B5EF4-FFF2-40B4-BE49-F238E27FC236}">
              <a16:creationId xmlns:a16="http://schemas.microsoft.com/office/drawing/2014/main" id="{F1AA0848-BACF-420C-8832-0BB1DACF5A8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46" name="Text Box 1">
          <a:extLst>
            <a:ext uri="{FF2B5EF4-FFF2-40B4-BE49-F238E27FC236}">
              <a16:creationId xmlns:a16="http://schemas.microsoft.com/office/drawing/2014/main" id="{CC8CC6E7-40C8-4B24-9ABE-ACD4AE85C2E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47" name="Text Box 1">
          <a:extLst>
            <a:ext uri="{FF2B5EF4-FFF2-40B4-BE49-F238E27FC236}">
              <a16:creationId xmlns:a16="http://schemas.microsoft.com/office/drawing/2014/main" id="{2073F22E-2B2E-412B-9E1E-6E9A554FFDA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48" name="Text Box 1">
          <a:extLst>
            <a:ext uri="{FF2B5EF4-FFF2-40B4-BE49-F238E27FC236}">
              <a16:creationId xmlns:a16="http://schemas.microsoft.com/office/drawing/2014/main" id="{8D66DFBF-54D4-4FAF-ADA2-F3D6AB40476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49" name="Text Box 1">
          <a:extLst>
            <a:ext uri="{FF2B5EF4-FFF2-40B4-BE49-F238E27FC236}">
              <a16:creationId xmlns:a16="http://schemas.microsoft.com/office/drawing/2014/main" id="{EBEDFA38-0995-4073-B36E-D9C8CEEBF80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50" name="Text Box 1">
          <a:extLst>
            <a:ext uri="{FF2B5EF4-FFF2-40B4-BE49-F238E27FC236}">
              <a16:creationId xmlns:a16="http://schemas.microsoft.com/office/drawing/2014/main" id="{61423DF7-2A4A-4BCD-B1E4-C710F8F64EA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51" name="Text Box 1">
          <a:extLst>
            <a:ext uri="{FF2B5EF4-FFF2-40B4-BE49-F238E27FC236}">
              <a16:creationId xmlns:a16="http://schemas.microsoft.com/office/drawing/2014/main" id="{4026FD16-E597-4AFB-B444-7F9FF3F1BFF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52" name="Text Box 1">
          <a:extLst>
            <a:ext uri="{FF2B5EF4-FFF2-40B4-BE49-F238E27FC236}">
              <a16:creationId xmlns:a16="http://schemas.microsoft.com/office/drawing/2014/main" id="{24B125B8-79D6-402D-8683-6AB321B117B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53" name="Text Box 1">
          <a:extLst>
            <a:ext uri="{FF2B5EF4-FFF2-40B4-BE49-F238E27FC236}">
              <a16:creationId xmlns:a16="http://schemas.microsoft.com/office/drawing/2014/main" id="{06D1E157-8DE5-4A0F-9341-99F3B1D2E36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54" name="Text Box 1">
          <a:extLst>
            <a:ext uri="{FF2B5EF4-FFF2-40B4-BE49-F238E27FC236}">
              <a16:creationId xmlns:a16="http://schemas.microsoft.com/office/drawing/2014/main" id="{498DDDDD-F436-4511-B399-F9729B3A109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55" name="Text Box 1">
          <a:extLst>
            <a:ext uri="{FF2B5EF4-FFF2-40B4-BE49-F238E27FC236}">
              <a16:creationId xmlns:a16="http://schemas.microsoft.com/office/drawing/2014/main" id="{7878723D-AFF9-4B45-94A0-5063ACE3641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56" name="Text Box 1">
          <a:extLst>
            <a:ext uri="{FF2B5EF4-FFF2-40B4-BE49-F238E27FC236}">
              <a16:creationId xmlns:a16="http://schemas.microsoft.com/office/drawing/2014/main" id="{0B8172C4-FEFB-404F-B026-452A39CEDDC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57" name="Text Box 1">
          <a:extLst>
            <a:ext uri="{FF2B5EF4-FFF2-40B4-BE49-F238E27FC236}">
              <a16:creationId xmlns:a16="http://schemas.microsoft.com/office/drawing/2014/main" id="{47BC817F-085F-482C-8E1B-5027749B8D3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58" name="Text Box 1">
          <a:extLst>
            <a:ext uri="{FF2B5EF4-FFF2-40B4-BE49-F238E27FC236}">
              <a16:creationId xmlns:a16="http://schemas.microsoft.com/office/drawing/2014/main" id="{BB005541-B9B4-461B-8881-CBE59A8FB27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59" name="Text Box 1">
          <a:extLst>
            <a:ext uri="{FF2B5EF4-FFF2-40B4-BE49-F238E27FC236}">
              <a16:creationId xmlns:a16="http://schemas.microsoft.com/office/drawing/2014/main" id="{EF0345F2-2215-4288-9C28-39654DE24B2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60" name="Text Box 1">
          <a:extLst>
            <a:ext uri="{FF2B5EF4-FFF2-40B4-BE49-F238E27FC236}">
              <a16:creationId xmlns:a16="http://schemas.microsoft.com/office/drawing/2014/main" id="{F649C7AB-21EC-4A10-8016-4E5BAFD1B01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61" name="Text Box 1">
          <a:extLst>
            <a:ext uri="{FF2B5EF4-FFF2-40B4-BE49-F238E27FC236}">
              <a16:creationId xmlns:a16="http://schemas.microsoft.com/office/drawing/2014/main" id="{A1C20F48-D7FE-481C-8436-EED0BC26F25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62" name="Text Box 1">
          <a:extLst>
            <a:ext uri="{FF2B5EF4-FFF2-40B4-BE49-F238E27FC236}">
              <a16:creationId xmlns:a16="http://schemas.microsoft.com/office/drawing/2014/main" id="{B2ABD731-14A6-4E15-B54C-EE56BB1589B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63" name="Text Box 1">
          <a:extLst>
            <a:ext uri="{FF2B5EF4-FFF2-40B4-BE49-F238E27FC236}">
              <a16:creationId xmlns:a16="http://schemas.microsoft.com/office/drawing/2014/main" id="{F1FB25A2-AD4F-4607-9535-A89D588CBB7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64" name="Text Box 1">
          <a:extLst>
            <a:ext uri="{FF2B5EF4-FFF2-40B4-BE49-F238E27FC236}">
              <a16:creationId xmlns:a16="http://schemas.microsoft.com/office/drawing/2014/main" id="{7224A4E9-B6E4-4278-BBAA-659D1556CCF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65" name="Text Box 1">
          <a:extLst>
            <a:ext uri="{FF2B5EF4-FFF2-40B4-BE49-F238E27FC236}">
              <a16:creationId xmlns:a16="http://schemas.microsoft.com/office/drawing/2014/main" id="{5C038019-C292-4256-944E-CF191A2DCC4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66" name="Text Box 1">
          <a:extLst>
            <a:ext uri="{FF2B5EF4-FFF2-40B4-BE49-F238E27FC236}">
              <a16:creationId xmlns:a16="http://schemas.microsoft.com/office/drawing/2014/main" id="{59321D4F-7683-4D21-A9FB-3EC3331C708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67" name="Text Box 1">
          <a:extLst>
            <a:ext uri="{FF2B5EF4-FFF2-40B4-BE49-F238E27FC236}">
              <a16:creationId xmlns:a16="http://schemas.microsoft.com/office/drawing/2014/main" id="{221A8C5A-29FA-471D-92FA-E982488732C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68" name="Text Box 1">
          <a:extLst>
            <a:ext uri="{FF2B5EF4-FFF2-40B4-BE49-F238E27FC236}">
              <a16:creationId xmlns:a16="http://schemas.microsoft.com/office/drawing/2014/main" id="{1039FA30-B127-454C-A32F-B0F670B03EB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69" name="Text Box 1">
          <a:extLst>
            <a:ext uri="{FF2B5EF4-FFF2-40B4-BE49-F238E27FC236}">
              <a16:creationId xmlns:a16="http://schemas.microsoft.com/office/drawing/2014/main" id="{57958264-9487-4D77-97FC-AD5A5DB25DD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70" name="Text Box 1">
          <a:extLst>
            <a:ext uri="{FF2B5EF4-FFF2-40B4-BE49-F238E27FC236}">
              <a16:creationId xmlns:a16="http://schemas.microsoft.com/office/drawing/2014/main" id="{818D35C2-E20B-44DA-B67A-FF85C998EEA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71" name="Text Box 1">
          <a:extLst>
            <a:ext uri="{FF2B5EF4-FFF2-40B4-BE49-F238E27FC236}">
              <a16:creationId xmlns:a16="http://schemas.microsoft.com/office/drawing/2014/main" id="{718CA34D-27BA-40B7-8924-35AA537A51A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72" name="Text Box 1">
          <a:extLst>
            <a:ext uri="{FF2B5EF4-FFF2-40B4-BE49-F238E27FC236}">
              <a16:creationId xmlns:a16="http://schemas.microsoft.com/office/drawing/2014/main" id="{A833A3D2-29C9-447C-BA85-F0EA1F87739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73" name="Text Box 1">
          <a:extLst>
            <a:ext uri="{FF2B5EF4-FFF2-40B4-BE49-F238E27FC236}">
              <a16:creationId xmlns:a16="http://schemas.microsoft.com/office/drawing/2014/main" id="{D94DB0B9-7134-41B2-8EAA-08A107B03DD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74" name="Text Box 1">
          <a:extLst>
            <a:ext uri="{FF2B5EF4-FFF2-40B4-BE49-F238E27FC236}">
              <a16:creationId xmlns:a16="http://schemas.microsoft.com/office/drawing/2014/main" id="{A1AFA2E2-BE16-40D3-BFC0-C9D60143F22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75" name="Text Box 1">
          <a:extLst>
            <a:ext uri="{FF2B5EF4-FFF2-40B4-BE49-F238E27FC236}">
              <a16:creationId xmlns:a16="http://schemas.microsoft.com/office/drawing/2014/main" id="{8BA2B302-5B86-4182-B984-45B746C0A7D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76" name="Text Box 1">
          <a:extLst>
            <a:ext uri="{FF2B5EF4-FFF2-40B4-BE49-F238E27FC236}">
              <a16:creationId xmlns:a16="http://schemas.microsoft.com/office/drawing/2014/main" id="{0B93203A-D7DD-4B1F-A5AE-43135C5A71F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77" name="Text Box 1">
          <a:extLst>
            <a:ext uri="{FF2B5EF4-FFF2-40B4-BE49-F238E27FC236}">
              <a16:creationId xmlns:a16="http://schemas.microsoft.com/office/drawing/2014/main" id="{58271EB5-AFD7-4F23-B1F9-7468A6E17CD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78" name="Text Box 1">
          <a:extLst>
            <a:ext uri="{FF2B5EF4-FFF2-40B4-BE49-F238E27FC236}">
              <a16:creationId xmlns:a16="http://schemas.microsoft.com/office/drawing/2014/main" id="{5E939983-61DD-4C0A-AA79-018965CE630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79" name="Text Box 1">
          <a:extLst>
            <a:ext uri="{FF2B5EF4-FFF2-40B4-BE49-F238E27FC236}">
              <a16:creationId xmlns:a16="http://schemas.microsoft.com/office/drawing/2014/main" id="{C055EFD8-B314-491F-A6FE-CFBAA4CD0A5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80" name="Text Box 1">
          <a:extLst>
            <a:ext uri="{FF2B5EF4-FFF2-40B4-BE49-F238E27FC236}">
              <a16:creationId xmlns:a16="http://schemas.microsoft.com/office/drawing/2014/main" id="{B027A23A-F49D-47D1-8674-B0190E0ACBC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81" name="Text Box 1">
          <a:extLst>
            <a:ext uri="{FF2B5EF4-FFF2-40B4-BE49-F238E27FC236}">
              <a16:creationId xmlns:a16="http://schemas.microsoft.com/office/drawing/2014/main" id="{DE45D42A-4239-41E0-AD78-01A9E8E454C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82" name="Text Box 1">
          <a:extLst>
            <a:ext uri="{FF2B5EF4-FFF2-40B4-BE49-F238E27FC236}">
              <a16:creationId xmlns:a16="http://schemas.microsoft.com/office/drawing/2014/main" id="{58761747-4AC1-466E-9E23-EE91814A8B7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83" name="Text Box 1">
          <a:extLst>
            <a:ext uri="{FF2B5EF4-FFF2-40B4-BE49-F238E27FC236}">
              <a16:creationId xmlns:a16="http://schemas.microsoft.com/office/drawing/2014/main" id="{E69F2988-D348-4C0D-92DF-3E0E1AA3059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84" name="Text Box 1">
          <a:extLst>
            <a:ext uri="{FF2B5EF4-FFF2-40B4-BE49-F238E27FC236}">
              <a16:creationId xmlns:a16="http://schemas.microsoft.com/office/drawing/2014/main" id="{EE10A322-1EF9-41EA-92A0-2DD0942CC24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85" name="Text Box 1">
          <a:extLst>
            <a:ext uri="{FF2B5EF4-FFF2-40B4-BE49-F238E27FC236}">
              <a16:creationId xmlns:a16="http://schemas.microsoft.com/office/drawing/2014/main" id="{85E277F9-A507-4A4E-AFAC-4C898B261DA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86" name="Text Box 1">
          <a:extLst>
            <a:ext uri="{FF2B5EF4-FFF2-40B4-BE49-F238E27FC236}">
              <a16:creationId xmlns:a16="http://schemas.microsoft.com/office/drawing/2014/main" id="{371FB52E-CC09-4117-A3AF-8CD45E60EC4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87" name="Text Box 1">
          <a:extLst>
            <a:ext uri="{FF2B5EF4-FFF2-40B4-BE49-F238E27FC236}">
              <a16:creationId xmlns:a16="http://schemas.microsoft.com/office/drawing/2014/main" id="{C8D5B846-0E70-4C9B-BEF1-2F87736E341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88" name="Text Box 1">
          <a:extLst>
            <a:ext uri="{FF2B5EF4-FFF2-40B4-BE49-F238E27FC236}">
              <a16:creationId xmlns:a16="http://schemas.microsoft.com/office/drawing/2014/main" id="{E88DC8FA-2F56-4299-B8A9-D6DD77816B2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89" name="Text Box 1">
          <a:extLst>
            <a:ext uri="{FF2B5EF4-FFF2-40B4-BE49-F238E27FC236}">
              <a16:creationId xmlns:a16="http://schemas.microsoft.com/office/drawing/2014/main" id="{AA0FCFF8-B03B-4F35-9BE1-E2410FBD22F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90" name="Text Box 1">
          <a:extLst>
            <a:ext uri="{FF2B5EF4-FFF2-40B4-BE49-F238E27FC236}">
              <a16:creationId xmlns:a16="http://schemas.microsoft.com/office/drawing/2014/main" id="{37B3084F-42FC-47DD-89BC-0A50FECC086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91" name="Text Box 1">
          <a:extLst>
            <a:ext uri="{FF2B5EF4-FFF2-40B4-BE49-F238E27FC236}">
              <a16:creationId xmlns:a16="http://schemas.microsoft.com/office/drawing/2014/main" id="{C337994E-5112-4F63-953C-350524256ED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92" name="Text Box 1">
          <a:extLst>
            <a:ext uri="{FF2B5EF4-FFF2-40B4-BE49-F238E27FC236}">
              <a16:creationId xmlns:a16="http://schemas.microsoft.com/office/drawing/2014/main" id="{838C296D-77A2-472F-B2D3-4368775DF23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93" name="Text Box 1">
          <a:extLst>
            <a:ext uri="{FF2B5EF4-FFF2-40B4-BE49-F238E27FC236}">
              <a16:creationId xmlns:a16="http://schemas.microsoft.com/office/drawing/2014/main" id="{B96EECE6-0D29-4A07-87C8-67A0CE99108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94" name="Text Box 1">
          <a:extLst>
            <a:ext uri="{FF2B5EF4-FFF2-40B4-BE49-F238E27FC236}">
              <a16:creationId xmlns:a16="http://schemas.microsoft.com/office/drawing/2014/main" id="{39D7538E-EC0E-4F01-A4BF-1ACDBA19FB3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95" name="Text Box 1">
          <a:extLst>
            <a:ext uri="{FF2B5EF4-FFF2-40B4-BE49-F238E27FC236}">
              <a16:creationId xmlns:a16="http://schemas.microsoft.com/office/drawing/2014/main" id="{9216BF32-21FD-41C5-9AEC-8105F00F320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96" name="Text Box 1">
          <a:extLst>
            <a:ext uri="{FF2B5EF4-FFF2-40B4-BE49-F238E27FC236}">
              <a16:creationId xmlns:a16="http://schemas.microsoft.com/office/drawing/2014/main" id="{56261C64-4800-4253-BFF5-E7C1CF0D336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97" name="Text Box 1">
          <a:extLst>
            <a:ext uri="{FF2B5EF4-FFF2-40B4-BE49-F238E27FC236}">
              <a16:creationId xmlns:a16="http://schemas.microsoft.com/office/drawing/2014/main" id="{E9F6A10B-6A6B-4703-A17B-DBF20664ED7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98" name="Text Box 1">
          <a:extLst>
            <a:ext uri="{FF2B5EF4-FFF2-40B4-BE49-F238E27FC236}">
              <a16:creationId xmlns:a16="http://schemas.microsoft.com/office/drawing/2014/main" id="{70B4F98D-FF29-422C-ADC9-D9478B127DC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499" name="Text Box 1">
          <a:extLst>
            <a:ext uri="{FF2B5EF4-FFF2-40B4-BE49-F238E27FC236}">
              <a16:creationId xmlns:a16="http://schemas.microsoft.com/office/drawing/2014/main" id="{19C443B9-BD0A-48D4-8E6F-CA39693E8F5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00" name="Text Box 1">
          <a:extLst>
            <a:ext uri="{FF2B5EF4-FFF2-40B4-BE49-F238E27FC236}">
              <a16:creationId xmlns:a16="http://schemas.microsoft.com/office/drawing/2014/main" id="{37612923-C258-4122-9114-CE5BB9E1316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01" name="Text Box 1">
          <a:extLst>
            <a:ext uri="{FF2B5EF4-FFF2-40B4-BE49-F238E27FC236}">
              <a16:creationId xmlns:a16="http://schemas.microsoft.com/office/drawing/2014/main" id="{4C234421-FD3F-43BD-9985-7AF7D4EB8D2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02" name="Text Box 1">
          <a:extLst>
            <a:ext uri="{FF2B5EF4-FFF2-40B4-BE49-F238E27FC236}">
              <a16:creationId xmlns:a16="http://schemas.microsoft.com/office/drawing/2014/main" id="{214F733E-776E-4481-8929-5B4BA0276C7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03" name="Text Box 1">
          <a:extLst>
            <a:ext uri="{FF2B5EF4-FFF2-40B4-BE49-F238E27FC236}">
              <a16:creationId xmlns:a16="http://schemas.microsoft.com/office/drawing/2014/main" id="{10EF185A-8B8B-47C4-A591-9CD9C600A9E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04" name="Text Box 1">
          <a:extLst>
            <a:ext uri="{FF2B5EF4-FFF2-40B4-BE49-F238E27FC236}">
              <a16:creationId xmlns:a16="http://schemas.microsoft.com/office/drawing/2014/main" id="{809CE0C6-FA27-4475-B849-689A65BAC1F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05" name="Text Box 1">
          <a:extLst>
            <a:ext uri="{FF2B5EF4-FFF2-40B4-BE49-F238E27FC236}">
              <a16:creationId xmlns:a16="http://schemas.microsoft.com/office/drawing/2014/main" id="{CE98943D-A6D4-4817-9D50-0825DCE605C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06" name="Text Box 1">
          <a:extLst>
            <a:ext uri="{FF2B5EF4-FFF2-40B4-BE49-F238E27FC236}">
              <a16:creationId xmlns:a16="http://schemas.microsoft.com/office/drawing/2014/main" id="{87EDEA46-DA44-4504-8592-FC6F025899B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07" name="Text Box 1">
          <a:extLst>
            <a:ext uri="{FF2B5EF4-FFF2-40B4-BE49-F238E27FC236}">
              <a16:creationId xmlns:a16="http://schemas.microsoft.com/office/drawing/2014/main" id="{49BC62AF-4884-4E94-B681-2EDC4C65ABF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08" name="Text Box 1">
          <a:extLst>
            <a:ext uri="{FF2B5EF4-FFF2-40B4-BE49-F238E27FC236}">
              <a16:creationId xmlns:a16="http://schemas.microsoft.com/office/drawing/2014/main" id="{EDB576E1-8716-4A0B-B419-0AAEB9BCC8C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09" name="Text Box 1">
          <a:extLst>
            <a:ext uri="{FF2B5EF4-FFF2-40B4-BE49-F238E27FC236}">
              <a16:creationId xmlns:a16="http://schemas.microsoft.com/office/drawing/2014/main" id="{3A6C78FE-1B35-4677-B190-2799F29C32F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10" name="Text Box 1">
          <a:extLst>
            <a:ext uri="{FF2B5EF4-FFF2-40B4-BE49-F238E27FC236}">
              <a16:creationId xmlns:a16="http://schemas.microsoft.com/office/drawing/2014/main" id="{9819B7E8-1EE7-4F19-B23A-86910D32F76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11" name="Text Box 1">
          <a:extLst>
            <a:ext uri="{FF2B5EF4-FFF2-40B4-BE49-F238E27FC236}">
              <a16:creationId xmlns:a16="http://schemas.microsoft.com/office/drawing/2014/main" id="{13264821-79E1-4373-95BE-B2E93F0CA18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12" name="Text Box 1">
          <a:extLst>
            <a:ext uri="{FF2B5EF4-FFF2-40B4-BE49-F238E27FC236}">
              <a16:creationId xmlns:a16="http://schemas.microsoft.com/office/drawing/2014/main" id="{A0AA7369-AF18-411B-B435-0A165E5C947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13" name="Text Box 1">
          <a:extLst>
            <a:ext uri="{FF2B5EF4-FFF2-40B4-BE49-F238E27FC236}">
              <a16:creationId xmlns:a16="http://schemas.microsoft.com/office/drawing/2014/main" id="{B64A1C74-0CA6-49FE-8F54-DDD690478C4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14" name="Text Box 1">
          <a:extLst>
            <a:ext uri="{FF2B5EF4-FFF2-40B4-BE49-F238E27FC236}">
              <a16:creationId xmlns:a16="http://schemas.microsoft.com/office/drawing/2014/main" id="{FB545939-4684-4AB8-840F-20F1B3A6875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15" name="Text Box 1">
          <a:extLst>
            <a:ext uri="{FF2B5EF4-FFF2-40B4-BE49-F238E27FC236}">
              <a16:creationId xmlns:a16="http://schemas.microsoft.com/office/drawing/2014/main" id="{00328EC1-1ACD-470E-923A-4BDF1F6C771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16" name="Text Box 1">
          <a:extLst>
            <a:ext uri="{FF2B5EF4-FFF2-40B4-BE49-F238E27FC236}">
              <a16:creationId xmlns:a16="http://schemas.microsoft.com/office/drawing/2014/main" id="{AA06CA89-64AD-4B41-9864-FD91D875BD4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17" name="Text Box 1">
          <a:extLst>
            <a:ext uri="{FF2B5EF4-FFF2-40B4-BE49-F238E27FC236}">
              <a16:creationId xmlns:a16="http://schemas.microsoft.com/office/drawing/2014/main" id="{293423C4-4365-41D1-84F2-6B395F8A379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18" name="Text Box 1">
          <a:extLst>
            <a:ext uri="{FF2B5EF4-FFF2-40B4-BE49-F238E27FC236}">
              <a16:creationId xmlns:a16="http://schemas.microsoft.com/office/drawing/2014/main" id="{2FD36FC8-3DFB-4472-B2E7-853120B6671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19" name="Text Box 1">
          <a:extLst>
            <a:ext uri="{FF2B5EF4-FFF2-40B4-BE49-F238E27FC236}">
              <a16:creationId xmlns:a16="http://schemas.microsoft.com/office/drawing/2014/main" id="{E2651C84-B61B-42BA-8406-33B2F2E54FE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20" name="Text Box 1">
          <a:extLst>
            <a:ext uri="{FF2B5EF4-FFF2-40B4-BE49-F238E27FC236}">
              <a16:creationId xmlns:a16="http://schemas.microsoft.com/office/drawing/2014/main" id="{46705A8D-A4AB-42B2-B7D0-B3803B054A7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21" name="Text Box 1">
          <a:extLst>
            <a:ext uri="{FF2B5EF4-FFF2-40B4-BE49-F238E27FC236}">
              <a16:creationId xmlns:a16="http://schemas.microsoft.com/office/drawing/2014/main" id="{1313613C-22B1-460A-897C-0E8EA15F764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22" name="Text Box 1">
          <a:extLst>
            <a:ext uri="{FF2B5EF4-FFF2-40B4-BE49-F238E27FC236}">
              <a16:creationId xmlns:a16="http://schemas.microsoft.com/office/drawing/2014/main" id="{CA95E096-0CC0-4572-BD49-FBCD0F51D39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23" name="Text Box 1">
          <a:extLst>
            <a:ext uri="{FF2B5EF4-FFF2-40B4-BE49-F238E27FC236}">
              <a16:creationId xmlns:a16="http://schemas.microsoft.com/office/drawing/2014/main" id="{E6D192C4-BB24-43D0-AA6A-2F1C2E39567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24" name="Text Box 1">
          <a:extLst>
            <a:ext uri="{FF2B5EF4-FFF2-40B4-BE49-F238E27FC236}">
              <a16:creationId xmlns:a16="http://schemas.microsoft.com/office/drawing/2014/main" id="{23C147CD-B7B0-40BA-998D-8FEF2D17722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25" name="Text Box 1">
          <a:extLst>
            <a:ext uri="{FF2B5EF4-FFF2-40B4-BE49-F238E27FC236}">
              <a16:creationId xmlns:a16="http://schemas.microsoft.com/office/drawing/2014/main" id="{2F837B78-0492-448E-8C03-EB97C43CA4A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26" name="Text Box 1">
          <a:extLst>
            <a:ext uri="{FF2B5EF4-FFF2-40B4-BE49-F238E27FC236}">
              <a16:creationId xmlns:a16="http://schemas.microsoft.com/office/drawing/2014/main" id="{AAA79E16-27CD-4424-ADF0-29315FA2A08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27" name="Text Box 1">
          <a:extLst>
            <a:ext uri="{FF2B5EF4-FFF2-40B4-BE49-F238E27FC236}">
              <a16:creationId xmlns:a16="http://schemas.microsoft.com/office/drawing/2014/main" id="{211160A9-721F-41C4-B087-4202DCF9C9C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28" name="Text Box 1">
          <a:extLst>
            <a:ext uri="{FF2B5EF4-FFF2-40B4-BE49-F238E27FC236}">
              <a16:creationId xmlns:a16="http://schemas.microsoft.com/office/drawing/2014/main" id="{256F528D-7333-497F-BB27-638CE6E9615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29" name="Text Box 1">
          <a:extLst>
            <a:ext uri="{FF2B5EF4-FFF2-40B4-BE49-F238E27FC236}">
              <a16:creationId xmlns:a16="http://schemas.microsoft.com/office/drawing/2014/main" id="{411B83A3-7019-42E7-9630-543ECE8E974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30" name="Text Box 1">
          <a:extLst>
            <a:ext uri="{FF2B5EF4-FFF2-40B4-BE49-F238E27FC236}">
              <a16:creationId xmlns:a16="http://schemas.microsoft.com/office/drawing/2014/main" id="{5A5246AF-7FAB-4614-8AE7-B4C91E53850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31" name="Text Box 1">
          <a:extLst>
            <a:ext uri="{FF2B5EF4-FFF2-40B4-BE49-F238E27FC236}">
              <a16:creationId xmlns:a16="http://schemas.microsoft.com/office/drawing/2014/main" id="{79E7EBC2-0251-4F7D-9A64-2FBC52A93F2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32" name="Text Box 1">
          <a:extLst>
            <a:ext uri="{FF2B5EF4-FFF2-40B4-BE49-F238E27FC236}">
              <a16:creationId xmlns:a16="http://schemas.microsoft.com/office/drawing/2014/main" id="{F7EB9C78-45CA-499A-BB8C-FA7B9BBB181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33" name="Text Box 1">
          <a:extLst>
            <a:ext uri="{FF2B5EF4-FFF2-40B4-BE49-F238E27FC236}">
              <a16:creationId xmlns:a16="http://schemas.microsoft.com/office/drawing/2014/main" id="{F4A9F1E3-A74B-4769-A342-1E8E0A7BB08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34" name="Text Box 1">
          <a:extLst>
            <a:ext uri="{FF2B5EF4-FFF2-40B4-BE49-F238E27FC236}">
              <a16:creationId xmlns:a16="http://schemas.microsoft.com/office/drawing/2014/main" id="{E177EBA8-6131-4898-97E5-92A1A62535C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35" name="Text Box 1">
          <a:extLst>
            <a:ext uri="{FF2B5EF4-FFF2-40B4-BE49-F238E27FC236}">
              <a16:creationId xmlns:a16="http://schemas.microsoft.com/office/drawing/2014/main" id="{B35F4A5C-9F95-4382-99DB-F19694395B4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36" name="Text Box 1">
          <a:extLst>
            <a:ext uri="{FF2B5EF4-FFF2-40B4-BE49-F238E27FC236}">
              <a16:creationId xmlns:a16="http://schemas.microsoft.com/office/drawing/2014/main" id="{A494DF65-BDA2-4246-8350-1BFD50102A5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37" name="Text Box 1">
          <a:extLst>
            <a:ext uri="{FF2B5EF4-FFF2-40B4-BE49-F238E27FC236}">
              <a16:creationId xmlns:a16="http://schemas.microsoft.com/office/drawing/2014/main" id="{8FB50EA1-8766-4791-A9FD-98C18EAEB39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38" name="Text Box 1">
          <a:extLst>
            <a:ext uri="{FF2B5EF4-FFF2-40B4-BE49-F238E27FC236}">
              <a16:creationId xmlns:a16="http://schemas.microsoft.com/office/drawing/2014/main" id="{D2318430-4FF1-42F4-99DE-304D3CFF202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39" name="Text Box 1">
          <a:extLst>
            <a:ext uri="{FF2B5EF4-FFF2-40B4-BE49-F238E27FC236}">
              <a16:creationId xmlns:a16="http://schemas.microsoft.com/office/drawing/2014/main" id="{56052EEA-1FE5-445B-B94A-A006CF82132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40" name="Text Box 1">
          <a:extLst>
            <a:ext uri="{FF2B5EF4-FFF2-40B4-BE49-F238E27FC236}">
              <a16:creationId xmlns:a16="http://schemas.microsoft.com/office/drawing/2014/main" id="{73219651-B9D7-402E-B04C-28B232A579D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41" name="Text Box 1">
          <a:extLst>
            <a:ext uri="{FF2B5EF4-FFF2-40B4-BE49-F238E27FC236}">
              <a16:creationId xmlns:a16="http://schemas.microsoft.com/office/drawing/2014/main" id="{4DCC06BF-B620-4D86-BB26-21597EAD698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42" name="Text Box 1">
          <a:extLst>
            <a:ext uri="{FF2B5EF4-FFF2-40B4-BE49-F238E27FC236}">
              <a16:creationId xmlns:a16="http://schemas.microsoft.com/office/drawing/2014/main" id="{0DB7C147-129C-4B3F-95AE-3DCFD341AB8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43" name="Text Box 1">
          <a:extLst>
            <a:ext uri="{FF2B5EF4-FFF2-40B4-BE49-F238E27FC236}">
              <a16:creationId xmlns:a16="http://schemas.microsoft.com/office/drawing/2014/main" id="{740BEDCF-53BF-46CF-9AB8-B5E691ACF0A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44" name="Text Box 1">
          <a:extLst>
            <a:ext uri="{FF2B5EF4-FFF2-40B4-BE49-F238E27FC236}">
              <a16:creationId xmlns:a16="http://schemas.microsoft.com/office/drawing/2014/main" id="{E7AB2D07-9A80-4234-9019-A1F90A2E1BB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45" name="Text Box 1">
          <a:extLst>
            <a:ext uri="{FF2B5EF4-FFF2-40B4-BE49-F238E27FC236}">
              <a16:creationId xmlns:a16="http://schemas.microsoft.com/office/drawing/2014/main" id="{E79BD2CB-A8B5-4819-8A45-76A3A6C2793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46" name="Text Box 1">
          <a:extLst>
            <a:ext uri="{FF2B5EF4-FFF2-40B4-BE49-F238E27FC236}">
              <a16:creationId xmlns:a16="http://schemas.microsoft.com/office/drawing/2014/main" id="{83272CFE-12E1-4BB3-AF2D-85CE9382840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47" name="Text Box 1">
          <a:extLst>
            <a:ext uri="{FF2B5EF4-FFF2-40B4-BE49-F238E27FC236}">
              <a16:creationId xmlns:a16="http://schemas.microsoft.com/office/drawing/2014/main" id="{02292566-E65D-405D-90D3-7E4B065A1A1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48" name="Text Box 1">
          <a:extLst>
            <a:ext uri="{FF2B5EF4-FFF2-40B4-BE49-F238E27FC236}">
              <a16:creationId xmlns:a16="http://schemas.microsoft.com/office/drawing/2014/main" id="{037480D7-F53B-4251-8738-A577363E79A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49" name="Text Box 1">
          <a:extLst>
            <a:ext uri="{FF2B5EF4-FFF2-40B4-BE49-F238E27FC236}">
              <a16:creationId xmlns:a16="http://schemas.microsoft.com/office/drawing/2014/main" id="{3836A6E9-C716-4C2A-81B7-91A4B7AE055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50" name="Text Box 1">
          <a:extLst>
            <a:ext uri="{FF2B5EF4-FFF2-40B4-BE49-F238E27FC236}">
              <a16:creationId xmlns:a16="http://schemas.microsoft.com/office/drawing/2014/main" id="{5906BD52-29D3-463B-A878-E86FF2E14AC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51" name="Text Box 1">
          <a:extLst>
            <a:ext uri="{FF2B5EF4-FFF2-40B4-BE49-F238E27FC236}">
              <a16:creationId xmlns:a16="http://schemas.microsoft.com/office/drawing/2014/main" id="{1D369CCA-9534-404A-A046-B8F99D0689B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52" name="Text Box 1">
          <a:extLst>
            <a:ext uri="{FF2B5EF4-FFF2-40B4-BE49-F238E27FC236}">
              <a16:creationId xmlns:a16="http://schemas.microsoft.com/office/drawing/2014/main" id="{E2A18599-F154-441C-86F3-CFDDF89E3C9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53" name="Text Box 1">
          <a:extLst>
            <a:ext uri="{FF2B5EF4-FFF2-40B4-BE49-F238E27FC236}">
              <a16:creationId xmlns:a16="http://schemas.microsoft.com/office/drawing/2014/main" id="{AC1EBFD7-3C4D-49BB-AC49-606117C4909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54" name="Text Box 1">
          <a:extLst>
            <a:ext uri="{FF2B5EF4-FFF2-40B4-BE49-F238E27FC236}">
              <a16:creationId xmlns:a16="http://schemas.microsoft.com/office/drawing/2014/main" id="{CC845E0A-F636-48D7-973C-E206EBB3CF5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55" name="Text Box 1">
          <a:extLst>
            <a:ext uri="{FF2B5EF4-FFF2-40B4-BE49-F238E27FC236}">
              <a16:creationId xmlns:a16="http://schemas.microsoft.com/office/drawing/2014/main" id="{B2232184-0759-497B-A142-F3C5051B648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56" name="Text Box 1">
          <a:extLst>
            <a:ext uri="{FF2B5EF4-FFF2-40B4-BE49-F238E27FC236}">
              <a16:creationId xmlns:a16="http://schemas.microsoft.com/office/drawing/2014/main" id="{C3CCA3F4-5361-49DE-A43B-DF0BFD119A0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57" name="Text Box 1">
          <a:extLst>
            <a:ext uri="{FF2B5EF4-FFF2-40B4-BE49-F238E27FC236}">
              <a16:creationId xmlns:a16="http://schemas.microsoft.com/office/drawing/2014/main" id="{2BE48FD1-A30E-4A59-BE2E-54542AAEB46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58" name="Text Box 1">
          <a:extLst>
            <a:ext uri="{FF2B5EF4-FFF2-40B4-BE49-F238E27FC236}">
              <a16:creationId xmlns:a16="http://schemas.microsoft.com/office/drawing/2014/main" id="{53BADF3A-A4EF-4BE2-939F-3591A1FF4DF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59" name="Text Box 1">
          <a:extLst>
            <a:ext uri="{FF2B5EF4-FFF2-40B4-BE49-F238E27FC236}">
              <a16:creationId xmlns:a16="http://schemas.microsoft.com/office/drawing/2014/main" id="{D7AE1B57-A953-4E7C-A9A7-63740EA7013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60" name="Text Box 1">
          <a:extLst>
            <a:ext uri="{FF2B5EF4-FFF2-40B4-BE49-F238E27FC236}">
              <a16:creationId xmlns:a16="http://schemas.microsoft.com/office/drawing/2014/main" id="{D71C113E-DD47-42CA-A0BF-76AABDE3AA5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61" name="Text Box 1">
          <a:extLst>
            <a:ext uri="{FF2B5EF4-FFF2-40B4-BE49-F238E27FC236}">
              <a16:creationId xmlns:a16="http://schemas.microsoft.com/office/drawing/2014/main" id="{2F01244B-E07B-4CFC-97C3-3F8EA2F057A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62" name="Text Box 1">
          <a:extLst>
            <a:ext uri="{FF2B5EF4-FFF2-40B4-BE49-F238E27FC236}">
              <a16:creationId xmlns:a16="http://schemas.microsoft.com/office/drawing/2014/main" id="{95404149-A493-4D38-A66B-CDBCEC8D3D6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63" name="Text Box 1">
          <a:extLst>
            <a:ext uri="{FF2B5EF4-FFF2-40B4-BE49-F238E27FC236}">
              <a16:creationId xmlns:a16="http://schemas.microsoft.com/office/drawing/2014/main" id="{DBD66D2F-3553-495B-BD0A-EB0A1DF71E4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64" name="Text Box 1">
          <a:extLst>
            <a:ext uri="{FF2B5EF4-FFF2-40B4-BE49-F238E27FC236}">
              <a16:creationId xmlns:a16="http://schemas.microsoft.com/office/drawing/2014/main" id="{645AA0CC-B3B8-44AB-BF4E-44442F86F8E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65" name="Text Box 1">
          <a:extLst>
            <a:ext uri="{FF2B5EF4-FFF2-40B4-BE49-F238E27FC236}">
              <a16:creationId xmlns:a16="http://schemas.microsoft.com/office/drawing/2014/main" id="{5611D231-C063-4C04-9814-A96E31B54D6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66" name="Text Box 1">
          <a:extLst>
            <a:ext uri="{FF2B5EF4-FFF2-40B4-BE49-F238E27FC236}">
              <a16:creationId xmlns:a16="http://schemas.microsoft.com/office/drawing/2014/main" id="{681CF991-0E66-49B7-A794-377137C7397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67" name="Text Box 1">
          <a:extLst>
            <a:ext uri="{FF2B5EF4-FFF2-40B4-BE49-F238E27FC236}">
              <a16:creationId xmlns:a16="http://schemas.microsoft.com/office/drawing/2014/main" id="{7B6C5E17-FA67-45B1-BEEF-17EAC1FA09D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68" name="Text Box 1">
          <a:extLst>
            <a:ext uri="{FF2B5EF4-FFF2-40B4-BE49-F238E27FC236}">
              <a16:creationId xmlns:a16="http://schemas.microsoft.com/office/drawing/2014/main" id="{BAD7B7BB-5551-4DE3-A536-AC6528CFA2B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69" name="Text Box 1">
          <a:extLst>
            <a:ext uri="{FF2B5EF4-FFF2-40B4-BE49-F238E27FC236}">
              <a16:creationId xmlns:a16="http://schemas.microsoft.com/office/drawing/2014/main" id="{341624F2-D35A-4D13-B31B-814568541D2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70" name="Text Box 1">
          <a:extLst>
            <a:ext uri="{FF2B5EF4-FFF2-40B4-BE49-F238E27FC236}">
              <a16:creationId xmlns:a16="http://schemas.microsoft.com/office/drawing/2014/main" id="{589C0F65-7414-48C9-BEC0-29A545EC412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71" name="Text Box 1">
          <a:extLst>
            <a:ext uri="{FF2B5EF4-FFF2-40B4-BE49-F238E27FC236}">
              <a16:creationId xmlns:a16="http://schemas.microsoft.com/office/drawing/2014/main" id="{9C050D25-DD33-47D4-8F44-A34F519B3F3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72" name="Text Box 1">
          <a:extLst>
            <a:ext uri="{FF2B5EF4-FFF2-40B4-BE49-F238E27FC236}">
              <a16:creationId xmlns:a16="http://schemas.microsoft.com/office/drawing/2014/main" id="{55201F5E-4EAC-4FBE-8E13-D2026555559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73" name="Text Box 1">
          <a:extLst>
            <a:ext uri="{FF2B5EF4-FFF2-40B4-BE49-F238E27FC236}">
              <a16:creationId xmlns:a16="http://schemas.microsoft.com/office/drawing/2014/main" id="{E2414A8E-45D7-4401-B49A-2615D38FC6A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74" name="Text Box 1">
          <a:extLst>
            <a:ext uri="{FF2B5EF4-FFF2-40B4-BE49-F238E27FC236}">
              <a16:creationId xmlns:a16="http://schemas.microsoft.com/office/drawing/2014/main" id="{B88B43BC-CD16-4D7C-945A-30CECAC6767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75" name="Text Box 1">
          <a:extLst>
            <a:ext uri="{FF2B5EF4-FFF2-40B4-BE49-F238E27FC236}">
              <a16:creationId xmlns:a16="http://schemas.microsoft.com/office/drawing/2014/main" id="{CD823C7A-0F01-417B-B034-37E063AEB43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76" name="Text Box 1">
          <a:extLst>
            <a:ext uri="{FF2B5EF4-FFF2-40B4-BE49-F238E27FC236}">
              <a16:creationId xmlns:a16="http://schemas.microsoft.com/office/drawing/2014/main" id="{4F31051B-750A-4C8C-9D7B-DCF2E4C5D27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77" name="Text Box 1">
          <a:extLst>
            <a:ext uri="{FF2B5EF4-FFF2-40B4-BE49-F238E27FC236}">
              <a16:creationId xmlns:a16="http://schemas.microsoft.com/office/drawing/2014/main" id="{673CB014-3274-4143-B044-EA8F11AC5CF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78" name="Text Box 1">
          <a:extLst>
            <a:ext uri="{FF2B5EF4-FFF2-40B4-BE49-F238E27FC236}">
              <a16:creationId xmlns:a16="http://schemas.microsoft.com/office/drawing/2014/main" id="{046E0476-2C84-4F88-A34E-2E57DB06F1B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79" name="Text Box 1">
          <a:extLst>
            <a:ext uri="{FF2B5EF4-FFF2-40B4-BE49-F238E27FC236}">
              <a16:creationId xmlns:a16="http://schemas.microsoft.com/office/drawing/2014/main" id="{4F47FBA1-E5ED-4857-9CCA-007D5CDA56D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80" name="Text Box 1">
          <a:extLst>
            <a:ext uri="{FF2B5EF4-FFF2-40B4-BE49-F238E27FC236}">
              <a16:creationId xmlns:a16="http://schemas.microsoft.com/office/drawing/2014/main" id="{AC034A8E-2D1B-4A68-A95F-0E035278324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81" name="Text Box 1">
          <a:extLst>
            <a:ext uri="{FF2B5EF4-FFF2-40B4-BE49-F238E27FC236}">
              <a16:creationId xmlns:a16="http://schemas.microsoft.com/office/drawing/2014/main" id="{54E04581-A78A-44B4-8BDD-D6C07CDAE81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82" name="Text Box 1">
          <a:extLst>
            <a:ext uri="{FF2B5EF4-FFF2-40B4-BE49-F238E27FC236}">
              <a16:creationId xmlns:a16="http://schemas.microsoft.com/office/drawing/2014/main" id="{9F42D214-0C50-478A-9EE8-275A9E01B4C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83" name="Text Box 1">
          <a:extLst>
            <a:ext uri="{FF2B5EF4-FFF2-40B4-BE49-F238E27FC236}">
              <a16:creationId xmlns:a16="http://schemas.microsoft.com/office/drawing/2014/main" id="{57F18426-6448-40E0-BDE7-9EF10A54189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84" name="Text Box 1">
          <a:extLst>
            <a:ext uri="{FF2B5EF4-FFF2-40B4-BE49-F238E27FC236}">
              <a16:creationId xmlns:a16="http://schemas.microsoft.com/office/drawing/2014/main" id="{960ADD82-1D71-41B9-B838-57AABD33161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85" name="Text Box 1">
          <a:extLst>
            <a:ext uri="{FF2B5EF4-FFF2-40B4-BE49-F238E27FC236}">
              <a16:creationId xmlns:a16="http://schemas.microsoft.com/office/drawing/2014/main" id="{827F33D2-CF4E-4C73-A3C8-11CB7D67FC7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86" name="Text Box 1">
          <a:extLst>
            <a:ext uri="{FF2B5EF4-FFF2-40B4-BE49-F238E27FC236}">
              <a16:creationId xmlns:a16="http://schemas.microsoft.com/office/drawing/2014/main" id="{5FF94938-AB44-4D13-BE23-A85E90F67AA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87" name="Text Box 1">
          <a:extLst>
            <a:ext uri="{FF2B5EF4-FFF2-40B4-BE49-F238E27FC236}">
              <a16:creationId xmlns:a16="http://schemas.microsoft.com/office/drawing/2014/main" id="{9A9F6D14-C658-4CDC-A842-C55D3296BEF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88" name="Text Box 1">
          <a:extLst>
            <a:ext uri="{FF2B5EF4-FFF2-40B4-BE49-F238E27FC236}">
              <a16:creationId xmlns:a16="http://schemas.microsoft.com/office/drawing/2014/main" id="{000E6C03-C707-42AB-922F-C7630FDC983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89" name="Text Box 1">
          <a:extLst>
            <a:ext uri="{FF2B5EF4-FFF2-40B4-BE49-F238E27FC236}">
              <a16:creationId xmlns:a16="http://schemas.microsoft.com/office/drawing/2014/main" id="{2B29102E-E687-44D3-A474-57DC524F10D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90" name="Text Box 1">
          <a:extLst>
            <a:ext uri="{FF2B5EF4-FFF2-40B4-BE49-F238E27FC236}">
              <a16:creationId xmlns:a16="http://schemas.microsoft.com/office/drawing/2014/main" id="{745AB580-CC0E-41CF-A83A-CC9C04BCA2F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91" name="Text Box 1">
          <a:extLst>
            <a:ext uri="{FF2B5EF4-FFF2-40B4-BE49-F238E27FC236}">
              <a16:creationId xmlns:a16="http://schemas.microsoft.com/office/drawing/2014/main" id="{2781DDA6-29FE-465E-9D70-42376F614F3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92" name="Text Box 1">
          <a:extLst>
            <a:ext uri="{FF2B5EF4-FFF2-40B4-BE49-F238E27FC236}">
              <a16:creationId xmlns:a16="http://schemas.microsoft.com/office/drawing/2014/main" id="{DE01D3A1-FF5A-4A6A-B0D0-8899611B976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93" name="Text Box 1">
          <a:extLst>
            <a:ext uri="{FF2B5EF4-FFF2-40B4-BE49-F238E27FC236}">
              <a16:creationId xmlns:a16="http://schemas.microsoft.com/office/drawing/2014/main" id="{D9E9C625-2EE7-4525-A1A3-4D8DF194E51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94" name="Text Box 1">
          <a:extLst>
            <a:ext uri="{FF2B5EF4-FFF2-40B4-BE49-F238E27FC236}">
              <a16:creationId xmlns:a16="http://schemas.microsoft.com/office/drawing/2014/main" id="{52D37404-B672-47CB-B832-2C16BA93578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95" name="Text Box 1">
          <a:extLst>
            <a:ext uri="{FF2B5EF4-FFF2-40B4-BE49-F238E27FC236}">
              <a16:creationId xmlns:a16="http://schemas.microsoft.com/office/drawing/2014/main" id="{B24DD983-5E9F-4172-8B9C-61563E7B9ED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96" name="Text Box 1">
          <a:extLst>
            <a:ext uri="{FF2B5EF4-FFF2-40B4-BE49-F238E27FC236}">
              <a16:creationId xmlns:a16="http://schemas.microsoft.com/office/drawing/2014/main" id="{BC9CA856-A4C8-4967-9F97-24F36DBB1A9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97" name="Text Box 1">
          <a:extLst>
            <a:ext uri="{FF2B5EF4-FFF2-40B4-BE49-F238E27FC236}">
              <a16:creationId xmlns:a16="http://schemas.microsoft.com/office/drawing/2014/main" id="{EB797D15-CB79-4900-920D-57553FA005D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98" name="Text Box 1">
          <a:extLst>
            <a:ext uri="{FF2B5EF4-FFF2-40B4-BE49-F238E27FC236}">
              <a16:creationId xmlns:a16="http://schemas.microsoft.com/office/drawing/2014/main" id="{69081BCE-616F-4E6F-8134-A6F6E994D3E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599" name="Text Box 1">
          <a:extLst>
            <a:ext uri="{FF2B5EF4-FFF2-40B4-BE49-F238E27FC236}">
              <a16:creationId xmlns:a16="http://schemas.microsoft.com/office/drawing/2014/main" id="{AEE6A8F8-28BC-4AE4-AC8A-BC26276858A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00" name="Text Box 1">
          <a:extLst>
            <a:ext uri="{FF2B5EF4-FFF2-40B4-BE49-F238E27FC236}">
              <a16:creationId xmlns:a16="http://schemas.microsoft.com/office/drawing/2014/main" id="{FB369D56-844A-49A2-889A-5C44F628172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01" name="Text Box 1">
          <a:extLst>
            <a:ext uri="{FF2B5EF4-FFF2-40B4-BE49-F238E27FC236}">
              <a16:creationId xmlns:a16="http://schemas.microsoft.com/office/drawing/2014/main" id="{FC0E921A-25FA-4DCD-BE86-22402E22416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02" name="Text Box 1">
          <a:extLst>
            <a:ext uri="{FF2B5EF4-FFF2-40B4-BE49-F238E27FC236}">
              <a16:creationId xmlns:a16="http://schemas.microsoft.com/office/drawing/2014/main" id="{2BF567DB-C426-4063-A7A6-117B0E4AF59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03" name="Text Box 1">
          <a:extLst>
            <a:ext uri="{FF2B5EF4-FFF2-40B4-BE49-F238E27FC236}">
              <a16:creationId xmlns:a16="http://schemas.microsoft.com/office/drawing/2014/main" id="{8BEF4D3C-7C05-4462-ABA3-BCBFE343B2B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04" name="Text Box 1">
          <a:extLst>
            <a:ext uri="{FF2B5EF4-FFF2-40B4-BE49-F238E27FC236}">
              <a16:creationId xmlns:a16="http://schemas.microsoft.com/office/drawing/2014/main" id="{776D8066-6399-4C3F-9FBE-6C6BAD3598A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05" name="Text Box 1">
          <a:extLst>
            <a:ext uri="{FF2B5EF4-FFF2-40B4-BE49-F238E27FC236}">
              <a16:creationId xmlns:a16="http://schemas.microsoft.com/office/drawing/2014/main" id="{A220B733-E26B-4B62-A77A-69945426CB9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06" name="Text Box 1">
          <a:extLst>
            <a:ext uri="{FF2B5EF4-FFF2-40B4-BE49-F238E27FC236}">
              <a16:creationId xmlns:a16="http://schemas.microsoft.com/office/drawing/2014/main" id="{E1CDBD84-EF97-4E9B-A421-1426C17AC85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07" name="Text Box 1">
          <a:extLst>
            <a:ext uri="{FF2B5EF4-FFF2-40B4-BE49-F238E27FC236}">
              <a16:creationId xmlns:a16="http://schemas.microsoft.com/office/drawing/2014/main" id="{02CD4E24-54F0-4466-8198-447CE504733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08" name="Text Box 1">
          <a:extLst>
            <a:ext uri="{FF2B5EF4-FFF2-40B4-BE49-F238E27FC236}">
              <a16:creationId xmlns:a16="http://schemas.microsoft.com/office/drawing/2014/main" id="{E394A1A7-7FAA-49CB-AC1B-C6A9D4DB978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09" name="Text Box 1">
          <a:extLst>
            <a:ext uri="{FF2B5EF4-FFF2-40B4-BE49-F238E27FC236}">
              <a16:creationId xmlns:a16="http://schemas.microsoft.com/office/drawing/2014/main" id="{8605C7C1-EEC4-40AB-9F7C-BFCC74F518A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10" name="Text Box 1">
          <a:extLst>
            <a:ext uri="{FF2B5EF4-FFF2-40B4-BE49-F238E27FC236}">
              <a16:creationId xmlns:a16="http://schemas.microsoft.com/office/drawing/2014/main" id="{EB6B05B9-738A-4096-AAEF-730B716021B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11" name="Text Box 1">
          <a:extLst>
            <a:ext uri="{FF2B5EF4-FFF2-40B4-BE49-F238E27FC236}">
              <a16:creationId xmlns:a16="http://schemas.microsoft.com/office/drawing/2014/main" id="{AF7BC446-C915-4265-9B34-08CA7A39B42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12" name="Text Box 1">
          <a:extLst>
            <a:ext uri="{FF2B5EF4-FFF2-40B4-BE49-F238E27FC236}">
              <a16:creationId xmlns:a16="http://schemas.microsoft.com/office/drawing/2014/main" id="{AE1D35D6-B0AE-4C1E-B7CE-2466926682D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13" name="Text Box 1">
          <a:extLst>
            <a:ext uri="{FF2B5EF4-FFF2-40B4-BE49-F238E27FC236}">
              <a16:creationId xmlns:a16="http://schemas.microsoft.com/office/drawing/2014/main" id="{BEAC0EAC-9B33-4CD0-9986-8D2FC9AA01E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14" name="Text Box 1">
          <a:extLst>
            <a:ext uri="{FF2B5EF4-FFF2-40B4-BE49-F238E27FC236}">
              <a16:creationId xmlns:a16="http://schemas.microsoft.com/office/drawing/2014/main" id="{907DC9EF-3D18-4B6C-877C-B051FCE9CEB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15" name="Text Box 1">
          <a:extLst>
            <a:ext uri="{FF2B5EF4-FFF2-40B4-BE49-F238E27FC236}">
              <a16:creationId xmlns:a16="http://schemas.microsoft.com/office/drawing/2014/main" id="{0428EA4A-D1DF-4D3B-A2AE-C9E083FC6B0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16" name="Text Box 1">
          <a:extLst>
            <a:ext uri="{FF2B5EF4-FFF2-40B4-BE49-F238E27FC236}">
              <a16:creationId xmlns:a16="http://schemas.microsoft.com/office/drawing/2014/main" id="{60C553D6-1B80-4CCA-8F30-D155A5EAFCF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17" name="Text Box 1">
          <a:extLst>
            <a:ext uri="{FF2B5EF4-FFF2-40B4-BE49-F238E27FC236}">
              <a16:creationId xmlns:a16="http://schemas.microsoft.com/office/drawing/2014/main" id="{0BF71558-B031-465E-A829-FA7A4FF30C9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18" name="Text Box 1">
          <a:extLst>
            <a:ext uri="{FF2B5EF4-FFF2-40B4-BE49-F238E27FC236}">
              <a16:creationId xmlns:a16="http://schemas.microsoft.com/office/drawing/2014/main" id="{82C998D2-01D5-43E0-B12F-67651B03A78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19" name="Text Box 1">
          <a:extLst>
            <a:ext uri="{FF2B5EF4-FFF2-40B4-BE49-F238E27FC236}">
              <a16:creationId xmlns:a16="http://schemas.microsoft.com/office/drawing/2014/main" id="{3D5548FF-8CC9-4494-B322-346219034F5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20" name="Text Box 1">
          <a:extLst>
            <a:ext uri="{FF2B5EF4-FFF2-40B4-BE49-F238E27FC236}">
              <a16:creationId xmlns:a16="http://schemas.microsoft.com/office/drawing/2014/main" id="{7CCF7F26-898B-4B9B-B6E7-3ED9FF2A12C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21" name="Text Box 1">
          <a:extLst>
            <a:ext uri="{FF2B5EF4-FFF2-40B4-BE49-F238E27FC236}">
              <a16:creationId xmlns:a16="http://schemas.microsoft.com/office/drawing/2014/main" id="{BC026DCF-B443-4DD1-B408-03878DD2A60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22" name="Text Box 1">
          <a:extLst>
            <a:ext uri="{FF2B5EF4-FFF2-40B4-BE49-F238E27FC236}">
              <a16:creationId xmlns:a16="http://schemas.microsoft.com/office/drawing/2014/main" id="{666C6A6B-F385-4B34-8144-6AFD3AF402E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23" name="Text Box 1">
          <a:extLst>
            <a:ext uri="{FF2B5EF4-FFF2-40B4-BE49-F238E27FC236}">
              <a16:creationId xmlns:a16="http://schemas.microsoft.com/office/drawing/2014/main" id="{B8AD2833-0940-41EE-BC32-77C926002D4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24" name="Text Box 1">
          <a:extLst>
            <a:ext uri="{FF2B5EF4-FFF2-40B4-BE49-F238E27FC236}">
              <a16:creationId xmlns:a16="http://schemas.microsoft.com/office/drawing/2014/main" id="{EC4327F8-750C-4FF4-BF6E-E6CE10CD06C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25" name="Text Box 1">
          <a:extLst>
            <a:ext uri="{FF2B5EF4-FFF2-40B4-BE49-F238E27FC236}">
              <a16:creationId xmlns:a16="http://schemas.microsoft.com/office/drawing/2014/main" id="{84CA2D7D-3A9C-40C9-A9B6-484EA2809FC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26" name="Text Box 1">
          <a:extLst>
            <a:ext uri="{FF2B5EF4-FFF2-40B4-BE49-F238E27FC236}">
              <a16:creationId xmlns:a16="http://schemas.microsoft.com/office/drawing/2014/main" id="{6CD2EADB-5818-4A85-968F-24A6D4F2A4E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27" name="Text Box 1">
          <a:extLst>
            <a:ext uri="{FF2B5EF4-FFF2-40B4-BE49-F238E27FC236}">
              <a16:creationId xmlns:a16="http://schemas.microsoft.com/office/drawing/2014/main" id="{5D20E4E7-A0E1-4B1B-B99F-704C0157985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28" name="Text Box 1">
          <a:extLst>
            <a:ext uri="{FF2B5EF4-FFF2-40B4-BE49-F238E27FC236}">
              <a16:creationId xmlns:a16="http://schemas.microsoft.com/office/drawing/2014/main" id="{5F074405-1EE0-4266-8DFD-DDA13DAD7E0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29" name="Text Box 1">
          <a:extLst>
            <a:ext uri="{FF2B5EF4-FFF2-40B4-BE49-F238E27FC236}">
              <a16:creationId xmlns:a16="http://schemas.microsoft.com/office/drawing/2014/main" id="{FB3A4158-A5A3-44CC-874A-8672500EEE2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30" name="Text Box 1">
          <a:extLst>
            <a:ext uri="{FF2B5EF4-FFF2-40B4-BE49-F238E27FC236}">
              <a16:creationId xmlns:a16="http://schemas.microsoft.com/office/drawing/2014/main" id="{F7992F7D-1DA0-46C2-A4FF-EF2440FAD69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31" name="Text Box 1">
          <a:extLst>
            <a:ext uri="{FF2B5EF4-FFF2-40B4-BE49-F238E27FC236}">
              <a16:creationId xmlns:a16="http://schemas.microsoft.com/office/drawing/2014/main" id="{C7FD0E44-D1A1-4FD4-973A-5DFA4109076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32" name="Text Box 1">
          <a:extLst>
            <a:ext uri="{FF2B5EF4-FFF2-40B4-BE49-F238E27FC236}">
              <a16:creationId xmlns:a16="http://schemas.microsoft.com/office/drawing/2014/main" id="{08C22114-29CD-4704-A426-55CB6E98672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33" name="Text Box 1">
          <a:extLst>
            <a:ext uri="{FF2B5EF4-FFF2-40B4-BE49-F238E27FC236}">
              <a16:creationId xmlns:a16="http://schemas.microsoft.com/office/drawing/2014/main" id="{3D8B484E-6C3C-4874-A323-F572735CF53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34" name="Text Box 1">
          <a:extLst>
            <a:ext uri="{FF2B5EF4-FFF2-40B4-BE49-F238E27FC236}">
              <a16:creationId xmlns:a16="http://schemas.microsoft.com/office/drawing/2014/main" id="{EC2151E3-ADAC-40DC-A62E-280B09395DE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35" name="Text Box 1">
          <a:extLst>
            <a:ext uri="{FF2B5EF4-FFF2-40B4-BE49-F238E27FC236}">
              <a16:creationId xmlns:a16="http://schemas.microsoft.com/office/drawing/2014/main" id="{11EFEAA4-A2F3-42A5-ACDB-88953122081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36" name="Text Box 1">
          <a:extLst>
            <a:ext uri="{FF2B5EF4-FFF2-40B4-BE49-F238E27FC236}">
              <a16:creationId xmlns:a16="http://schemas.microsoft.com/office/drawing/2014/main" id="{0EE6952C-1F62-4891-B0E5-FD055D9DFBE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37" name="Text Box 1">
          <a:extLst>
            <a:ext uri="{FF2B5EF4-FFF2-40B4-BE49-F238E27FC236}">
              <a16:creationId xmlns:a16="http://schemas.microsoft.com/office/drawing/2014/main" id="{3914722B-E0E1-4752-8389-A60DAB9EBB4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38" name="Text Box 1">
          <a:extLst>
            <a:ext uri="{FF2B5EF4-FFF2-40B4-BE49-F238E27FC236}">
              <a16:creationId xmlns:a16="http://schemas.microsoft.com/office/drawing/2014/main" id="{02656943-4195-4E71-A584-6F711239F4B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39" name="Text Box 1">
          <a:extLst>
            <a:ext uri="{FF2B5EF4-FFF2-40B4-BE49-F238E27FC236}">
              <a16:creationId xmlns:a16="http://schemas.microsoft.com/office/drawing/2014/main" id="{EA129CA8-AE15-4A9F-8F43-6816E7A546C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40" name="Text Box 1">
          <a:extLst>
            <a:ext uri="{FF2B5EF4-FFF2-40B4-BE49-F238E27FC236}">
              <a16:creationId xmlns:a16="http://schemas.microsoft.com/office/drawing/2014/main" id="{84414382-233D-4C60-974F-0BBE978DB77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41" name="Text Box 1">
          <a:extLst>
            <a:ext uri="{FF2B5EF4-FFF2-40B4-BE49-F238E27FC236}">
              <a16:creationId xmlns:a16="http://schemas.microsoft.com/office/drawing/2014/main" id="{A9E1729D-FF1B-47B2-8A3D-70089DCB7B0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42" name="Text Box 1">
          <a:extLst>
            <a:ext uri="{FF2B5EF4-FFF2-40B4-BE49-F238E27FC236}">
              <a16:creationId xmlns:a16="http://schemas.microsoft.com/office/drawing/2014/main" id="{B3F4DE72-F63D-4F9E-AE10-02E5E9AD8F3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43" name="Text Box 1">
          <a:extLst>
            <a:ext uri="{FF2B5EF4-FFF2-40B4-BE49-F238E27FC236}">
              <a16:creationId xmlns:a16="http://schemas.microsoft.com/office/drawing/2014/main" id="{EF34087D-97E1-49A0-9967-6B2EFCC092C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44" name="Text Box 1">
          <a:extLst>
            <a:ext uri="{FF2B5EF4-FFF2-40B4-BE49-F238E27FC236}">
              <a16:creationId xmlns:a16="http://schemas.microsoft.com/office/drawing/2014/main" id="{1F167181-F55F-4BDE-9967-56CBF2B501A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45" name="Text Box 1">
          <a:extLst>
            <a:ext uri="{FF2B5EF4-FFF2-40B4-BE49-F238E27FC236}">
              <a16:creationId xmlns:a16="http://schemas.microsoft.com/office/drawing/2014/main" id="{3E2BD974-1A8F-4158-AC87-039AD8C0D14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46" name="Text Box 1">
          <a:extLst>
            <a:ext uri="{FF2B5EF4-FFF2-40B4-BE49-F238E27FC236}">
              <a16:creationId xmlns:a16="http://schemas.microsoft.com/office/drawing/2014/main" id="{7B5B71D6-8B79-48B1-912E-DE08849C6B6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47" name="Text Box 1">
          <a:extLst>
            <a:ext uri="{FF2B5EF4-FFF2-40B4-BE49-F238E27FC236}">
              <a16:creationId xmlns:a16="http://schemas.microsoft.com/office/drawing/2014/main" id="{663F1C2F-3785-4305-AF5D-5C91B9FC2B7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48" name="Text Box 1">
          <a:extLst>
            <a:ext uri="{FF2B5EF4-FFF2-40B4-BE49-F238E27FC236}">
              <a16:creationId xmlns:a16="http://schemas.microsoft.com/office/drawing/2014/main" id="{F6EFD0B9-C82B-4853-9269-1D61D4A75F6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49" name="Text Box 1">
          <a:extLst>
            <a:ext uri="{FF2B5EF4-FFF2-40B4-BE49-F238E27FC236}">
              <a16:creationId xmlns:a16="http://schemas.microsoft.com/office/drawing/2014/main" id="{E4DA5C07-462C-42B5-A252-E3E8E06584D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50" name="Text Box 1">
          <a:extLst>
            <a:ext uri="{FF2B5EF4-FFF2-40B4-BE49-F238E27FC236}">
              <a16:creationId xmlns:a16="http://schemas.microsoft.com/office/drawing/2014/main" id="{2CF0EC5C-3CE6-4EA5-AFDF-6E7A9B4B80B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51" name="Text Box 1">
          <a:extLst>
            <a:ext uri="{FF2B5EF4-FFF2-40B4-BE49-F238E27FC236}">
              <a16:creationId xmlns:a16="http://schemas.microsoft.com/office/drawing/2014/main" id="{ABA34CFF-5ADA-4689-850E-AC524930B57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52" name="Text Box 1">
          <a:extLst>
            <a:ext uri="{FF2B5EF4-FFF2-40B4-BE49-F238E27FC236}">
              <a16:creationId xmlns:a16="http://schemas.microsoft.com/office/drawing/2014/main" id="{89942704-E6B5-4BC5-9723-314059462A2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53" name="Text Box 1">
          <a:extLst>
            <a:ext uri="{FF2B5EF4-FFF2-40B4-BE49-F238E27FC236}">
              <a16:creationId xmlns:a16="http://schemas.microsoft.com/office/drawing/2014/main" id="{2D02264F-86B5-4175-9CD3-362E6329802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54" name="Text Box 1">
          <a:extLst>
            <a:ext uri="{FF2B5EF4-FFF2-40B4-BE49-F238E27FC236}">
              <a16:creationId xmlns:a16="http://schemas.microsoft.com/office/drawing/2014/main" id="{3EC5E51E-71CE-40B4-B598-BF29E4BC234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55" name="Text Box 1">
          <a:extLst>
            <a:ext uri="{FF2B5EF4-FFF2-40B4-BE49-F238E27FC236}">
              <a16:creationId xmlns:a16="http://schemas.microsoft.com/office/drawing/2014/main" id="{AFB9834B-F2AF-4400-BF6F-F7619871FA2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56" name="Text Box 1">
          <a:extLst>
            <a:ext uri="{FF2B5EF4-FFF2-40B4-BE49-F238E27FC236}">
              <a16:creationId xmlns:a16="http://schemas.microsoft.com/office/drawing/2014/main" id="{3315F3CE-561F-42C8-B166-22F4CED2E07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57" name="Text Box 1">
          <a:extLst>
            <a:ext uri="{FF2B5EF4-FFF2-40B4-BE49-F238E27FC236}">
              <a16:creationId xmlns:a16="http://schemas.microsoft.com/office/drawing/2014/main" id="{11CC9448-2740-4451-B400-B0C9FE06AD1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58" name="Text Box 1">
          <a:extLst>
            <a:ext uri="{FF2B5EF4-FFF2-40B4-BE49-F238E27FC236}">
              <a16:creationId xmlns:a16="http://schemas.microsoft.com/office/drawing/2014/main" id="{41AE9DC4-98A3-442F-ADEE-DA0A9AFD322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59" name="Text Box 1">
          <a:extLst>
            <a:ext uri="{FF2B5EF4-FFF2-40B4-BE49-F238E27FC236}">
              <a16:creationId xmlns:a16="http://schemas.microsoft.com/office/drawing/2014/main" id="{1F1A98E8-9FBC-4424-8B47-0A1E91859F7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60" name="Text Box 1">
          <a:extLst>
            <a:ext uri="{FF2B5EF4-FFF2-40B4-BE49-F238E27FC236}">
              <a16:creationId xmlns:a16="http://schemas.microsoft.com/office/drawing/2014/main" id="{651BAED6-60E0-4D14-A23A-E50D9491D8B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61" name="Text Box 1">
          <a:extLst>
            <a:ext uri="{FF2B5EF4-FFF2-40B4-BE49-F238E27FC236}">
              <a16:creationId xmlns:a16="http://schemas.microsoft.com/office/drawing/2014/main" id="{3131F8B1-887E-4725-9DA6-2CE0FCCED66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62" name="Text Box 1">
          <a:extLst>
            <a:ext uri="{FF2B5EF4-FFF2-40B4-BE49-F238E27FC236}">
              <a16:creationId xmlns:a16="http://schemas.microsoft.com/office/drawing/2014/main" id="{0C203341-64F3-4817-B696-CA6996DE1C7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63" name="Text Box 1">
          <a:extLst>
            <a:ext uri="{FF2B5EF4-FFF2-40B4-BE49-F238E27FC236}">
              <a16:creationId xmlns:a16="http://schemas.microsoft.com/office/drawing/2014/main" id="{29D42E67-E043-4C14-BBCD-022A53AA961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64" name="Text Box 1">
          <a:extLst>
            <a:ext uri="{FF2B5EF4-FFF2-40B4-BE49-F238E27FC236}">
              <a16:creationId xmlns:a16="http://schemas.microsoft.com/office/drawing/2014/main" id="{CDC6138B-A6CB-4576-B5EE-91F582476F4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65" name="Text Box 1">
          <a:extLst>
            <a:ext uri="{FF2B5EF4-FFF2-40B4-BE49-F238E27FC236}">
              <a16:creationId xmlns:a16="http://schemas.microsoft.com/office/drawing/2014/main" id="{7BC6C874-E944-40EB-B6B3-312DC17EB7D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66" name="Text Box 1">
          <a:extLst>
            <a:ext uri="{FF2B5EF4-FFF2-40B4-BE49-F238E27FC236}">
              <a16:creationId xmlns:a16="http://schemas.microsoft.com/office/drawing/2014/main" id="{1E684C26-07F7-46BD-BF1B-101F94813AF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67" name="Text Box 1">
          <a:extLst>
            <a:ext uri="{FF2B5EF4-FFF2-40B4-BE49-F238E27FC236}">
              <a16:creationId xmlns:a16="http://schemas.microsoft.com/office/drawing/2014/main" id="{17C98A0E-BD25-4AF8-B760-57C70CAB826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68" name="Text Box 1">
          <a:extLst>
            <a:ext uri="{FF2B5EF4-FFF2-40B4-BE49-F238E27FC236}">
              <a16:creationId xmlns:a16="http://schemas.microsoft.com/office/drawing/2014/main" id="{9EF3C899-0D34-4D89-ADD5-3C802F36DC2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69" name="Text Box 1">
          <a:extLst>
            <a:ext uri="{FF2B5EF4-FFF2-40B4-BE49-F238E27FC236}">
              <a16:creationId xmlns:a16="http://schemas.microsoft.com/office/drawing/2014/main" id="{F933D901-1793-4D75-AF49-32E0B465AEE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70" name="Text Box 1">
          <a:extLst>
            <a:ext uri="{FF2B5EF4-FFF2-40B4-BE49-F238E27FC236}">
              <a16:creationId xmlns:a16="http://schemas.microsoft.com/office/drawing/2014/main" id="{6284281F-A328-4A9A-82D7-EFC7DE76A19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71" name="Text Box 1">
          <a:extLst>
            <a:ext uri="{FF2B5EF4-FFF2-40B4-BE49-F238E27FC236}">
              <a16:creationId xmlns:a16="http://schemas.microsoft.com/office/drawing/2014/main" id="{AFD291A1-D8BD-4577-A1A1-76A54EFA883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72" name="Text Box 1">
          <a:extLst>
            <a:ext uri="{FF2B5EF4-FFF2-40B4-BE49-F238E27FC236}">
              <a16:creationId xmlns:a16="http://schemas.microsoft.com/office/drawing/2014/main" id="{17F3FB81-9578-4B6B-B382-2DCDBA9705F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73" name="Text Box 1">
          <a:extLst>
            <a:ext uri="{FF2B5EF4-FFF2-40B4-BE49-F238E27FC236}">
              <a16:creationId xmlns:a16="http://schemas.microsoft.com/office/drawing/2014/main" id="{DB4F9BFA-7B41-438A-A8F6-FC56A706871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74" name="Text Box 1">
          <a:extLst>
            <a:ext uri="{FF2B5EF4-FFF2-40B4-BE49-F238E27FC236}">
              <a16:creationId xmlns:a16="http://schemas.microsoft.com/office/drawing/2014/main" id="{AF17ED58-9A82-4FD9-9B1A-AD4B5D884B0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75" name="Text Box 1">
          <a:extLst>
            <a:ext uri="{FF2B5EF4-FFF2-40B4-BE49-F238E27FC236}">
              <a16:creationId xmlns:a16="http://schemas.microsoft.com/office/drawing/2014/main" id="{DDC96C40-32C0-4D25-B36C-B9CCECCAE11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76" name="Text Box 1">
          <a:extLst>
            <a:ext uri="{FF2B5EF4-FFF2-40B4-BE49-F238E27FC236}">
              <a16:creationId xmlns:a16="http://schemas.microsoft.com/office/drawing/2014/main" id="{3C167818-4B9D-4869-9F61-9212D4F6F71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77" name="Text Box 1">
          <a:extLst>
            <a:ext uri="{FF2B5EF4-FFF2-40B4-BE49-F238E27FC236}">
              <a16:creationId xmlns:a16="http://schemas.microsoft.com/office/drawing/2014/main" id="{EAA2F955-507E-406C-9840-CC21D1F3E99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78" name="Text Box 1">
          <a:extLst>
            <a:ext uri="{FF2B5EF4-FFF2-40B4-BE49-F238E27FC236}">
              <a16:creationId xmlns:a16="http://schemas.microsoft.com/office/drawing/2014/main" id="{DE31EE3A-D186-4F92-A019-395B5BFDBF9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79" name="Text Box 1">
          <a:extLst>
            <a:ext uri="{FF2B5EF4-FFF2-40B4-BE49-F238E27FC236}">
              <a16:creationId xmlns:a16="http://schemas.microsoft.com/office/drawing/2014/main" id="{9872A096-7FF0-45AF-87A8-F6AFD1F5D30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80" name="Text Box 1">
          <a:extLst>
            <a:ext uri="{FF2B5EF4-FFF2-40B4-BE49-F238E27FC236}">
              <a16:creationId xmlns:a16="http://schemas.microsoft.com/office/drawing/2014/main" id="{F1E75161-4AAE-471A-9804-60C3C190075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81" name="Text Box 1">
          <a:extLst>
            <a:ext uri="{FF2B5EF4-FFF2-40B4-BE49-F238E27FC236}">
              <a16:creationId xmlns:a16="http://schemas.microsoft.com/office/drawing/2014/main" id="{2758B86C-AEB7-46DD-8892-9DA162C2826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82" name="Text Box 1">
          <a:extLst>
            <a:ext uri="{FF2B5EF4-FFF2-40B4-BE49-F238E27FC236}">
              <a16:creationId xmlns:a16="http://schemas.microsoft.com/office/drawing/2014/main" id="{7DCF9768-0635-47AB-AD85-A5874DD3637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83" name="Text Box 1">
          <a:extLst>
            <a:ext uri="{FF2B5EF4-FFF2-40B4-BE49-F238E27FC236}">
              <a16:creationId xmlns:a16="http://schemas.microsoft.com/office/drawing/2014/main" id="{16DEB061-56DD-4E6E-B2FF-9FB8F56A8D5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84" name="Text Box 1">
          <a:extLst>
            <a:ext uri="{FF2B5EF4-FFF2-40B4-BE49-F238E27FC236}">
              <a16:creationId xmlns:a16="http://schemas.microsoft.com/office/drawing/2014/main" id="{10498C1D-702E-4317-A579-67D73B9B1A8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85" name="Text Box 1">
          <a:extLst>
            <a:ext uri="{FF2B5EF4-FFF2-40B4-BE49-F238E27FC236}">
              <a16:creationId xmlns:a16="http://schemas.microsoft.com/office/drawing/2014/main" id="{96E055CF-7515-4565-9B7C-95B3999038F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86" name="Text Box 1">
          <a:extLst>
            <a:ext uri="{FF2B5EF4-FFF2-40B4-BE49-F238E27FC236}">
              <a16:creationId xmlns:a16="http://schemas.microsoft.com/office/drawing/2014/main" id="{A1A91049-44D0-488B-B73A-B04A2557611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87" name="Text Box 1">
          <a:extLst>
            <a:ext uri="{FF2B5EF4-FFF2-40B4-BE49-F238E27FC236}">
              <a16:creationId xmlns:a16="http://schemas.microsoft.com/office/drawing/2014/main" id="{89937CD9-2B86-4D1F-8B68-75188C7E540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88" name="Text Box 1">
          <a:extLst>
            <a:ext uri="{FF2B5EF4-FFF2-40B4-BE49-F238E27FC236}">
              <a16:creationId xmlns:a16="http://schemas.microsoft.com/office/drawing/2014/main" id="{021FB4B1-C53F-4B82-A8CC-47785B70C81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89" name="Text Box 1">
          <a:extLst>
            <a:ext uri="{FF2B5EF4-FFF2-40B4-BE49-F238E27FC236}">
              <a16:creationId xmlns:a16="http://schemas.microsoft.com/office/drawing/2014/main" id="{F5A1303D-2E07-4E31-9E4B-0D2E89E167D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90" name="Text Box 1">
          <a:extLst>
            <a:ext uri="{FF2B5EF4-FFF2-40B4-BE49-F238E27FC236}">
              <a16:creationId xmlns:a16="http://schemas.microsoft.com/office/drawing/2014/main" id="{F753924B-E147-4BCE-94AE-E43E5E070BD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91" name="Text Box 1">
          <a:extLst>
            <a:ext uri="{FF2B5EF4-FFF2-40B4-BE49-F238E27FC236}">
              <a16:creationId xmlns:a16="http://schemas.microsoft.com/office/drawing/2014/main" id="{5D4D3F9B-ECFB-4651-BE70-B8ED6264AC8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92" name="Text Box 1">
          <a:extLst>
            <a:ext uri="{FF2B5EF4-FFF2-40B4-BE49-F238E27FC236}">
              <a16:creationId xmlns:a16="http://schemas.microsoft.com/office/drawing/2014/main" id="{DC0C3CBF-3200-4D3D-AFBF-9FE5D36429B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93" name="Text Box 1">
          <a:extLst>
            <a:ext uri="{FF2B5EF4-FFF2-40B4-BE49-F238E27FC236}">
              <a16:creationId xmlns:a16="http://schemas.microsoft.com/office/drawing/2014/main" id="{7F23E57D-FC44-4369-9ADE-A4BBD30A04D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94" name="Text Box 1">
          <a:extLst>
            <a:ext uri="{FF2B5EF4-FFF2-40B4-BE49-F238E27FC236}">
              <a16:creationId xmlns:a16="http://schemas.microsoft.com/office/drawing/2014/main" id="{2860588E-1EFF-4C90-8B32-923B35D5954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95" name="Text Box 1">
          <a:extLst>
            <a:ext uri="{FF2B5EF4-FFF2-40B4-BE49-F238E27FC236}">
              <a16:creationId xmlns:a16="http://schemas.microsoft.com/office/drawing/2014/main" id="{D888230D-7BC0-45BD-BC4F-A7CD4BF2D9B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96" name="Text Box 1">
          <a:extLst>
            <a:ext uri="{FF2B5EF4-FFF2-40B4-BE49-F238E27FC236}">
              <a16:creationId xmlns:a16="http://schemas.microsoft.com/office/drawing/2014/main" id="{DE363C9C-505E-4936-98E9-045174AA100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97" name="Text Box 1">
          <a:extLst>
            <a:ext uri="{FF2B5EF4-FFF2-40B4-BE49-F238E27FC236}">
              <a16:creationId xmlns:a16="http://schemas.microsoft.com/office/drawing/2014/main" id="{736CC44F-9394-40A5-B471-95F1CBDB185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98" name="Text Box 1">
          <a:extLst>
            <a:ext uri="{FF2B5EF4-FFF2-40B4-BE49-F238E27FC236}">
              <a16:creationId xmlns:a16="http://schemas.microsoft.com/office/drawing/2014/main" id="{FC361D06-3EC9-4E84-A975-64CCDDF7006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699" name="Text Box 1">
          <a:extLst>
            <a:ext uri="{FF2B5EF4-FFF2-40B4-BE49-F238E27FC236}">
              <a16:creationId xmlns:a16="http://schemas.microsoft.com/office/drawing/2014/main" id="{6D1886E2-6DA9-4128-A1D9-BFC36B8A4DD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00" name="Text Box 1">
          <a:extLst>
            <a:ext uri="{FF2B5EF4-FFF2-40B4-BE49-F238E27FC236}">
              <a16:creationId xmlns:a16="http://schemas.microsoft.com/office/drawing/2014/main" id="{AF5EB780-6FF9-440E-9646-386324586AD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01" name="Text Box 1">
          <a:extLst>
            <a:ext uri="{FF2B5EF4-FFF2-40B4-BE49-F238E27FC236}">
              <a16:creationId xmlns:a16="http://schemas.microsoft.com/office/drawing/2014/main" id="{0CCB5335-FF94-4A33-884F-F46F1EC7989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02" name="Text Box 1">
          <a:extLst>
            <a:ext uri="{FF2B5EF4-FFF2-40B4-BE49-F238E27FC236}">
              <a16:creationId xmlns:a16="http://schemas.microsoft.com/office/drawing/2014/main" id="{BD133E26-A3FE-4B0C-A950-41786734B45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03" name="Text Box 1">
          <a:extLst>
            <a:ext uri="{FF2B5EF4-FFF2-40B4-BE49-F238E27FC236}">
              <a16:creationId xmlns:a16="http://schemas.microsoft.com/office/drawing/2014/main" id="{7AD5BAA0-BEE4-458D-B18D-2BBEA06BBAC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04" name="Text Box 1">
          <a:extLst>
            <a:ext uri="{FF2B5EF4-FFF2-40B4-BE49-F238E27FC236}">
              <a16:creationId xmlns:a16="http://schemas.microsoft.com/office/drawing/2014/main" id="{526CB60B-44D2-4305-8DB8-D9D58FDB9D5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05" name="Text Box 1">
          <a:extLst>
            <a:ext uri="{FF2B5EF4-FFF2-40B4-BE49-F238E27FC236}">
              <a16:creationId xmlns:a16="http://schemas.microsoft.com/office/drawing/2014/main" id="{6E869771-6A37-40D1-B1EB-38E29664CBA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06" name="Text Box 1">
          <a:extLst>
            <a:ext uri="{FF2B5EF4-FFF2-40B4-BE49-F238E27FC236}">
              <a16:creationId xmlns:a16="http://schemas.microsoft.com/office/drawing/2014/main" id="{264D5EDF-904D-4804-9A5C-33DA893101F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07" name="Text Box 1">
          <a:extLst>
            <a:ext uri="{FF2B5EF4-FFF2-40B4-BE49-F238E27FC236}">
              <a16:creationId xmlns:a16="http://schemas.microsoft.com/office/drawing/2014/main" id="{8B9AB2E1-23C8-4724-AD74-2A74DDD75DF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08" name="Text Box 1">
          <a:extLst>
            <a:ext uri="{FF2B5EF4-FFF2-40B4-BE49-F238E27FC236}">
              <a16:creationId xmlns:a16="http://schemas.microsoft.com/office/drawing/2014/main" id="{BD1A17E4-9718-4967-ACF9-1D5AED0B8B2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09" name="Text Box 1">
          <a:extLst>
            <a:ext uri="{FF2B5EF4-FFF2-40B4-BE49-F238E27FC236}">
              <a16:creationId xmlns:a16="http://schemas.microsoft.com/office/drawing/2014/main" id="{EFD9C41B-C48B-45DC-AD43-4D060D5A176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10" name="Text Box 1">
          <a:extLst>
            <a:ext uri="{FF2B5EF4-FFF2-40B4-BE49-F238E27FC236}">
              <a16:creationId xmlns:a16="http://schemas.microsoft.com/office/drawing/2014/main" id="{DC400F5B-88DD-48A1-8013-6B609C45010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11" name="Text Box 1">
          <a:extLst>
            <a:ext uri="{FF2B5EF4-FFF2-40B4-BE49-F238E27FC236}">
              <a16:creationId xmlns:a16="http://schemas.microsoft.com/office/drawing/2014/main" id="{238124D6-4F11-474F-8751-7505E115EBE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12" name="Text Box 1">
          <a:extLst>
            <a:ext uri="{FF2B5EF4-FFF2-40B4-BE49-F238E27FC236}">
              <a16:creationId xmlns:a16="http://schemas.microsoft.com/office/drawing/2014/main" id="{CD9ACE07-930E-422D-91B5-237D8878AAA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13" name="Text Box 1">
          <a:extLst>
            <a:ext uri="{FF2B5EF4-FFF2-40B4-BE49-F238E27FC236}">
              <a16:creationId xmlns:a16="http://schemas.microsoft.com/office/drawing/2014/main" id="{6E34819C-DAE5-4A83-BD6B-B7CC523DA76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14" name="Text Box 1">
          <a:extLst>
            <a:ext uri="{FF2B5EF4-FFF2-40B4-BE49-F238E27FC236}">
              <a16:creationId xmlns:a16="http://schemas.microsoft.com/office/drawing/2014/main" id="{B6854EE3-CC3E-4FA2-86AA-2A461134E14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15" name="Text Box 1">
          <a:extLst>
            <a:ext uri="{FF2B5EF4-FFF2-40B4-BE49-F238E27FC236}">
              <a16:creationId xmlns:a16="http://schemas.microsoft.com/office/drawing/2014/main" id="{4B9B2B95-C1D8-4EDA-B6CD-0AB22B83C4C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16" name="Text Box 1">
          <a:extLst>
            <a:ext uri="{FF2B5EF4-FFF2-40B4-BE49-F238E27FC236}">
              <a16:creationId xmlns:a16="http://schemas.microsoft.com/office/drawing/2014/main" id="{8517DEE6-3B0B-4829-B4EF-A5E2BC17868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17" name="Text Box 1">
          <a:extLst>
            <a:ext uri="{FF2B5EF4-FFF2-40B4-BE49-F238E27FC236}">
              <a16:creationId xmlns:a16="http://schemas.microsoft.com/office/drawing/2014/main" id="{61D615BC-A3BB-4BF1-86F7-29C08110F87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18" name="Text Box 1">
          <a:extLst>
            <a:ext uri="{FF2B5EF4-FFF2-40B4-BE49-F238E27FC236}">
              <a16:creationId xmlns:a16="http://schemas.microsoft.com/office/drawing/2014/main" id="{E0D01F30-007A-4264-8965-F569338ED47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19" name="Text Box 1">
          <a:extLst>
            <a:ext uri="{FF2B5EF4-FFF2-40B4-BE49-F238E27FC236}">
              <a16:creationId xmlns:a16="http://schemas.microsoft.com/office/drawing/2014/main" id="{9638455D-BB78-4F92-ACA7-4BF872A0E3C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20" name="Text Box 1">
          <a:extLst>
            <a:ext uri="{FF2B5EF4-FFF2-40B4-BE49-F238E27FC236}">
              <a16:creationId xmlns:a16="http://schemas.microsoft.com/office/drawing/2014/main" id="{A82578B9-F393-4C5E-A438-F0FCA51ED29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21" name="Text Box 1">
          <a:extLst>
            <a:ext uri="{FF2B5EF4-FFF2-40B4-BE49-F238E27FC236}">
              <a16:creationId xmlns:a16="http://schemas.microsoft.com/office/drawing/2014/main" id="{BDEAC03E-136B-4A44-83EF-B61E34B6260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22" name="Text Box 1">
          <a:extLst>
            <a:ext uri="{FF2B5EF4-FFF2-40B4-BE49-F238E27FC236}">
              <a16:creationId xmlns:a16="http://schemas.microsoft.com/office/drawing/2014/main" id="{850246F2-888B-4C24-9741-D5F3C6AFC7A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23" name="Text Box 1">
          <a:extLst>
            <a:ext uri="{FF2B5EF4-FFF2-40B4-BE49-F238E27FC236}">
              <a16:creationId xmlns:a16="http://schemas.microsoft.com/office/drawing/2014/main" id="{2FCDB6C7-BC8F-4BE8-A6C2-C939E79A588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24" name="Text Box 1">
          <a:extLst>
            <a:ext uri="{FF2B5EF4-FFF2-40B4-BE49-F238E27FC236}">
              <a16:creationId xmlns:a16="http://schemas.microsoft.com/office/drawing/2014/main" id="{4BD541C3-EE1F-454F-986C-21D61DD5B7D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25" name="Text Box 1">
          <a:extLst>
            <a:ext uri="{FF2B5EF4-FFF2-40B4-BE49-F238E27FC236}">
              <a16:creationId xmlns:a16="http://schemas.microsoft.com/office/drawing/2014/main" id="{0F661AA5-9280-4D89-B9F8-AC5F4F1425C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26" name="Text Box 1">
          <a:extLst>
            <a:ext uri="{FF2B5EF4-FFF2-40B4-BE49-F238E27FC236}">
              <a16:creationId xmlns:a16="http://schemas.microsoft.com/office/drawing/2014/main" id="{3C097C48-520A-4E79-A162-AA1575DCE1E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27" name="Text Box 1">
          <a:extLst>
            <a:ext uri="{FF2B5EF4-FFF2-40B4-BE49-F238E27FC236}">
              <a16:creationId xmlns:a16="http://schemas.microsoft.com/office/drawing/2014/main" id="{29E03888-2038-4DA8-AD2D-FFF8D084501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28" name="Text Box 1">
          <a:extLst>
            <a:ext uri="{FF2B5EF4-FFF2-40B4-BE49-F238E27FC236}">
              <a16:creationId xmlns:a16="http://schemas.microsoft.com/office/drawing/2014/main" id="{7DB5A9AE-DF45-48E7-BB4A-858697E360F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29" name="Text Box 1">
          <a:extLst>
            <a:ext uri="{FF2B5EF4-FFF2-40B4-BE49-F238E27FC236}">
              <a16:creationId xmlns:a16="http://schemas.microsoft.com/office/drawing/2014/main" id="{43FD0D53-2EF3-40BE-8566-1093C893B22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30" name="Text Box 1">
          <a:extLst>
            <a:ext uri="{FF2B5EF4-FFF2-40B4-BE49-F238E27FC236}">
              <a16:creationId xmlns:a16="http://schemas.microsoft.com/office/drawing/2014/main" id="{B7CD3C8C-059B-4D35-B769-BDE8B6B8BAA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31" name="Text Box 1">
          <a:extLst>
            <a:ext uri="{FF2B5EF4-FFF2-40B4-BE49-F238E27FC236}">
              <a16:creationId xmlns:a16="http://schemas.microsoft.com/office/drawing/2014/main" id="{CDADCBC1-D324-4657-B9B6-CFE651272B9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32" name="Text Box 1">
          <a:extLst>
            <a:ext uri="{FF2B5EF4-FFF2-40B4-BE49-F238E27FC236}">
              <a16:creationId xmlns:a16="http://schemas.microsoft.com/office/drawing/2014/main" id="{26AAF9EB-CAE8-40CA-9284-8DE5CF0EC51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33" name="Text Box 1">
          <a:extLst>
            <a:ext uri="{FF2B5EF4-FFF2-40B4-BE49-F238E27FC236}">
              <a16:creationId xmlns:a16="http://schemas.microsoft.com/office/drawing/2014/main" id="{66463C51-F170-43ED-B5D1-7AB9EBAF63B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34" name="Text Box 1">
          <a:extLst>
            <a:ext uri="{FF2B5EF4-FFF2-40B4-BE49-F238E27FC236}">
              <a16:creationId xmlns:a16="http://schemas.microsoft.com/office/drawing/2014/main" id="{39F609B1-E4E9-43BF-9678-CED8830A689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35" name="Text Box 1">
          <a:extLst>
            <a:ext uri="{FF2B5EF4-FFF2-40B4-BE49-F238E27FC236}">
              <a16:creationId xmlns:a16="http://schemas.microsoft.com/office/drawing/2014/main" id="{3FA07237-68C7-48F8-9CD9-A9D999717CC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36" name="Text Box 1">
          <a:extLst>
            <a:ext uri="{FF2B5EF4-FFF2-40B4-BE49-F238E27FC236}">
              <a16:creationId xmlns:a16="http://schemas.microsoft.com/office/drawing/2014/main" id="{D8C672A5-8AE7-43E1-B078-CE20C7DE351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37" name="Text Box 1">
          <a:extLst>
            <a:ext uri="{FF2B5EF4-FFF2-40B4-BE49-F238E27FC236}">
              <a16:creationId xmlns:a16="http://schemas.microsoft.com/office/drawing/2014/main" id="{4461ED02-4AD3-4BC8-9348-9EE98DF7F73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38" name="Text Box 1">
          <a:extLst>
            <a:ext uri="{FF2B5EF4-FFF2-40B4-BE49-F238E27FC236}">
              <a16:creationId xmlns:a16="http://schemas.microsoft.com/office/drawing/2014/main" id="{8363C8F3-33DB-44FE-822D-4835AF815EB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39" name="Text Box 1">
          <a:extLst>
            <a:ext uri="{FF2B5EF4-FFF2-40B4-BE49-F238E27FC236}">
              <a16:creationId xmlns:a16="http://schemas.microsoft.com/office/drawing/2014/main" id="{CDB72CC8-472F-45FA-B3B0-15AABE49EF9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40" name="Text Box 1">
          <a:extLst>
            <a:ext uri="{FF2B5EF4-FFF2-40B4-BE49-F238E27FC236}">
              <a16:creationId xmlns:a16="http://schemas.microsoft.com/office/drawing/2014/main" id="{ECA5D6B5-BBCD-4080-80D9-4AD6B42442B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41" name="Text Box 1">
          <a:extLst>
            <a:ext uri="{FF2B5EF4-FFF2-40B4-BE49-F238E27FC236}">
              <a16:creationId xmlns:a16="http://schemas.microsoft.com/office/drawing/2014/main" id="{42BEDC44-059F-44F8-9ACB-B3192308EF9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42" name="Text Box 1">
          <a:extLst>
            <a:ext uri="{FF2B5EF4-FFF2-40B4-BE49-F238E27FC236}">
              <a16:creationId xmlns:a16="http://schemas.microsoft.com/office/drawing/2014/main" id="{D665116B-C097-4939-9E6F-FE6EC4D145F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43" name="Text Box 1">
          <a:extLst>
            <a:ext uri="{FF2B5EF4-FFF2-40B4-BE49-F238E27FC236}">
              <a16:creationId xmlns:a16="http://schemas.microsoft.com/office/drawing/2014/main" id="{D9B35732-947C-4735-821B-BDA4CB7BF5D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44" name="Text Box 1">
          <a:extLst>
            <a:ext uri="{FF2B5EF4-FFF2-40B4-BE49-F238E27FC236}">
              <a16:creationId xmlns:a16="http://schemas.microsoft.com/office/drawing/2014/main" id="{BE623DEF-E0A5-48D0-A12B-EEE03A6C0E2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45" name="Text Box 1">
          <a:extLst>
            <a:ext uri="{FF2B5EF4-FFF2-40B4-BE49-F238E27FC236}">
              <a16:creationId xmlns:a16="http://schemas.microsoft.com/office/drawing/2014/main" id="{AA33800D-6193-4033-A8DC-24AB131D924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46" name="Text Box 1">
          <a:extLst>
            <a:ext uri="{FF2B5EF4-FFF2-40B4-BE49-F238E27FC236}">
              <a16:creationId xmlns:a16="http://schemas.microsoft.com/office/drawing/2014/main" id="{A6F6568C-606D-4B6E-AA92-9669F901203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47" name="Text Box 1">
          <a:extLst>
            <a:ext uri="{FF2B5EF4-FFF2-40B4-BE49-F238E27FC236}">
              <a16:creationId xmlns:a16="http://schemas.microsoft.com/office/drawing/2014/main" id="{6DDAD379-5CC9-47A5-AFF3-D2C9A52C8F6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48" name="Text Box 1">
          <a:extLst>
            <a:ext uri="{FF2B5EF4-FFF2-40B4-BE49-F238E27FC236}">
              <a16:creationId xmlns:a16="http://schemas.microsoft.com/office/drawing/2014/main" id="{2090D7B9-ED11-4DA5-A96F-EF7F7B7EBDB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49" name="Text Box 1">
          <a:extLst>
            <a:ext uri="{FF2B5EF4-FFF2-40B4-BE49-F238E27FC236}">
              <a16:creationId xmlns:a16="http://schemas.microsoft.com/office/drawing/2014/main" id="{C654271E-7D14-4DD3-92B5-564079AD2E4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50" name="Text Box 1">
          <a:extLst>
            <a:ext uri="{FF2B5EF4-FFF2-40B4-BE49-F238E27FC236}">
              <a16:creationId xmlns:a16="http://schemas.microsoft.com/office/drawing/2014/main" id="{D3162429-07DB-40EE-9BE1-D901D3C7D5D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51" name="Text Box 1">
          <a:extLst>
            <a:ext uri="{FF2B5EF4-FFF2-40B4-BE49-F238E27FC236}">
              <a16:creationId xmlns:a16="http://schemas.microsoft.com/office/drawing/2014/main" id="{11B6FA15-3E36-4935-9B5D-9E3F8A96B2A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52" name="Text Box 1">
          <a:extLst>
            <a:ext uri="{FF2B5EF4-FFF2-40B4-BE49-F238E27FC236}">
              <a16:creationId xmlns:a16="http://schemas.microsoft.com/office/drawing/2014/main" id="{299C2214-D1CA-45F9-925A-EE064BA68CD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53" name="Text Box 1">
          <a:extLst>
            <a:ext uri="{FF2B5EF4-FFF2-40B4-BE49-F238E27FC236}">
              <a16:creationId xmlns:a16="http://schemas.microsoft.com/office/drawing/2014/main" id="{3834A083-78EE-41E2-9CB8-6576023E7AE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54" name="Text Box 1">
          <a:extLst>
            <a:ext uri="{FF2B5EF4-FFF2-40B4-BE49-F238E27FC236}">
              <a16:creationId xmlns:a16="http://schemas.microsoft.com/office/drawing/2014/main" id="{0D41993F-41B1-4BC4-8684-F652BE05640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55" name="Text Box 1">
          <a:extLst>
            <a:ext uri="{FF2B5EF4-FFF2-40B4-BE49-F238E27FC236}">
              <a16:creationId xmlns:a16="http://schemas.microsoft.com/office/drawing/2014/main" id="{1CB0D3F0-0035-4732-8B28-E1911ECB044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56" name="Text Box 1">
          <a:extLst>
            <a:ext uri="{FF2B5EF4-FFF2-40B4-BE49-F238E27FC236}">
              <a16:creationId xmlns:a16="http://schemas.microsoft.com/office/drawing/2014/main" id="{6A6CD322-BBB7-4A53-8B8D-D2B1CDFB0E6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57" name="Text Box 1">
          <a:extLst>
            <a:ext uri="{FF2B5EF4-FFF2-40B4-BE49-F238E27FC236}">
              <a16:creationId xmlns:a16="http://schemas.microsoft.com/office/drawing/2014/main" id="{AA6122B2-BACF-48F7-A14C-DDC7450F350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58" name="Text Box 1">
          <a:extLst>
            <a:ext uri="{FF2B5EF4-FFF2-40B4-BE49-F238E27FC236}">
              <a16:creationId xmlns:a16="http://schemas.microsoft.com/office/drawing/2014/main" id="{F669E243-2874-4B47-8A4D-D0CC4FAF0DC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59" name="Text Box 1">
          <a:extLst>
            <a:ext uri="{FF2B5EF4-FFF2-40B4-BE49-F238E27FC236}">
              <a16:creationId xmlns:a16="http://schemas.microsoft.com/office/drawing/2014/main" id="{453A7E8D-810F-44D7-BD1D-189AA4D834E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60" name="Text Box 1">
          <a:extLst>
            <a:ext uri="{FF2B5EF4-FFF2-40B4-BE49-F238E27FC236}">
              <a16:creationId xmlns:a16="http://schemas.microsoft.com/office/drawing/2014/main" id="{A4E22D3D-D674-453C-9470-BAC8C7192B5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61" name="Text Box 1">
          <a:extLst>
            <a:ext uri="{FF2B5EF4-FFF2-40B4-BE49-F238E27FC236}">
              <a16:creationId xmlns:a16="http://schemas.microsoft.com/office/drawing/2014/main" id="{70A9A0C1-6E7D-4FDA-B2BF-98AAA927423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62" name="Text Box 1">
          <a:extLst>
            <a:ext uri="{FF2B5EF4-FFF2-40B4-BE49-F238E27FC236}">
              <a16:creationId xmlns:a16="http://schemas.microsoft.com/office/drawing/2014/main" id="{83EC762C-4BBE-494A-BD66-63332AA612F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63" name="Text Box 1">
          <a:extLst>
            <a:ext uri="{FF2B5EF4-FFF2-40B4-BE49-F238E27FC236}">
              <a16:creationId xmlns:a16="http://schemas.microsoft.com/office/drawing/2014/main" id="{508C886D-1658-49C4-A931-50D58753934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64" name="Text Box 1">
          <a:extLst>
            <a:ext uri="{FF2B5EF4-FFF2-40B4-BE49-F238E27FC236}">
              <a16:creationId xmlns:a16="http://schemas.microsoft.com/office/drawing/2014/main" id="{8B7D860B-AFD0-48FF-92F4-D930D2C7E2F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65" name="Text Box 1">
          <a:extLst>
            <a:ext uri="{FF2B5EF4-FFF2-40B4-BE49-F238E27FC236}">
              <a16:creationId xmlns:a16="http://schemas.microsoft.com/office/drawing/2014/main" id="{824C0091-CD66-42ED-84DB-4522F05914A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66" name="Text Box 1">
          <a:extLst>
            <a:ext uri="{FF2B5EF4-FFF2-40B4-BE49-F238E27FC236}">
              <a16:creationId xmlns:a16="http://schemas.microsoft.com/office/drawing/2014/main" id="{DF1FEB0F-50BB-4D32-AC22-22DFAF914DA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67" name="Text Box 1">
          <a:extLst>
            <a:ext uri="{FF2B5EF4-FFF2-40B4-BE49-F238E27FC236}">
              <a16:creationId xmlns:a16="http://schemas.microsoft.com/office/drawing/2014/main" id="{9D0B642A-70F8-4B90-8AE0-E6F3216C44F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68" name="Text Box 1">
          <a:extLst>
            <a:ext uri="{FF2B5EF4-FFF2-40B4-BE49-F238E27FC236}">
              <a16:creationId xmlns:a16="http://schemas.microsoft.com/office/drawing/2014/main" id="{EA15A8B1-EE89-4F2E-9D82-94856C51454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69" name="Text Box 1">
          <a:extLst>
            <a:ext uri="{FF2B5EF4-FFF2-40B4-BE49-F238E27FC236}">
              <a16:creationId xmlns:a16="http://schemas.microsoft.com/office/drawing/2014/main" id="{44C2799B-77B6-4752-A797-F384A8ED40D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70" name="Text Box 1">
          <a:extLst>
            <a:ext uri="{FF2B5EF4-FFF2-40B4-BE49-F238E27FC236}">
              <a16:creationId xmlns:a16="http://schemas.microsoft.com/office/drawing/2014/main" id="{FC232C3A-2B0F-403D-97E1-6F894C5C9B4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71" name="Text Box 1">
          <a:extLst>
            <a:ext uri="{FF2B5EF4-FFF2-40B4-BE49-F238E27FC236}">
              <a16:creationId xmlns:a16="http://schemas.microsoft.com/office/drawing/2014/main" id="{4616FABA-9B87-4761-8A5E-CF1E22C18BB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72" name="Text Box 1">
          <a:extLst>
            <a:ext uri="{FF2B5EF4-FFF2-40B4-BE49-F238E27FC236}">
              <a16:creationId xmlns:a16="http://schemas.microsoft.com/office/drawing/2014/main" id="{795DFB3D-59FA-43CB-81DC-47060B5748E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73" name="Text Box 1">
          <a:extLst>
            <a:ext uri="{FF2B5EF4-FFF2-40B4-BE49-F238E27FC236}">
              <a16:creationId xmlns:a16="http://schemas.microsoft.com/office/drawing/2014/main" id="{0A077962-1EF9-4E2C-87D9-5F76FB122BA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74" name="Text Box 1">
          <a:extLst>
            <a:ext uri="{FF2B5EF4-FFF2-40B4-BE49-F238E27FC236}">
              <a16:creationId xmlns:a16="http://schemas.microsoft.com/office/drawing/2014/main" id="{C458693A-C04C-4716-B982-2CAE5F2777A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75" name="Text Box 1">
          <a:extLst>
            <a:ext uri="{FF2B5EF4-FFF2-40B4-BE49-F238E27FC236}">
              <a16:creationId xmlns:a16="http://schemas.microsoft.com/office/drawing/2014/main" id="{F2EAA578-0D92-4201-88BC-C6E506D697F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76" name="Text Box 1">
          <a:extLst>
            <a:ext uri="{FF2B5EF4-FFF2-40B4-BE49-F238E27FC236}">
              <a16:creationId xmlns:a16="http://schemas.microsoft.com/office/drawing/2014/main" id="{60C092FD-D348-45D7-B997-0C6E983E677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77" name="Text Box 1">
          <a:extLst>
            <a:ext uri="{FF2B5EF4-FFF2-40B4-BE49-F238E27FC236}">
              <a16:creationId xmlns:a16="http://schemas.microsoft.com/office/drawing/2014/main" id="{7453E357-B9F9-4F0D-85B2-0C38AA6D59C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78" name="Text Box 1">
          <a:extLst>
            <a:ext uri="{FF2B5EF4-FFF2-40B4-BE49-F238E27FC236}">
              <a16:creationId xmlns:a16="http://schemas.microsoft.com/office/drawing/2014/main" id="{2234BFCE-0AF7-44B1-B3A9-3569C284CDF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79" name="Text Box 1">
          <a:extLst>
            <a:ext uri="{FF2B5EF4-FFF2-40B4-BE49-F238E27FC236}">
              <a16:creationId xmlns:a16="http://schemas.microsoft.com/office/drawing/2014/main" id="{9A604585-9AFB-47F7-9B38-855862416B1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80" name="Text Box 1">
          <a:extLst>
            <a:ext uri="{FF2B5EF4-FFF2-40B4-BE49-F238E27FC236}">
              <a16:creationId xmlns:a16="http://schemas.microsoft.com/office/drawing/2014/main" id="{3F95B790-1ED6-4480-ACBE-9EA3A8999EF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81" name="Text Box 1">
          <a:extLst>
            <a:ext uri="{FF2B5EF4-FFF2-40B4-BE49-F238E27FC236}">
              <a16:creationId xmlns:a16="http://schemas.microsoft.com/office/drawing/2014/main" id="{3BF35461-B5B8-4C49-B3A8-133273B7127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82" name="Text Box 1">
          <a:extLst>
            <a:ext uri="{FF2B5EF4-FFF2-40B4-BE49-F238E27FC236}">
              <a16:creationId xmlns:a16="http://schemas.microsoft.com/office/drawing/2014/main" id="{2C23FAE0-42E2-4CF3-B79D-F90CC82C9DD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83" name="Text Box 1">
          <a:extLst>
            <a:ext uri="{FF2B5EF4-FFF2-40B4-BE49-F238E27FC236}">
              <a16:creationId xmlns:a16="http://schemas.microsoft.com/office/drawing/2014/main" id="{E4E22CDB-3B37-4529-92B5-0C995E4008E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84" name="Text Box 1">
          <a:extLst>
            <a:ext uri="{FF2B5EF4-FFF2-40B4-BE49-F238E27FC236}">
              <a16:creationId xmlns:a16="http://schemas.microsoft.com/office/drawing/2014/main" id="{AE725ED6-F137-4334-ABD3-B026D32DDEA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85" name="Text Box 1">
          <a:extLst>
            <a:ext uri="{FF2B5EF4-FFF2-40B4-BE49-F238E27FC236}">
              <a16:creationId xmlns:a16="http://schemas.microsoft.com/office/drawing/2014/main" id="{481E379D-6715-4A61-9DEB-324353FEB41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86" name="Text Box 1">
          <a:extLst>
            <a:ext uri="{FF2B5EF4-FFF2-40B4-BE49-F238E27FC236}">
              <a16:creationId xmlns:a16="http://schemas.microsoft.com/office/drawing/2014/main" id="{6FCC6B8A-8C2E-4F8D-B77D-E5F27768ACD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87" name="Text Box 1">
          <a:extLst>
            <a:ext uri="{FF2B5EF4-FFF2-40B4-BE49-F238E27FC236}">
              <a16:creationId xmlns:a16="http://schemas.microsoft.com/office/drawing/2014/main" id="{D742602E-E933-4879-A34F-C7CB290DCD6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88" name="Text Box 1">
          <a:extLst>
            <a:ext uri="{FF2B5EF4-FFF2-40B4-BE49-F238E27FC236}">
              <a16:creationId xmlns:a16="http://schemas.microsoft.com/office/drawing/2014/main" id="{DA2412E7-DF18-4D22-8FAE-BAEC0F921F9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89" name="Text Box 1">
          <a:extLst>
            <a:ext uri="{FF2B5EF4-FFF2-40B4-BE49-F238E27FC236}">
              <a16:creationId xmlns:a16="http://schemas.microsoft.com/office/drawing/2014/main" id="{4170F6A3-E224-4946-898B-E811F475FA3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90" name="Text Box 1">
          <a:extLst>
            <a:ext uri="{FF2B5EF4-FFF2-40B4-BE49-F238E27FC236}">
              <a16:creationId xmlns:a16="http://schemas.microsoft.com/office/drawing/2014/main" id="{BC5F9090-738D-474D-910E-9C2C7481873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91" name="Text Box 1">
          <a:extLst>
            <a:ext uri="{FF2B5EF4-FFF2-40B4-BE49-F238E27FC236}">
              <a16:creationId xmlns:a16="http://schemas.microsoft.com/office/drawing/2014/main" id="{DB04D719-34DA-4649-9DDF-9BB4D6E7635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92" name="Text Box 1">
          <a:extLst>
            <a:ext uri="{FF2B5EF4-FFF2-40B4-BE49-F238E27FC236}">
              <a16:creationId xmlns:a16="http://schemas.microsoft.com/office/drawing/2014/main" id="{D30E071B-0CEA-4127-B358-A17C665D4C9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93" name="Text Box 1">
          <a:extLst>
            <a:ext uri="{FF2B5EF4-FFF2-40B4-BE49-F238E27FC236}">
              <a16:creationId xmlns:a16="http://schemas.microsoft.com/office/drawing/2014/main" id="{495CD663-8B52-405E-AA22-249420A3F03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94" name="Text Box 1">
          <a:extLst>
            <a:ext uri="{FF2B5EF4-FFF2-40B4-BE49-F238E27FC236}">
              <a16:creationId xmlns:a16="http://schemas.microsoft.com/office/drawing/2014/main" id="{1A441B6F-CA8D-49EF-871D-711A32710F1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95" name="Text Box 1">
          <a:extLst>
            <a:ext uri="{FF2B5EF4-FFF2-40B4-BE49-F238E27FC236}">
              <a16:creationId xmlns:a16="http://schemas.microsoft.com/office/drawing/2014/main" id="{0E8E94A4-8301-401A-AA2B-517971D1765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96" name="Text Box 1">
          <a:extLst>
            <a:ext uri="{FF2B5EF4-FFF2-40B4-BE49-F238E27FC236}">
              <a16:creationId xmlns:a16="http://schemas.microsoft.com/office/drawing/2014/main" id="{DE54D520-C1B7-49EF-A924-1163688AB68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97" name="Text Box 1">
          <a:extLst>
            <a:ext uri="{FF2B5EF4-FFF2-40B4-BE49-F238E27FC236}">
              <a16:creationId xmlns:a16="http://schemas.microsoft.com/office/drawing/2014/main" id="{5D36F05A-0432-4B69-9305-0B85CB516B6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98" name="Text Box 1">
          <a:extLst>
            <a:ext uri="{FF2B5EF4-FFF2-40B4-BE49-F238E27FC236}">
              <a16:creationId xmlns:a16="http://schemas.microsoft.com/office/drawing/2014/main" id="{80D33986-7ED6-4554-8F8C-CF92A50FDBE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799" name="Text Box 1">
          <a:extLst>
            <a:ext uri="{FF2B5EF4-FFF2-40B4-BE49-F238E27FC236}">
              <a16:creationId xmlns:a16="http://schemas.microsoft.com/office/drawing/2014/main" id="{EC9AB6E5-732B-421F-ABB9-AB97346BF69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00" name="Text Box 1">
          <a:extLst>
            <a:ext uri="{FF2B5EF4-FFF2-40B4-BE49-F238E27FC236}">
              <a16:creationId xmlns:a16="http://schemas.microsoft.com/office/drawing/2014/main" id="{27B9CD8C-4F73-4061-9CEC-99AFDAD577F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01" name="Text Box 1">
          <a:extLst>
            <a:ext uri="{FF2B5EF4-FFF2-40B4-BE49-F238E27FC236}">
              <a16:creationId xmlns:a16="http://schemas.microsoft.com/office/drawing/2014/main" id="{C905FE6B-916B-4D6F-937B-26D9D18411A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02" name="Text Box 1">
          <a:extLst>
            <a:ext uri="{FF2B5EF4-FFF2-40B4-BE49-F238E27FC236}">
              <a16:creationId xmlns:a16="http://schemas.microsoft.com/office/drawing/2014/main" id="{2E627167-F4B7-4F77-B5F4-464D9B37B95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03" name="Text Box 1">
          <a:extLst>
            <a:ext uri="{FF2B5EF4-FFF2-40B4-BE49-F238E27FC236}">
              <a16:creationId xmlns:a16="http://schemas.microsoft.com/office/drawing/2014/main" id="{318B21AA-7B66-4927-897D-E6E7C0981C1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04" name="Text Box 1">
          <a:extLst>
            <a:ext uri="{FF2B5EF4-FFF2-40B4-BE49-F238E27FC236}">
              <a16:creationId xmlns:a16="http://schemas.microsoft.com/office/drawing/2014/main" id="{2F287684-619E-4BC9-B785-C2FE124D7F7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05" name="Text Box 1">
          <a:extLst>
            <a:ext uri="{FF2B5EF4-FFF2-40B4-BE49-F238E27FC236}">
              <a16:creationId xmlns:a16="http://schemas.microsoft.com/office/drawing/2014/main" id="{196EF96B-5CE2-415D-A6BC-E9C1A760665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06" name="Text Box 1">
          <a:extLst>
            <a:ext uri="{FF2B5EF4-FFF2-40B4-BE49-F238E27FC236}">
              <a16:creationId xmlns:a16="http://schemas.microsoft.com/office/drawing/2014/main" id="{88D2D94B-53D5-4112-8BD5-BA19BFF2B21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07" name="Text Box 1">
          <a:extLst>
            <a:ext uri="{FF2B5EF4-FFF2-40B4-BE49-F238E27FC236}">
              <a16:creationId xmlns:a16="http://schemas.microsoft.com/office/drawing/2014/main" id="{3774CCCD-9CA4-4C58-A2D6-8145813A545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08" name="Text Box 1">
          <a:extLst>
            <a:ext uri="{FF2B5EF4-FFF2-40B4-BE49-F238E27FC236}">
              <a16:creationId xmlns:a16="http://schemas.microsoft.com/office/drawing/2014/main" id="{124F9E3D-FE1E-435C-B528-7576FAFA9A7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09" name="Text Box 1">
          <a:extLst>
            <a:ext uri="{FF2B5EF4-FFF2-40B4-BE49-F238E27FC236}">
              <a16:creationId xmlns:a16="http://schemas.microsoft.com/office/drawing/2014/main" id="{C84CCD0F-21F7-43BD-87E6-DB04B41A567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565150</xdr:colOff>
      <xdr:row>48</xdr:row>
      <xdr:rowOff>152400</xdr:rowOff>
    </xdr:from>
    <xdr:ext cx="247650" cy="85725"/>
    <xdr:sp macro="" textlink="">
      <xdr:nvSpPr>
        <xdr:cNvPr id="16810" name="Text Box 1">
          <a:extLst>
            <a:ext uri="{FF2B5EF4-FFF2-40B4-BE49-F238E27FC236}">
              <a16:creationId xmlns:a16="http://schemas.microsoft.com/office/drawing/2014/main" id="{9616855E-D723-4E52-94BF-232E8E058DE8}"/>
            </a:ext>
          </a:extLst>
        </xdr:cNvPr>
        <xdr:cNvSpPr txBox="1">
          <a:spLocks noChangeArrowheads="1"/>
        </xdr:cNvSpPr>
      </xdr:nvSpPr>
      <xdr:spPr bwMode="auto">
        <a:xfrm>
          <a:off x="15557500" y="15303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565150</xdr:colOff>
      <xdr:row>48</xdr:row>
      <xdr:rowOff>152400</xdr:rowOff>
    </xdr:from>
    <xdr:ext cx="247650" cy="85725"/>
    <xdr:sp macro="" textlink="">
      <xdr:nvSpPr>
        <xdr:cNvPr id="16811" name="Text Box 1">
          <a:extLst>
            <a:ext uri="{FF2B5EF4-FFF2-40B4-BE49-F238E27FC236}">
              <a16:creationId xmlns:a16="http://schemas.microsoft.com/office/drawing/2014/main" id="{AC47DC97-28A9-4E99-BADA-4F9E421E93EE}"/>
            </a:ext>
          </a:extLst>
        </xdr:cNvPr>
        <xdr:cNvSpPr txBox="1">
          <a:spLocks noChangeArrowheads="1"/>
        </xdr:cNvSpPr>
      </xdr:nvSpPr>
      <xdr:spPr bwMode="auto">
        <a:xfrm>
          <a:off x="15906750" y="15303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22</xdr:col>
      <xdr:colOff>565150</xdr:colOff>
      <xdr:row>48</xdr:row>
      <xdr:rowOff>152400</xdr:rowOff>
    </xdr:from>
    <xdr:ext cx="247650" cy="85725"/>
    <xdr:sp macro="" textlink="">
      <xdr:nvSpPr>
        <xdr:cNvPr id="16812" name="Text Box 1">
          <a:extLst>
            <a:ext uri="{FF2B5EF4-FFF2-40B4-BE49-F238E27FC236}">
              <a16:creationId xmlns:a16="http://schemas.microsoft.com/office/drawing/2014/main" id="{A4029F9B-DDE0-45F4-80D5-A670433D02CF}"/>
            </a:ext>
          </a:extLst>
        </xdr:cNvPr>
        <xdr:cNvSpPr txBox="1">
          <a:spLocks noChangeArrowheads="1"/>
        </xdr:cNvSpPr>
      </xdr:nvSpPr>
      <xdr:spPr bwMode="auto">
        <a:xfrm>
          <a:off x="17049750" y="15303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565150</xdr:colOff>
      <xdr:row>48</xdr:row>
      <xdr:rowOff>152400</xdr:rowOff>
    </xdr:from>
    <xdr:ext cx="247650" cy="85725"/>
    <xdr:sp macro="" textlink="">
      <xdr:nvSpPr>
        <xdr:cNvPr id="16813" name="Text Box 1">
          <a:extLst>
            <a:ext uri="{FF2B5EF4-FFF2-40B4-BE49-F238E27FC236}">
              <a16:creationId xmlns:a16="http://schemas.microsoft.com/office/drawing/2014/main" id="{1FB43C40-744A-410D-A42D-D25EA630276A}"/>
            </a:ext>
          </a:extLst>
        </xdr:cNvPr>
        <xdr:cNvSpPr txBox="1">
          <a:spLocks noChangeArrowheads="1"/>
        </xdr:cNvSpPr>
      </xdr:nvSpPr>
      <xdr:spPr bwMode="auto">
        <a:xfrm>
          <a:off x="17614900" y="15303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24</xdr:col>
      <xdr:colOff>565150</xdr:colOff>
      <xdr:row>48</xdr:row>
      <xdr:rowOff>152400</xdr:rowOff>
    </xdr:from>
    <xdr:ext cx="247650" cy="85725"/>
    <xdr:sp macro="" textlink="">
      <xdr:nvSpPr>
        <xdr:cNvPr id="16814" name="Text Box 1">
          <a:extLst>
            <a:ext uri="{FF2B5EF4-FFF2-40B4-BE49-F238E27FC236}">
              <a16:creationId xmlns:a16="http://schemas.microsoft.com/office/drawing/2014/main" id="{46FCB1B2-5BB6-410B-964D-7E6A4825CAA1}"/>
            </a:ext>
          </a:extLst>
        </xdr:cNvPr>
        <xdr:cNvSpPr txBox="1">
          <a:spLocks noChangeArrowheads="1"/>
        </xdr:cNvSpPr>
      </xdr:nvSpPr>
      <xdr:spPr bwMode="auto">
        <a:xfrm>
          <a:off x="18243550" y="15303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25</xdr:col>
      <xdr:colOff>565150</xdr:colOff>
      <xdr:row>48</xdr:row>
      <xdr:rowOff>152400</xdr:rowOff>
    </xdr:from>
    <xdr:ext cx="247650" cy="85725"/>
    <xdr:sp macro="" textlink="">
      <xdr:nvSpPr>
        <xdr:cNvPr id="16815" name="Text Box 1">
          <a:extLst>
            <a:ext uri="{FF2B5EF4-FFF2-40B4-BE49-F238E27FC236}">
              <a16:creationId xmlns:a16="http://schemas.microsoft.com/office/drawing/2014/main" id="{149221E2-5135-4578-9089-63B04DB5BF08}"/>
            </a:ext>
          </a:extLst>
        </xdr:cNvPr>
        <xdr:cNvSpPr txBox="1">
          <a:spLocks noChangeArrowheads="1"/>
        </xdr:cNvSpPr>
      </xdr:nvSpPr>
      <xdr:spPr bwMode="auto">
        <a:xfrm>
          <a:off x="18764250" y="15303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26</xdr:col>
      <xdr:colOff>565150</xdr:colOff>
      <xdr:row>48</xdr:row>
      <xdr:rowOff>152400</xdr:rowOff>
    </xdr:from>
    <xdr:ext cx="247650" cy="85725"/>
    <xdr:sp macro="" textlink="">
      <xdr:nvSpPr>
        <xdr:cNvPr id="16816" name="Text Box 1">
          <a:extLst>
            <a:ext uri="{FF2B5EF4-FFF2-40B4-BE49-F238E27FC236}">
              <a16:creationId xmlns:a16="http://schemas.microsoft.com/office/drawing/2014/main" id="{7E38CA37-3F27-46E7-A56A-BE9DD9322318}"/>
            </a:ext>
          </a:extLst>
        </xdr:cNvPr>
        <xdr:cNvSpPr txBox="1">
          <a:spLocks noChangeArrowheads="1"/>
        </xdr:cNvSpPr>
      </xdr:nvSpPr>
      <xdr:spPr bwMode="auto">
        <a:xfrm>
          <a:off x="19304000" y="15303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565150</xdr:colOff>
      <xdr:row>48</xdr:row>
      <xdr:rowOff>152400</xdr:rowOff>
    </xdr:from>
    <xdr:ext cx="247650" cy="85725"/>
    <xdr:sp macro="" textlink="">
      <xdr:nvSpPr>
        <xdr:cNvPr id="16817" name="Text Box 1">
          <a:extLst>
            <a:ext uri="{FF2B5EF4-FFF2-40B4-BE49-F238E27FC236}">
              <a16:creationId xmlns:a16="http://schemas.microsoft.com/office/drawing/2014/main" id="{9D9ADE03-120E-464A-9DB4-C525AD0DCBF9}"/>
            </a:ext>
          </a:extLst>
        </xdr:cNvPr>
        <xdr:cNvSpPr txBox="1">
          <a:spLocks noChangeArrowheads="1"/>
        </xdr:cNvSpPr>
      </xdr:nvSpPr>
      <xdr:spPr bwMode="auto">
        <a:xfrm>
          <a:off x="20408900" y="15303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565150</xdr:colOff>
      <xdr:row>48</xdr:row>
      <xdr:rowOff>152400</xdr:rowOff>
    </xdr:from>
    <xdr:ext cx="247650" cy="85725"/>
    <xdr:sp macro="" textlink="">
      <xdr:nvSpPr>
        <xdr:cNvPr id="16818" name="Text Box 1">
          <a:extLst>
            <a:ext uri="{FF2B5EF4-FFF2-40B4-BE49-F238E27FC236}">
              <a16:creationId xmlns:a16="http://schemas.microsoft.com/office/drawing/2014/main" id="{E058DC8C-A10A-4867-87EE-B9B13B59A99E}"/>
            </a:ext>
          </a:extLst>
        </xdr:cNvPr>
        <xdr:cNvSpPr txBox="1">
          <a:spLocks noChangeArrowheads="1"/>
        </xdr:cNvSpPr>
      </xdr:nvSpPr>
      <xdr:spPr bwMode="auto">
        <a:xfrm>
          <a:off x="21062950" y="15303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565150</xdr:colOff>
      <xdr:row>48</xdr:row>
      <xdr:rowOff>152400</xdr:rowOff>
    </xdr:from>
    <xdr:ext cx="247650" cy="85725"/>
    <xdr:sp macro="" textlink="">
      <xdr:nvSpPr>
        <xdr:cNvPr id="16819" name="Text Box 1">
          <a:extLst>
            <a:ext uri="{FF2B5EF4-FFF2-40B4-BE49-F238E27FC236}">
              <a16:creationId xmlns:a16="http://schemas.microsoft.com/office/drawing/2014/main" id="{B80AF4FC-6B0E-4EAC-98B2-266764B608F2}"/>
            </a:ext>
          </a:extLst>
        </xdr:cNvPr>
        <xdr:cNvSpPr txBox="1">
          <a:spLocks noChangeArrowheads="1"/>
        </xdr:cNvSpPr>
      </xdr:nvSpPr>
      <xdr:spPr bwMode="auto">
        <a:xfrm>
          <a:off x="21678900" y="15303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31</xdr:col>
      <xdr:colOff>565150</xdr:colOff>
      <xdr:row>48</xdr:row>
      <xdr:rowOff>152400</xdr:rowOff>
    </xdr:from>
    <xdr:ext cx="247650" cy="85725"/>
    <xdr:sp macro="" textlink="">
      <xdr:nvSpPr>
        <xdr:cNvPr id="16820" name="Text Box 1">
          <a:extLst>
            <a:ext uri="{FF2B5EF4-FFF2-40B4-BE49-F238E27FC236}">
              <a16:creationId xmlns:a16="http://schemas.microsoft.com/office/drawing/2014/main" id="{6AA7F42B-0094-47CE-BC6B-5AE0105C08C9}"/>
            </a:ext>
          </a:extLst>
        </xdr:cNvPr>
        <xdr:cNvSpPr txBox="1">
          <a:spLocks noChangeArrowheads="1"/>
        </xdr:cNvSpPr>
      </xdr:nvSpPr>
      <xdr:spPr bwMode="auto">
        <a:xfrm>
          <a:off x="22332950" y="15303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32</xdr:col>
      <xdr:colOff>565150</xdr:colOff>
      <xdr:row>48</xdr:row>
      <xdr:rowOff>152400</xdr:rowOff>
    </xdr:from>
    <xdr:ext cx="247650" cy="85725"/>
    <xdr:sp macro="" textlink="">
      <xdr:nvSpPr>
        <xdr:cNvPr id="16821" name="Text Box 1">
          <a:extLst>
            <a:ext uri="{FF2B5EF4-FFF2-40B4-BE49-F238E27FC236}">
              <a16:creationId xmlns:a16="http://schemas.microsoft.com/office/drawing/2014/main" id="{DC0605E4-AB74-46CD-8F4D-DE94D994043A}"/>
            </a:ext>
          </a:extLst>
        </xdr:cNvPr>
        <xdr:cNvSpPr txBox="1">
          <a:spLocks noChangeArrowheads="1"/>
        </xdr:cNvSpPr>
      </xdr:nvSpPr>
      <xdr:spPr bwMode="auto">
        <a:xfrm>
          <a:off x="22948900" y="15303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33</xdr:col>
      <xdr:colOff>565150</xdr:colOff>
      <xdr:row>48</xdr:row>
      <xdr:rowOff>152400</xdr:rowOff>
    </xdr:from>
    <xdr:ext cx="247650" cy="85725"/>
    <xdr:sp macro="" textlink="">
      <xdr:nvSpPr>
        <xdr:cNvPr id="16822" name="Text Box 1">
          <a:extLst>
            <a:ext uri="{FF2B5EF4-FFF2-40B4-BE49-F238E27FC236}">
              <a16:creationId xmlns:a16="http://schemas.microsoft.com/office/drawing/2014/main" id="{2A8D464F-18FB-4E29-B0A0-944060346EE7}"/>
            </a:ext>
          </a:extLst>
        </xdr:cNvPr>
        <xdr:cNvSpPr txBox="1">
          <a:spLocks noChangeArrowheads="1"/>
        </xdr:cNvSpPr>
      </xdr:nvSpPr>
      <xdr:spPr bwMode="auto">
        <a:xfrm>
          <a:off x="23564850" y="15303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565150</xdr:colOff>
      <xdr:row>48</xdr:row>
      <xdr:rowOff>152400</xdr:rowOff>
    </xdr:from>
    <xdr:ext cx="247650" cy="85725"/>
    <xdr:sp macro="" textlink="">
      <xdr:nvSpPr>
        <xdr:cNvPr id="16823" name="Text Box 1">
          <a:extLst>
            <a:ext uri="{FF2B5EF4-FFF2-40B4-BE49-F238E27FC236}">
              <a16:creationId xmlns:a16="http://schemas.microsoft.com/office/drawing/2014/main" id="{609760CB-AED0-427D-A375-9025C771A1A6}"/>
            </a:ext>
          </a:extLst>
        </xdr:cNvPr>
        <xdr:cNvSpPr txBox="1">
          <a:spLocks noChangeArrowheads="1"/>
        </xdr:cNvSpPr>
      </xdr:nvSpPr>
      <xdr:spPr bwMode="auto">
        <a:xfrm>
          <a:off x="24593550" y="15303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36</xdr:col>
      <xdr:colOff>565150</xdr:colOff>
      <xdr:row>48</xdr:row>
      <xdr:rowOff>152400</xdr:rowOff>
    </xdr:from>
    <xdr:ext cx="247650" cy="85725"/>
    <xdr:sp macro="" textlink="">
      <xdr:nvSpPr>
        <xdr:cNvPr id="16824" name="Text Box 1">
          <a:extLst>
            <a:ext uri="{FF2B5EF4-FFF2-40B4-BE49-F238E27FC236}">
              <a16:creationId xmlns:a16="http://schemas.microsoft.com/office/drawing/2014/main" id="{3DBDBAF2-C64D-4C5E-931E-6644CEA05AAE}"/>
            </a:ext>
          </a:extLst>
        </xdr:cNvPr>
        <xdr:cNvSpPr txBox="1">
          <a:spLocks noChangeArrowheads="1"/>
        </xdr:cNvSpPr>
      </xdr:nvSpPr>
      <xdr:spPr bwMode="auto">
        <a:xfrm>
          <a:off x="25209500" y="15303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565150</xdr:colOff>
      <xdr:row>48</xdr:row>
      <xdr:rowOff>152400</xdr:rowOff>
    </xdr:from>
    <xdr:ext cx="247650" cy="85725"/>
    <xdr:sp macro="" textlink="">
      <xdr:nvSpPr>
        <xdr:cNvPr id="16825" name="Text Box 1">
          <a:extLst>
            <a:ext uri="{FF2B5EF4-FFF2-40B4-BE49-F238E27FC236}">
              <a16:creationId xmlns:a16="http://schemas.microsoft.com/office/drawing/2014/main" id="{176D5287-D139-4596-8C37-B8439A6EC46A}"/>
            </a:ext>
          </a:extLst>
        </xdr:cNvPr>
        <xdr:cNvSpPr txBox="1">
          <a:spLocks noChangeArrowheads="1"/>
        </xdr:cNvSpPr>
      </xdr:nvSpPr>
      <xdr:spPr bwMode="auto">
        <a:xfrm>
          <a:off x="26441400" y="15303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565150</xdr:colOff>
      <xdr:row>48</xdr:row>
      <xdr:rowOff>152400</xdr:rowOff>
    </xdr:from>
    <xdr:ext cx="247650" cy="85725"/>
    <xdr:sp macro="" textlink="">
      <xdr:nvSpPr>
        <xdr:cNvPr id="16826" name="Text Box 1">
          <a:extLst>
            <a:ext uri="{FF2B5EF4-FFF2-40B4-BE49-F238E27FC236}">
              <a16:creationId xmlns:a16="http://schemas.microsoft.com/office/drawing/2014/main" id="{EE28D538-2C00-4E3D-9C60-5807D4D54AA9}"/>
            </a:ext>
          </a:extLst>
        </xdr:cNvPr>
        <xdr:cNvSpPr txBox="1">
          <a:spLocks noChangeArrowheads="1"/>
        </xdr:cNvSpPr>
      </xdr:nvSpPr>
      <xdr:spPr bwMode="auto">
        <a:xfrm>
          <a:off x="27095450" y="15303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27" name="Text Box 1">
          <a:extLst>
            <a:ext uri="{FF2B5EF4-FFF2-40B4-BE49-F238E27FC236}">
              <a16:creationId xmlns:a16="http://schemas.microsoft.com/office/drawing/2014/main" id="{69C27977-97BA-46F3-8A5E-116E9878AE2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28" name="Text Box 1">
          <a:extLst>
            <a:ext uri="{FF2B5EF4-FFF2-40B4-BE49-F238E27FC236}">
              <a16:creationId xmlns:a16="http://schemas.microsoft.com/office/drawing/2014/main" id="{F7E47A3E-A457-4E32-97C9-FC91963ABAE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29" name="Text Box 1">
          <a:extLst>
            <a:ext uri="{FF2B5EF4-FFF2-40B4-BE49-F238E27FC236}">
              <a16:creationId xmlns:a16="http://schemas.microsoft.com/office/drawing/2014/main" id="{79C027C3-F1D7-41B6-9718-37A1E80DDD3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30" name="Text Box 1">
          <a:extLst>
            <a:ext uri="{FF2B5EF4-FFF2-40B4-BE49-F238E27FC236}">
              <a16:creationId xmlns:a16="http://schemas.microsoft.com/office/drawing/2014/main" id="{7863EEEE-6BB0-4B54-9145-FF9DD2BB999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31" name="Text Box 1">
          <a:extLst>
            <a:ext uri="{FF2B5EF4-FFF2-40B4-BE49-F238E27FC236}">
              <a16:creationId xmlns:a16="http://schemas.microsoft.com/office/drawing/2014/main" id="{53B1B2D0-BE85-478D-89E0-B5492540286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32" name="Text Box 1">
          <a:extLst>
            <a:ext uri="{FF2B5EF4-FFF2-40B4-BE49-F238E27FC236}">
              <a16:creationId xmlns:a16="http://schemas.microsoft.com/office/drawing/2014/main" id="{375A7130-344C-4124-A1D6-F826A422FFB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33" name="Text Box 1">
          <a:extLst>
            <a:ext uri="{FF2B5EF4-FFF2-40B4-BE49-F238E27FC236}">
              <a16:creationId xmlns:a16="http://schemas.microsoft.com/office/drawing/2014/main" id="{0A6A794F-91D0-499A-85BB-6F418964EFF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34" name="Text Box 1">
          <a:extLst>
            <a:ext uri="{FF2B5EF4-FFF2-40B4-BE49-F238E27FC236}">
              <a16:creationId xmlns:a16="http://schemas.microsoft.com/office/drawing/2014/main" id="{9C05A71F-7725-48F4-B6C6-A085473FA05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35" name="Text Box 1">
          <a:extLst>
            <a:ext uri="{FF2B5EF4-FFF2-40B4-BE49-F238E27FC236}">
              <a16:creationId xmlns:a16="http://schemas.microsoft.com/office/drawing/2014/main" id="{38A63AA2-BD4D-4FEF-A670-02851D06254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36" name="Text Box 1">
          <a:extLst>
            <a:ext uri="{FF2B5EF4-FFF2-40B4-BE49-F238E27FC236}">
              <a16:creationId xmlns:a16="http://schemas.microsoft.com/office/drawing/2014/main" id="{ADE07A53-C4C5-4B42-94A7-66CA90C9CBC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37" name="Text Box 1">
          <a:extLst>
            <a:ext uri="{FF2B5EF4-FFF2-40B4-BE49-F238E27FC236}">
              <a16:creationId xmlns:a16="http://schemas.microsoft.com/office/drawing/2014/main" id="{F94E542F-8BCE-481C-A0E6-58C4D0743D8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38" name="Text Box 1">
          <a:extLst>
            <a:ext uri="{FF2B5EF4-FFF2-40B4-BE49-F238E27FC236}">
              <a16:creationId xmlns:a16="http://schemas.microsoft.com/office/drawing/2014/main" id="{7F9FEDAA-78A9-4DCB-8CFF-4126398B4D4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39" name="Text Box 1">
          <a:extLst>
            <a:ext uri="{FF2B5EF4-FFF2-40B4-BE49-F238E27FC236}">
              <a16:creationId xmlns:a16="http://schemas.microsoft.com/office/drawing/2014/main" id="{6BBBA2CE-6208-466C-A50E-1644AE9FF22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40" name="Text Box 1">
          <a:extLst>
            <a:ext uri="{FF2B5EF4-FFF2-40B4-BE49-F238E27FC236}">
              <a16:creationId xmlns:a16="http://schemas.microsoft.com/office/drawing/2014/main" id="{CB8451B1-D92A-4668-9FE2-0F22E5A6D49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41" name="Text Box 1">
          <a:extLst>
            <a:ext uri="{FF2B5EF4-FFF2-40B4-BE49-F238E27FC236}">
              <a16:creationId xmlns:a16="http://schemas.microsoft.com/office/drawing/2014/main" id="{E88C59B1-B801-4167-923F-B51E2882578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42" name="Text Box 1">
          <a:extLst>
            <a:ext uri="{FF2B5EF4-FFF2-40B4-BE49-F238E27FC236}">
              <a16:creationId xmlns:a16="http://schemas.microsoft.com/office/drawing/2014/main" id="{44A272DE-86BB-4540-8588-43784EEE4C9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43" name="Text Box 1">
          <a:extLst>
            <a:ext uri="{FF2B5EF4-FFF2-40B4-BE49-F238E27FC236}">
              <a16:creationId xmlns:a16="http://schemas.microsoft.com/office/drawing/2014/main" id="{A809798B-73CC-4BFD-A0E1-B6599239891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44" name="Text Box 1">
          <a:extLst>
            <a:ext uri="{FF2B5EF4-FFF2-40B4-BE49-F238E27FC236}">
              <a16:creationId xmlns:a16="http://schemas.microsoft.com/office/drawing/2014/main" id="{8ABE30DC-998F-417D-ABA0-2E6102050B8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45" name="Text Box 1">
          <a:extLst>
            <a:ext uri="{FF2B5EF4-FFF2-40B4-BE49-F238E27FC236}">
              <a16:creationId xmlns:a16="http://schemas.microsoft.com/office/drawing/2014/main" id="{7D2CE337-7E83-4F2F-BCAD-F120DF3F9E4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46" name="Text Box 1">
          <a:extLst>
            <a:ext uri="{FF2B5EF4-FFF2-40B4-BE49-F238E27FC236}">
              <a16:creationId xmlns:a16="http://schemas.microsoft.com/office/drawing/2014/main" id="{8F5995F1-0591-4679-A50D-71F591F018E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47" name="Text Box 1">
          <a:extLst>
            <a:ext uri="{FF2B5EF4-FFF2-40B4-BE49-F238E27FC236}">
              <a16:creationId xmlns:a16="http://schemas.microsoft.com/office/drawing/2014/main" id="{7BD668DA-5B91-4756-9887-C092F9DD16A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48" name="Text Box 1">
          <a:extLst>
            <a:ext uri="{FF2B5EF4-FFF2-40B4-BE49-F238E27FC236}">
              <a16:creationId xmlns:a16="http://schemas.microsoft.com/office/drawing/2014/main" id="{1BC7E347-E3CB-4781-9035-B0415B8F03D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49" name="Text Box 1">
          <a:extLst>
            <a:ext uri="{FF2B5EF4-FFF2-40B4-BE49-F238E27FC236}">
              <a16:creationId xmlns:a16="http://schemas.microsoft.com/office/drawing/2014/main" id="{A112DFE5-A180-4C31-B0D4-35EBF9BAFF8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50" name="Text Box 1">
          <a:extLst>
            <a:ext uri="{FF2B5EF4-FFF2-40B4-BE49-F238E27FC236}">
              <a16:creationId xmlns:a16="http://schemas.microsoft.com/office/drawing/2014/main" id="{FB5735A4-92E8-44AD-9780-D6AFE715D69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51" name="Text Box 1">
          <a:extLst>
            <a:ext uri="{FF2B5EF4-FFF2-40B4-BE49-F238E27FC236}">
              <a16:creationId xmlns:a16="http://schemas.microsoft.com/office/drawing/2014/main" id="{99077643-8A5D-4C04-A1DF-1268C552859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52" name="Text Box 1">
          <a:extLst>
            <a:ext uri="{FF2B5EF4-FFF2-40B4-BE49-F238E27FC236}">
              <a16:creationId xmlns:a16="http://schemas.microsoft.com/office/drawing/2014/main" id="{A4CE724A-F3E7-4FA3-BD36-E9AB201D631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53" name="Text Box 1">
          <a:extLst>
            <a:ext uri="{FF2B5EF4-FFF2-40B4-BE49-F238E27FC236}">
              <a16:creationId xmlns:a16="http://schemas.microsoft.com/office/drawing/2014/main" id="{CA095BDC-D7F5-4CB0-A8DA-C4E14D02AD9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54" name="Text Box 1">
          <a:extLst>
            <a:ext uri="{FF2B5EF4-FFF2-40B4-BE49-F238E27FC236}">
              <a16:creationId xmlns:a16="http://schemas.microsoft.com/office/drawing/2014/main" id="{04919B22-0AFD-4A85-9D6B-FD1955C8262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55" name="Text Box 1">
          <a:extLst>
            <a:ext uri="{FF2B5EF4-FFF2-40B4-BE49-F238E27FC236}">
              <a16:creationId xmlns:a16="http://schemas.microsoft.com/office/drawing/2014/main" id="{A0D81C27-C2EF-4824-BF10-0654300717D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56" name="Text Box 1">
          <a:extLst>
            <a:ext uri="{FF2B5EF4-FFF2-40B4-BE49-F238E27FC236}">
              <a16:creationId xmlns:a16="http://schemas.microsoft.com/office/drawing/2014/main" id="{C056E511-EE47-4ACF-8868-F0D6B6FED6D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57" name="Text Box 1">
          <a:extLst>
            <a:ext uri="{FF2B5EF4-FFF2-40B4-BE49-F238E27FC236}">
              <a16:creationId xmlns:a16="http://schemas.microsoft.com/office/drawing/2014/main" id="{2C5BC61E-FF89-4013-A570-BC1EBACE2FC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58" name="Text Box 1">
          <a:extLst>
            <a:ext uri="{FF2B5EF4-FFF2-40B4-BE49-F238E27FC236}">
              <a16:creationId xmlns:a16="http://schemas.microsoft.com/office/drawing/2014/main" id="{6B914517-B33C-4358-B95A-10B6D136FF0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59" name="Text Box 1">
          <a:extLst>
            <a:ext uri="{FF2B5EF4-FFF2-40B4-BE49-F238E27FC236}">
              <a16:creationId xmlns:a16="http://schemas.microsoft.com/office/drawing/2014/main" id="{00EDCB11-F0CC-4166-89F7-9092678C2EE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60" name="Text Box 1">
          <a:extLst>
            <a:ext uri="{FF2B5EF4-FFF2-40B4-BE49-F238E27FC236}">
              <a16:creationId xmlns:a16="http://schemas.microsoft.com/office/drawing/2014/main" id="{B5356B06-369D-4A50-BD8C-27F41B13C68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61" name="Text Box 1">
          <a:extLst>
            <a:ext uri="{FF2B5EF4-FFF2-40B4-BE49-F238E27FC236}">
              <a16:creationId xmlns:a16="http://schemas.microsoft.com/office/drawing/2014/main" id="{4231867E-8431-45EF-B4CE-359FAE55639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62" name="Text Box 1">
          <a:extLst>
            <a:ext uri="{FF2B5EF4-FFF2-40B4-BE49-F238E27FC236}">
              <a16:creationId xmlns:a16="http://schemas.microsoft.com/office/drawing/2014/main" id="{74C31FC7-F5D8-479A-ADC5-3E97B03BC62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63" name="Text Box 1">
          <a:extLst>
            <a:ext uri="{FF2B5EF4-FFF2-40B4-BE49-F238E27FC236}">
              <a16:creationId xmlns:a16="http://schemas.microsoft.com/office/drawing/2014/main" id="{9F23140F-9C50-44C0-BF95-FCB82D74373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64" name="Text Box 1">
          <a:extLst>
            <a:ext uri="{FF2B5EF4-FFF2-40B4-BE49-F238E27FC236}">
              <a16:creationId xmlns:a16="http://schemas.microsoft.com/office/drawing/2014/main" id="{9C545918-6A5F-401B-8E85-36B47A51BDB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65" name="Text Box 1">
          <a:extLst>
            <a:ext uri="{FF2B5EF4-FFF2-40B4-BE49-F238E27FC236}">
              <a16:creationId xmlns:a16="http://schemas.microsoft.com/office/drawing/2014/main" id="{7E4B9258-5B51-48FA-9FBA-C1CFF58B9F2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66" name="Text Box 1">
          <a:extLst>
            <a:ext uri="{FF2B5EF4-FFF2-40B4-BE49-F238E27FC236}">
              <a16:creationId xmlns:a16="http://schemas.microsoft.com/office/drawing/2014/main" id="{675006CB-60AE-47D9-B016-B04167547EB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67" name="Text Box 1">
          <a:extLst>
            <a:ext uri="{FF2B5EF4-FFF2-40B4-BE49-F238E27FC236}">
              <a16:creationId xmlns:a16="http://schemas.microsoft.com/office/drawing/2014/main" id="{457ED35C-61C8-4456-B504-4D1FB34B9F8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68" name="Text Box 1">
          <a:extLst>
            <a:ext uri="{FF2B5EF4-FFF2-40B4-BE49-F238E27FC236}">
              <a16:creationId xmlns:a16="http://schemas.microsoft.com/office/drawing/2014/main" id="{8D911B62-FBBE-43F5-B3C3-1D1DA49FE36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69" name="Text Box 1">
          <a:extLst>
            <a:ext uri="{FF2B5EF4-FFF2-40B4-BE49-F238E27FC236}">
              <a16:creationId xmlns:a16="http://schemas.microsoft.com/office/drawing/2014/main" id="{9E8048C1-CC11-42B8-8C31-3355AEFCA76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70" name="Text Box 1">
          <a:extLst>
            <a:ext uri="{FF2B5EF4-FFF2-40B4-BE49-F238E27FC236}">
              <a16:creationId xmlns:a16="http://schemas.microsoft.com/office/drawing/2014/main" id="{EDD704A6-A849-4607-AE81-00356E60B96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71" name="Text Box 1">
          <a:extLst>
            <a:ext uri="{FF2B5EF4-FFF2-40B4-BE49-F238E27FC236}">
              <a16:creationId xmlns:a16="http://schemas.microsoft.com/office/drawing/2014/main" id="{B2CD406D-BD1D-4E84-86C2-B411F532CD7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72" name="Text Box 1">
          <a:extLst>
            <a:ext uri="{FF2B5EF4-FFF2-40B4-BE49-F238E27FC236}">
              <a16:creationId xmlns:a16="http://schemas.microsoft.com/office/drawing/2014/main" id="{F9D61E82-E19E-42A9-9756-C706150EE06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73" name="Text Box 1">
          <a:extLst>
            <a:ext uri="{FF2B5EF4-FFF2-40B4-BE49-F238E27FC236}">
              <a16:creationId xmlns:a16="http://schemas.microsoft.com/office/drawing/2014/main" id="{2F61ABC3-1A2B-4BB6-A829-411792B9528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74" name="Text Box 1">
          <a:extLst>
            <a:ext uri="{FF2B5EF4-FFF2-40B4-BE49-F238E27FC236}">
              <a16:creationId xmlns:a16="http://schemas.microsoft.com/office/drawing/2014/main" id="{2A1B9888-CC48-46C7-BE65-AE6CB21B2DD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75" name="Text Box 1">
          <a:extLst>
            <a:ext uri="{FF2B5EF4-FFF2-40B4-BE49-F238E27FC236}">
              <a16:creationId xmlns:a16="http://schemas.microsoft.com/office/drawing/2014/main" id="{3EAA8F25-C08D-4863-8028-D995C4D1036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76" name="Text Box 1">
          <a:extLst>
            <a:ext uri="{FF2B5EF4-FFF2-40B4-BE49-F238E27FC236}">
              <a16:creationId xmlns:a16="http://schemas.microsoft.com/office/drawing/2014/main" id="{A6FF7AE9-92DD-4D30-9E36-AB3F840ECE6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77" name="Text Box 1">
          <a:extLst>
            <a:ext uri="{FF2B5EF4-FFF2-40B4-BE49-F238E27FC236}">
              <a16:creationId xmlns:a16="http://schemas.microsoft.com/office/drawing/2014/main" id="{5D04617C-F63D-4248-8F6E-F53764826BA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78" name="Text Box 1">
          <a:extLst>
            <a:ext uri="{FF2B5EF4-FFF2-40B4-BE49-F238E27FC236}">
              <a16:creationId xmlns:a16="http://schemas.microsoft.com/office/drawing/2014/main" id="{B573ADDE-7AFD-466E-A370-3C2D8AC846D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79" name="Text Box 1">
          <a:extLst>
            <a:ext uri="{FF2B5EF4-FFF2-40B4-BE49-F238E27FC236}">
              <a16:creationId xmlns:a16="http://schemas.microsoft.com/office/drawing/2014/main" id="{BAD959B9-0F6D-4B07-BD1E-24D9E829EF0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80" name="Text Box 1">
          <a:extLst>
            <a:ext uri="{FF2B5EF4-FFF2-40B4-BE49-F238E27FC236}">
              <a16:creationId xmlns:a16="http://schemas.microsoft.com/office/drawing/2014/main" id="{5EBDED10-0500-42E5-8DAF-681EC75A05C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81" name="Text Box 1">
          <a:extLst>
            <a:ext uri="{FF2B5EF4-FFF2-40B4-BE49-F238E27FC236}">
              <a16:creationId xmlns:a16="http://schemas.microsoft.com/office/drawing/2014/main" id="{D6691E06-EAF3-4A1E-86E3-3FCE5A2E1DC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82" name="Text Box 1">
          <a:extLst>
            <a:ext uri="{FF2B5EF4-FFF2-40B4-BE49-F238E27FC236}">
              <a16:creationId xmlns:a16="http://schemas.microsoft.com/office/drawing/2014/main" id="{8E7BC6D9-B204-4BDD-B92B-66B3F40C3F2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83" name="Text Box 1">
          <a:extLst>
            <a:ext uri="{FF2B5EF4-FFF2-40B4-BE49-F238E27FC236}">
              <a16:creationId xmlns:a16="http://schemas.microsoft.com/office/drawing/2014/main" id="{69743748-62BA-45DF-A747-4BB81E0E6F0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84" name="Text Box 1">
          <a:extLst>
            <a:ext uri="{FF2B5EF4-FFF2-40B4-BE49-F238E27FC236}">
              <a16:creationId xmlns:a16="http://schemas.microsoft.com/office/drawing/2014/main" id="{CB990C9D-A875-4D5D-9F12-3721CAFEEC6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85" name="Text Box 1">
          <a:extLst>
            <a:ext uri="{FF2B5EF4-FFF2-40B4-BE49-F238E27FC236}">
              <a16:creationId xmlns:a16="http://schemas.microsoft.com/office/drawing/2014/main" id="{0A81CEB5-7735-4575-A5B8-5F55717FC56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86" name="Text Box 1">
          <a:extLst>
            <a:ext uri="{FF2B5EF4-FFF2-40B4-BE49-F238E27FC236}">
              <a16:creationId xmlns:a16="http://schemas.microsoft.com/office/drawing/2014/main" id="{90FAB93C-A138-4D4B-8F5D-DCF60D22B04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87" name="Text Box 1">
          <a:extLst>
            <a:ext uri="{FF2B5EF4-FFF2-40B4-BE49-F238E27FC236}">
              <a16:creationId xmlns:a16="http://schemas.microsoft.com/office/drawing/2014/main" id="{860DC969-EE58-4C69-B5AA-3859E57757A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88" name="Text Box 1">
          <a:extLst>
            <a:ext uri="{FF2B5EF4-FFF2-40B4-BE49-F238E27FC236}">
              <a16:creationId xmlns:a16="http://schemas.microsoft.com/office/drawing/2014/main" id="{CDA65584-043B-44AC-8D04-046D39B72C6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89" name="Text Box 1">
          <a:extLst>
            <a:ext uri="{FF2B5EF4-FFF2-40B4-BE49-F238E27FC236}">
              <a16:creationId xmlns:a16="http://schemas.microsoft.com/office/drawing/2014/main" id="{C0A96055-B354-42B8-A972-9CBE70A8F26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90" name="Text Box 1">
          <a:extLst>
            <a:ext uri="{FF2B5EF4-FFF2-40B4-BE49-F238E27FC236}">
              <a16:creationId xmlns:a16="http://schemas.microsoft.com/office/drawing/2014/main" id="{971DC4C3-2CD8-45E2-9F71-FA251632D48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91" name="Text Box 1">
          <a:extLst>
            <a:ext uri="{FF2B5EF4-FFF2-40B4-BE49-F238E27FC236}">
              <a16:creationId xmlns:a16="http://schemas.microsoft.com/office/drawing/2014/main" id="{C698A9AB-AAD0-437A-8605-9B8F3454987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92" name="Text Box 1">
          <a:extLst>
            <a:ext uri="{FF2B5EF4-FFF2-40B4-BE49-F238E27FC236}">
              <a16:creationId xmlns:a16="http://schemas.microsoft.com/office/drawing/2014/main" id="{4ACDE4CC-306F-4138-8556-2DA34C4FB2C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93" name="Text Box 1">
          <a:extLst>
            <a:ext uri="{FF2B5EF4-FFF2-40B4-BE49-F238E27FC236}">
              <a16:creationId xmlns:a16="http://schemas.microsoft.com/office/drawing/2014/main" id="{3F223592-6946-4328-8CAD-29E84F489A9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94" name="Text Box 1">
          <a:extLst>
            <a:ext uri="{FF2B5EF4-FFF2-40B4-BE49-F238E27FC236}">
              <a16:creationId xmlns:a16="http://schemas.microsoft.com/office/drawing/2014/main" id="{DA428B8F-1580-4986-97FA-C8D1A950B16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95" name="Text Box 1">
          <a:extLst>
            <a:ext uri="{FF2B5EF4-FFF2-40B4-BE49-F238E27FC236}">
              <a16:creationId xmlns:a16="http://schemas.microsoft.com/office/drawing/2014/main" id="{81BBA60B-CFB0-4C0D-855C-A2DD610F21B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96" name="Text Box 1">
          <a:extLst>
            <a:ext uri="{FF2B5EF4-FFF2-40B4-BE49-F238E27FC236}">
              <a16:creationId xmlns:a16="http://schemas.microsoft.com/office/drawing/2014/main" id="{15A345BB-E751-4744-BCD4-1295DEE3000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97" name="Text Box 1">
          <a:extLst>
            <a:ext uri="{FF2B5EF4-FFF2-40B4-BE49-F238E27FC236}">
              <a16:creationId xmlns:a16="http://schemas.microsoft.com/office/drawing/2014/main" id="{9B7614B6-5DC4-4F68-AA94-4FD8365C0E8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98" name="Text Box 1">
          <a:extLst>
            <a:ext uri="{FF2B5EF4-FFF2-40B4-BE49-F238E27FC236}">
              <a16:creationId xmlns:a16="http://schemas.microsoft.com/office/drawing/2014/main" id="{57EBCFEC-4146-4709-A402-1CFE777590F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899" name="Text Box 1">
          <a:extLst>
            <a:ext uri="{FF2B5EF4-FFF2-40B4-BE49-F238E27FC236}">
              <a16:creationId xmlns:a16="http://schemas.microsoft.com/office/drawing/2014/main" id="{4A05776C-18DB-4698-AA86-649AFC9DFEB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00" name="Text Box 1">
          <a:extLst>
            <a:ext uri="{FF2B5EF4-FFF2-40B4-BE49-F238E27FC236}">
              <a16:creationId xmlns:a16="http://schemas.microsoft.com/office/drawing/2014/main" id="{AFBBCA3A-9629-4E3C-9440-C571E68E090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01" name="Text Box 1">
          <a:extLst>
            <a:ext uri="{FF2B5EF4-FFF2-40B4-BE49-F238E27FC236}">
              <a16:creationId xmlns:a16="http://schemas.microsoft.com/office/drawing/2014/main" id="{1F251B03-2858-47E4-ABFD-EA0FD218F7B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02" name="Text Box 1">
          <a:extLst>
            <a:ext uri="{FF2B5EF4-FFF2-40B4-BE49-F238E27FC236}">
              <a16:creationId xmlns:a16="http://schemas.microsoft.com/office/drawing/2014/main" id="{36323E0C-4D00-4233-A7F2-9918BC1CE6F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03" name="Text Box 1">
          <a:extLst>
            <a:ext uri="{FF2B5EF4-FFF2-40B4-BE49-F238E27FC236}">
              <a16:creationId xmlns:a16="http://schemas.microsoft.com/office/drawing/2014/main" id="{439C9559-98AB-4FBF-BECD-9366EF0B9F1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04" name="Text Box 1">
          <a:extLst>
            <a:ext uri="{FF2B5EF4-FFF2-40B4-BE49-F238E27FC236}">
              <a16:creationId xmlns:a16="http://schemas.microsoft.com/office/drawing/2014/main" id="{EEE1CF76-0E74-4F83-88B2-D8E53EA401B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05" name="Text Box 1">
          <a:extLst>
            <a:ext uri="{FF2B5EF4-FFF2-40B4-BE49-F238E27FC236}">
              <a16:creationId xmlns:a16="http://schemas.microsoft.com/office/drawing/2014/main" id="{DFA559E6-5BE8-4E2F-915D-D6BD980009E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06" name="Text Box 1">
          <a:extLst>
            <a:ext uri="{FF2B5EF4-FFF2-40B4-BE49-F238E27FC236}">
              <a16:creationId xmlns:a16="http://schemas.microsoft.com/office/drawing/2014/main" id="{0F865995-051B-4F05-91D1-04A0CD1393E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07" name="Text Box 1">
          <a:extLst>
            <a:ext uri="{FF2B5EF4-FFF2-40B4-BE49-F238E27FC236}">
              <a16:creationId xmlns:a16="http://schemas.microsoft.com/office/drawing/2014/main" id="{878C0D16-FC62-44CE-961F-DE5DFBA330E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08" name="Text Box 1">
          <a:extLst>
            <a:ext uri="{FF2B5EF4-FFF2-40B4-BE49-F238E27FC236}">
              <a16:creationId xmlns:a16="http://schemas.microsoft.com/office/drawing/2014/main" id="{4FE0D1FD-4D89-4862-9496-05342770A70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09" name="Text Box 1">
          <a:extLst>
            <a:ext uri="{FF2B5EF4-FFF2-40B4-BE49-F238E27FC236}">
              <a16:creationId xmlns:a16="http://schemas.microsoft.com/office/drawing/2014/main" id="{892EE7CB-2232-4B2F-9EBE-417165318B7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10" name="Text Box 1">
          <a:extLst>
            <a:ext uri="{FF2B5EF4-FFF2-40B4-BE49-F238E27FC236}">
              <a16:creationId xmlns:a16="http://schemas.microsoft.com/office/drawing/2014/main" id="{08F0E296-B35A-43CE-992A-41B5C277883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11" name="Text Box 1">
          <a:extLst>
            <a:ext uri="{FF2B5EF4-FFF2-40B4-BE49-F238E27FC236}">
              <a16:creationId xmlns:a16="http://schemas.microsoft.com/office/drawing/2014/main" id="{74F5C0AE-3729-497B-AAAA-9EDCDFB7E40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12" name="Text Box 1">
          <a:extLst>
            <a:ext uri="{FF2B5EF4-FFF2-40B4-BE49-F238E27FC236}">
              <a16:creationId xmlns:a16="http://schemas.microsoft.com/office/drawing/2014/main" id="{2CA834CD-DA97-465A-A5D3-9076C252E67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13" name="Text Box 1">
          <a:extLst>
            <a:ext uri="{FF2B5EF4-FFF2-40B4-BE49-F238E27FC236}">
              <a16:creationId xmlns:a16="http://schemas.microsoft.com/office/drawing/2014/main" id="{1C97FCEF-62C3-49A2-A37E-EB946AB1BB0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14" name="Text Box 1">
          <a:extLst>
            <a:ext uri="{FF2B5EF4-FFF2-40B4-BE49-F238E27FC236}">
              <a16:creationId xmlns:a16="http://schemas.microsoft.com/office/drawing/2014/main" id="{2B2160F7-1683-4E1A-B9AA-5988834446D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15" name="Text Box 1">
          <a:extLst>
            <a:ext uri="{FF2B5EF4-FFF2-40B4-BE49-F238E27FC236}">
              <a16:creationId xmlns:a16="http://schemas.microsoft.com/office/drawing/2014/main" id="{C1BB8E4D-42C5-433E-BADB-C57112B2AE2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16" name="Text Box 1">
          <a:extLst>
            <a:ext uri="{FF2B5EF4-FFF2-40B4-BE49-F238E27FC236}">
              <a16:creationId xmlns:a16="http://schemas.microsoft.com/office/drawing/2014/main" id="{D7AFEF7C-5148-4E2B-8E49-47D05BF2FDB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17" name="Text Box 1">
          <a:extLst>
            <a:ext uri="{FF2B5EF4-FFF2-40B4-BE49-F238E27FC236}">
              <a16:creationId xmlns:a16="http://schemas.microsoft.com/office/drawing/2014/main" id="{67E224AA-CF66-4DBF-99D5-9E2F8192A65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18" name="Text Box 1">
          <a:extLst>
            <a:ext uri="{FF2B5EF4-FFF2-40B4-BE49-F238E27FC236}">
              <a16:creationId xmlns:a16="http://schemas.microsoft.com/office/drawing/2014/main" id="{34F07FBC-BAA3-47DD-9CB2-9BF3FAC5CFB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19" name="Text Box 1">
          <a:extLst>
            <a:ext uri="{FF2B5EF4-FFF2-40B4-BE49-F238E27FC236}">
              <a16:creationId xmlns:a16="http://schemas.microsoft.com/office/drawing/2014/main" id="{1649CC12-DE11-4CDE-8EB3-B243A9BA01F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20" name="Text Box 1">
          <a:extLst>
            <a:ext uri="{FF2B5EF4-FFF2-40B4-BE49-F238E27FC236}">
              <a16:creationId xmlns:a16="http://schemas.microsoft.com/office/drawing/2014/main" id="{1778B1F2-7DB7-4BE9-BAEA-26CDE90B399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21" name="Text Box 1">
          <a:extLst>
            <a:ext uri="{FF2B5EF4-FFF2-40B4-BE49-F238E27FC236}">
              <a16:creationId xmlns:a16="http://schemas.microsoft.com/office/drawing/2014/main" id="{4F45623E-9A34-47E3-84DA-F875FC2D9EC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22" name="Text Box 1">
          <a:extLst>
            <a:ext uri="{FF2B5EF4-FFF2-40B4-BE49-F238E27FC236}">
              <a16:creationId xmlns:a16="http://schemas.microsoft.com/office/drawing/2014/main" id="{2709E2F9-7908-418E-B3FD-3564DE978E0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23" name="Text Box 1">
          <a:extLst>
            <a:ext uri="{FF2B5EF4-FFF2-40B4-BE49-F238E27FC236}">
              <a16:creationId xmlns:a16="http://schemas.microsoft.com/office/drawing/2014/main" id="{EBCD1EE0-9837-452E-88AC-540136D7A3D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24" name="Text Box 1">
          <a:extLst>
            <a:ext uri="{FF2B5EF4-FFF2-40B4-BE49-F238E27FC236}">
              <a16:creationId xmlns:a16="http://schemas.microsoft.com/office/drawing/2014/main" id="{574F1AD7-DCCE-4F97-96CA-FC2DB07CCFB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25" name="Text Box 1">
          <a:extLst>
            <a:ext uri="{FF2B5EF4-FFF2-40B4-BE49-F238E27FC236}">
              <a16:creationId xmlns:a16="http://schemas.microsoft.com/office/drawing/2014/main" id="{069BEEC9-E3C6-426B-B7BD-7E6C360F2C1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26" name="Text Box 1">
          <a:extLst>
            <a:ext uri="{FF2B5EF4-FFF2-40B4-BE49-F238E27FC236}">
              <a16:creationId xmlns:a16="http://schemas.microsoft.com/office/drawing/2014/main" id="{E74216CE-8CAB-408B-8D84-3596DB724A7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27" name="Text Box 1">
          <a:extLst>
            <a:ext uri="{FF2B5EF4-FFF2-40B4-BE49-F238E27FC236}">
              <a16:creationId xmlns:a16="http://schemas.microsoft.com/office/drawing/2014/main" id="{82B62BD7-7B44-4731-BE21-51C9CACDF11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28" name="Text Box 1">
          <a:extLst>
            <a:ext uri="{FF2B5EF4-FFF2-40B4-BE49-F238E27FC236}">
              <a16:creationId xmlns:a16="http://schemas.microsoft.com/office/drawing/2014/main" id="{79CFBAFF-1FF4-4E7E-BA38-46B27861E23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29" name="Text Box 1">
          <a:extLst>
            <a:ext uri="{FF2B5EF4-FFF2-40B4-BE49-F238E27FC236}">
              <a16:creationId xmlns:a16="http://schemas.microsoft.com/office/drawing/2014/main" id="{FB3810BB-9832-42AB-A565-99FB969344D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30" name="Text Box 1">
          <a:extLst>
            <a:ext uri="{FF2B5EF4-FFF2-40B4-BE49-F238E27FC236}">
              <a16:creationId xmlns:a16="http://schemas.microsoft.com/office/drawing/2014/main" id="{5CAB5F4E-F1E3-4999-9942-7109AA5EF47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31" name="Text Box 1">
          <a:extLst>
            <a:ext uri="{FF2B5EF4-FFF2-40B4-BE49-F238E27FC236}">
              <a16:creationId xmlns:a16="http://schemas.microsoft.com/office/drawing/2014/main" id="{AD0444F3-B637-4333-9ED5-CCEB73AD698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32" name="Text Box 1">
          <a:extLst>
            <a:ext uri="{FF2B5EF4-FFF2-40B4-BE49-F238E27FC236}">
              <a16:creationId xmlns:a16="http://schemas.microsoft.com/office/drawing/2014/main" id="{919B2DD0-DC47-4861-85DD-E1E00BF1009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33" name="Text Box 1">
          <a:extLst>
            <a:ext uri="{FF2B5EF4-FFF2-40B4-BE49-F238E27FC236}">
              <a16:creationId xmlns:a16="http://schemas.microsoft.com/office/drawing/2014/main" id="{3CE0E03E-3ED1-4220-8CC3-991B716E8DB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34" name="Text Box 1">
          <a:extLst>
            <a:ext uri="{FF2B5EF4-FFF2-40B4-BE49-F238E27FC236}">
              <a16:creationId xmlns:a16="http://schemas.microsoft.com/office/drawing/2014/main" id="{89E4EBE8-EE97-452F-9C92-EC5B1C5860B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35" name="Text Box 1">
          <a:extLst>
            <a:ext uri="{FF2B5EF4-FFF2-40B4-BE49-F238E27FC236}">
              <a16:creationId xmlns:a16="http://schemas.microsoft.com/office/drawing/2014/main" id="{23C5517C-5020-4BDF-8422-B910ED23995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36" name="Text Box 1">
          <a:extLst>
            <a:ext uri="{FF2B5EF4-FFF2-40B4-BE49-F238E27FC236}">
              <a16:creationId xmlns:a16="http://schemas.microsoft.com/office/drawing/2014/main" id="{4A8D9F5B-5F7B-484D-82A7-85B2CCF7C07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37" name="Text Box 1">
          <a:extLst>
            <a:ext uri="{FF2B5EF4-FFF2-40B4-BE49-F238E27FC236}">
              <a16:creationId xmlns:a16="http://schemas.microsoft.com/office/drawing/2014/main" id="{2B56974C-1FDC-4A35-B979-59B0D83C51D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38" name="Text Box 1">
          <a:extLst>
            <a:ext uri="{FF2B5EF4-FFF2-40B4-BE49-F238E27FC236}">
              <a16:creationId xmlns:a16="http://schemas.microsoft.com/office/drawing/2014/main" id="{7F5BB0FE-C56B-46B8-96E8-500ED5D9EF2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39" name="Text Box 1">
          <a:extLst>
            <a:ext uri="{FF2B5EF4-FFF2-40B4-BE49-F238E27FC236}">
              <a16:creationId xmlns:a16="http://schemas.microsoft.com/office/drawing/2014/main" id="{57AEC407-64F2-478E-8E1A-716DA11320F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40" name="Text Box 1">
          <a:extLst>
            <a:ext uri="{FF2B5EF4-FFF2-40B4-BE49-F238E27FC236}">
              <a16:creationId xmlns:a16="http://schemas.microsoft.com/office/drawing/2014/main" id="{31599636-B178-41D3-972F-5B4AF711491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41" name="Text Box 1">
          <a:extLst>
            <a:ext uri="{FF2B5EF4-FFF2-40B4-BE49-F238E27FC236}">
              <a16:creationId xmlns:a16="http://schemas.microsoft.com/office/drawing/2014/main" id="{6033E616-BFD1-42E7-A613-232B459078A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42" name="Text Box 1">
          <a:extLst>
            <a:ext uri="{FF2B5EF4-FFF2-40B4-BE49-F238E27FC236}">
              <a16:creationId xmlns:a16="http://schemas.microsoft.com/office/drawing/2014/main" id="{43780D55-9DE5-4C45-98F2-6DB88352524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43" name="Text Box 1">
          <a:extLst>
            <a:ext uri="{FF2B5EF4-FFF2-40B4-BE49-F238E27FC236}">
              <a16:creationId xmlns:a16="http://schemas.microsoft.com/office/drawing/2014/main" id="{6AF1B53A-1653-41AC-BB99-9DA81668655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44" name="Text Box 1">
          <a:extLst>
            <a:ext uri="{FF2B5EF4-FFF2-40B4-BE49-F238E27FC236}">
              <a16:creationId xmlns:a16="http://schemas.microsoft.com/office/drawing/2014/main" id="{B53B10A6-CAFD-41B1-9578-CC4381870FB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45" name="Text Box 1">
          <a:extLst>
            <a:ext uri="{FF2B5EF4-FFF2-40B4-BE49-F238E27FC236}">
              <a16:creationId xmlns:a16="http://schemas.microsoft.com/office/drawing/2014/main" id="{C8E503B2-E854-4DF5-A5F1-4F7468CACEF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46" name="Text Box 1">
          <a:extLst>
            <a:ext uri="{FF2B5EF4-FFF2-40B4-BE49-F238E27FC236}">
              <a16:creationId xmlns:a16="http://schemas.microsoft.com/office/drawing/2014/main" id="{87AFDFAF-D716-4F97-ADE6-B13D8B8F6BC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47" name="Text Box 1">
          <a:extLst>
            <a:ext uri="{FF2B5EF4-FFF2-40B4-BE49-F238E27FC236}">
              <a16:creationId xmlns:a16="http://schemas.microsoft.com/office/drawing/2014/main" id="{D60DD36B-6512-49B2-AA5D-D64F95601E7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48" name="Text Box 1">
          <a:extLst>
            <a:ext uri="{FF2B5EF4-FFF2-40B4-BE49-F238E27FC236}">
              <a16:creationId xmlns:a16="http://schemas.microsoft.com/office/drawing/2014/main" id="{B295C1B9-9924-4855-AE8B-6EF55B96A79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49" name="Text Box 1">
          <a:extLst>
            <a:ext uri="{FF2B5EF4-FFF2-40B4-BE49-F238E27FC236}">
              <a16:creationId xmlns:a16="http://schemas.microsoft.com/office/drawing/2014/main" id="{5E326B20-7BDB-4C90-B42C-95074A72964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50" name="Text Box 1">
          <a:extLst>
            <a:ext uri="{FF2B5EF4-FFF2-40B4-BE49-F238E27FC236}">
              <a16:creationId xmlns:a16="http://schemas.microsoft.com/office/drawing/2014/main" id="{C9FEC3F3-E122-4A1E-A878-845A920E49D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51" name="Text Box 1">
          <a:extLst>
            <a:ext uri="{FF2B5EF4-FFF2-40B4-BE49-F238E27FC236}">
              <a16:creationId xmlns:a16="http://schemas.microsoft.com/office/drawing/2014/main" id="{F05117A8-4978-436B-8736-41DB2309B5D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52" name="Text Box 1">
          <a:extLst>
            <a:ext uri="{FF2B5EF4-FFF2-40B4-BE49-F238E27FC236}">
              <a16:creationId xmlns:a16="http://schemas.microsoft.com/office/drawing/2014/main" id="{F16C6019-D442-4E82-BAC3-84AD659FE49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53" name="Text Box 1">
          <a:extLst>
            <a:ext uri="{FF2B5EF4-FFF2-40B4-BE49-F238E27FC236}">
              <a16:creationId xmlns:a16="http://schemas.microsoft.com/office/drawing/2014/main" id="{18AFDD26-5916-46C8-AC8D-37EA6F6CBB1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54" name="Text Box 1">
          <a:extLst>
            <a:ext uri="{FF2B5EF4-FFF2-40B4-BE49-F238E27FC236}">
              <a16:creationId xmlns:a16="http://schemas.microsoft.com/office/drawing/2014/main" id="{9D7FFF39-32B8-4CF5-841E-7A871D3CCD9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55" name="Text Box 1">
          <a:extLst>
            <a:ext uri="{FF2B5EF4-FFF2-40B4-BE49-F238E27FC236}">
              <a16:creationId xmlns:a16="http://schemas.microsoft.com/office/drawing/2014/main" id="{6F7135D7-0D0C-4818-B61C-5CC0BD46172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56" name="Text Box 1">
          <a:extLst>
            <a:ext uri="{FF2B5EF4-FFF2-40B4-BE49-F238E27FC236}">
              <a16:creationId xmlns:a16="http://schemas.microsoft.com/office/drawing/2014/main" id="{38DA5309-B8C4-4C81-BB8B-70EA8DA3F08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57" name="Text Box 1">
          <a:extLst>
            <a:ext uri="{FF2B5EF4-FFF2-40B4-BE49-F238E27FC236}">
              <a16:creationId xmlns:a16="http://schemas.microsoft.com/office/drawing/2014/main" id="{FBE2678C-8CF9-4442-A03C-54F4326AC8D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58" name="Text Box 1">
          <a:extLst>
            <a:ext uri="{FF2B5EF4-FFF2-40B4-BE49-F238E27FC236}">
              <a16:creationId xmlns:a16="http://schemas.microsoft.com/office/drawing/2014/main" id="{A856C552-08A3-4E1D-BCBB-A6733E762E4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59" name="Text Box 1">
          <a:extLst>
            <a:ext uri="{FF2B5EF4-FFF2-40B4-BE49-F238E27FC236}">
              <a16:creationId xmlns:a16="http://schemas.microsoft.com/office/drawing/2014/main" id="{DE730AF0-6879-4328-822D-932DCA6FBA7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60" name="Text Box 1">
          <a:extLst>
            <a:ext uri="{FF2B5EF4-FFF2-40B4-BE49-F238E27FC236}">
              <a16:creationId xmlns:a16="http://schemas.microsoft.com/office/drawing/2014/main" id="{761BF463-DB6A-4316-8E74-7A16569EF52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61" name="Text Box 1">
          <a:extLst>
            <a:ext uri="{FF2B5EF4-FFF2-40B4-BE49-F238E27FC236}">
              <a16:creationId xmlns:a16="http://schemas.microsoft.com/office/drawing/2014/main" id="{25EB48E8-A099-461E-86E8-298D47A056C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62" name="Text Box 1">
          <a:extLst>
            <a:ext uri="{FF2B5EF4-FFF2-40B4-BE49-F238E27FC236}">
              <a16:creationId xmlns:a16="http://schemas.microsoft.com/office/drawing/2014/main" id="{48E8CB01-581D-4A63-8C44-EEDD008ACF9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63" name="Text Box 1">
          <a:extLst>
            <a:ext uri="{FF2B5EF4-FFF2-40B4-BE49-F238E27FC236}">
              <a16:creationId xmlns:a16="http://schemas.microsoft.com/office/drawing/2014/main" id="{983C4B16-396F-4D33-8517-F4B0081C3EB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64" name="Text Box 1">
          <a:extLst>
            <a:ext uri="{FF2B5EF4-FFF2-40B4-BE49-F238E27FC236}">
              <a16:creationId xmlns:a16="http://schemas.microsoft.com/office/drawing/2014/main" id="{8CD0E9FA-E2F7-4C38-A4DD-50B9DB8289A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65" name="Text Box 1">
          <a:extLst>
            <a:ext uri="{FF2B5EF4-FFF2-40B4-BE49-F238E27FC236}">
              <a16:creationId xmlns:a16="http://schemas.microsoft.com/office/drawing/2014/main" id="{3C2D498E-CC86-4D8C-BDD2-64DF5D3C4F7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66" name="Text Box 1">
          <a:extLst>
            <a:ext uri="{FF2B5EF4-FFF2-40B4-BE49-F238E27FC236}">
              <a16:creationId xmlns:a16="http://schemas.microsoft.com/office/drawing/2014/main" id="{CD5A7A60-40C4-4C18-A85A-4E4CB79FA53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67" name="Text Box 1">
          <a:extLst>
            <a:ext uri="{FF2B5EF4-FFF2-40B4-BE49-F238E27FC236}">
              <a16:creationId xmlns:a16="http://schemas.microsoft.com/office/drawing/2014/main" id="{DCE3CFE8-B163-4197-99B0-9B3C558A414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68" name="Text Box 1">
          <a:extLst>
            <a:ext uri="{FF2B5EF4-FFF2-40B4-BE49-F238E27FC236}">
              <a16:creationId xmlns:a16="http://schemas.microsoft.com/office/drawing/2014/main" id="{F517EA11-7D19-416A-80E2-F6A7294668D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69" name="Text Box 1">
          <a:extLst>
            <a:ext uri="{FF2B5EF4-FFF2-40B4-BE49-F238E27FC236}">
              <a16:creationId xmlns:a16="http://schemas.microsoft.com/office/drawing/2014/main" id="{F8831C4B-A030-4443-BCDB-2A3C09E0EC8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70" name="Text Box 1">
          <a:extLst>
            <a:ext uri="{FF2B5EF4-FFF2-40B4-BE49-F238E27FC236}">
              <a16:creationId xmlns:a16="http://schemas.microsoft.com/office/drawing/2014/main" id="{CB790A26-2E11-4A5E-9044-BB9328ADEF4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71" name="Text Box 1">
          <a:extLst>
            <a:ext uri="{FF2B5EF4-FFF2-40B4-BE49-F238E27FC236}">
              <a16:creationId xmlns:a16="http://schemas.microsoft.com/office/drawing/2014/main" id="{530CEECF-D8A8-474A-B43E-CBB9B79E838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72" name="Text Box 1">
          <a:extLst>
            <a:ext uri="{FF2B5EF4-FFF2-40B4-BE49-F238E27FC236}">
              <a16:creationId xmlns:a16="http://schemas.microsoft.com/office/drawing/2014/main" id="{98EBF56C-0D69-4194-92A0-9CD1A7DDD80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73" name="Text Box 1">
          <a:extLst>
            <a:ext uri="{FF2B5EF4-FFF2-40B4-BE49-F238E27FC236}">
              <a16:creationId xmlns:a16="http://schemas.microsoft.com/office/drawing/2014/main" id="{9328ACA1-F498-4EA4-BB55-D813E7392BC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74" name="Text Box 1">
          <a:extLst>
            <a:ext uri="{FF2B5EF4-FFF2-40B4-BE49-F238E27FC236}">
              <a16:creationId xmlns:a16="http://schemas.microsoft.com/office/drawing/2014/main" id="{EC509B67-73C4-4C6D-823C-803D12EBB7C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75" name="Text Box 1">
          <a:extLst>
            <a:ext uri="{FF2B5EF4-FFF2-40B4-BE49-F238E27FC236}">
              <a16:creationId xmlns:a16="http://schemas.microsoft.com/office/drawing/2014/main" id="{091EA1C1-8409-460F-B225-C55C3A349AB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76" name="Text Box 1">
          <a:extLst>
            <a:ext uri="{FF2B5EF4-FFF2-40B4-BE49-F238E27FC236}">
              <a16:creationId xmlns:a16="http://schemas.microsoft.com/office/drawing/2014/main" id="{8DADF632-DD1B-4E48-9992-E59824E1E82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77" name="Text Box 1">
          <a:extLst>
            <a:ext uri="{FF2B5EF4-FFF2-40B4-BE49-F238E27FC236}">
              <a16:creationId xmlns:a16="http://schemas.microsoft.com/office/drawing/2014/main" id="{31287D39-0665-4749-964D-C0C06DA0A13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78" name="Text Box 1">
          <a:extLst>
            <a:ext uri="{FF2B5EF4-FFF2-40B4-BE49-F238E27FC236}">
              <a16:creationId xmlns:a16="http://schemas.microsoft.com/office/drawing/2014/main" id="{A00D0273-A35A-4941-AB8A-EA5B0686F51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79" name="Text Box 1">
          <a:extLst>
            <a:ext uri="{FF2B5EF4-FFF2-40B4-BE49-F238E27FC236}">
              <a16:creationId xmlns:a16="http://schemas.microsoft.com/office/drawing/2014/main" id="{F8A643AD-B369-4919-8DA7-8ED183DE1F3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80" name="Text Box 1">
          <a:extLst>
            <a:ext uri="{FF2B5EF4-FFF2-40B4-BE49-F238E27FC236}">
              <a16:creationId xmlns:a16="http://schemas.microsoft.com/office/drawing/2014/main" id="{A1E65802-AD35-447A-B38D-61D2D84D611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81" name="Text Box 1">
          <a:extLst>
            <a:ext uri="{FF2B5EF4-FFF2-40B4-BE49-F238E27FC236}">
              <a16:creationId xmlns:a16="http://schemas.microsoft.com/office/drawing/2014/main" id="{6D27B1F0-E462-436C-B22F-CC6A0335F4A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82" name="Text Box 1">
          <a:extLst>
            <a:ext uri="{FF2B5EF4-FFF2-40B4-BE49-F238E27FC236}">
              <a16:creationId xmlns:a16="http://schemas.microsoft.com/office/drawing/2014/main" id="{6FF5A459-D79A-4116-B812-16AFB2A0761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83" name="Text Box 1">
          <a:extLst>
            <a:ext uri="{FF2B5EF4-FFF2-40B4-BE49-F238E27FC236}">
              <a16:creationId xmlns:a16="http://schemas.microsoft.com/office/drawing/2014/main" id="{96571523-E31E-40B4-93C4-4A84D1876D2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84" name="Text Box 1">
          <a:extLst>
            <a:ext uri="{FF2B5EF4-FFF2-40B4-BE49-F238E27FC236}">
              <a16:creationId xmlns:a16="http://schemas.microsoft.com/office/drawing/2014/main" id="{5E702B51-3508-4BE5-AF0B-E7C1A98F9DA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85" name="Text Box 1">
          <a:extLst>
            <a:ext uri="{FF2B5EF4-FFF2-40B4-BE49-F238E27FC236}">
              <a16:creationId xmlns:a16="http://schemas.microsoft.com/office/drawing/2014/main" id="{3A461CBC-63D5-47A5-8679-41104A7D41B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86" name="Text Box 1">
          <a:extLst>
            <a:ext uri="{FF2B5EF4-FFF2-40B4-BE49-F238E27FC236}">
              <a16:creationId xmlns:a16="http://schemas.microsoft.com/office/drawing/2014/main" id="{7C6D04F8-87D4-4607-AE95-D6590123A89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87" name="Text Box 1">
          <a:extLst>
            <a:ext uri="{FF2B5EF4-FFF2-40B4-BE49-F238E27FC236}">
              <a16:creationId xmlns:a16="http://schemas.microsoft.com/office/drawing/2014/main" id="{B1527BDE-AC2E-4207-89AC-38EB367F5EE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88" name="Text Box 1">
          <a:extLst>
            <a:ext uri="{FF2B5EF4-FFF2-40B4-BE49-F238E27FC236}">
              <a16:creationId xmlns:a16="http://schemas.microsoft.com/office/drawing/2014/main" id="{2642FFE7-712E-4F9C-B30B-BE4BF603A8B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89" name="Text Box 1">
          <a:extLst>
            <a:ext uri="{FF2B5EF4-FFF2-40B4-BE49-F238E27FC236}">
              <a16:creationId xmlns:a16="http://schemas.microsoft.com/office/drawing/2014/main" id="{A3A53A3D-F097-43E3-89DF-EAC410BCDA4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90" name="Text Box 1">
          <a:extLst>
            <a:ext uri="{FF2B5EF4-FFF2-40B4-BE49-F238E27FC236}">
              <a16:creationId xmlns:a16="http://schemas.microsoft.com/office/drawing/2014/main" id="{3B27D41B-84A7-4CE4-A6F7-D7D221A165B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91" name="Text Box 1">
          <a:extLst>
            <a:ext uri="{FF2B5EF4-FFF2-40B4-BE49-F238E27FC236}">
              <a16:creationId xmlns:a16="http://schemas.microsoft.com/office/drawing/2014/main" id="{FD4EB01E-2005-41E4-9D03-BF739EEBE62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92" name="Text Box 1">
          <a:extLst>
            <a:ext uri="{FF2B5EF4-FFF2-40B4-BE49-F238E27FC236}">
              <a16:creationId xmlns:a16="http://schemas.microsoft.com/office/drawing/2014/main" id="{30E996CB-794C-462A-ADEA-052B8FF1B69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93" name="Text Box 1">
          <a:extLst>
            <a:ext uri="{FF2B5EF4-FFF2-40B4-BE49-F238E27FC236}">
              <a16:creationId xmlns:a16="http://schemas.microsoft.com/office/drawing/2014/main" id="{DF230336-6411-4709-8CAD-4944216247C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94" name="Text Box 1">
          <a:extLst>
            <a:ext uri="{FF2B5EF4-FFF2-40B4-BE49-F238E27FC236}">
              <a16:creationId xmlns:a16="http://schemas.microsoft.com/office/drawing/2014/main" id="{098833AC-B04F-427F-BC19-46973817A99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95" name="Text Box 1">
          <a:extLst>
            <a:ext uri="{FF2B5EF4-FFF2-40B4-BE49-F238E27FC236}">
              <a16:creationId xmlns:a16="http://schemas.microsoft.com/office/drawing/2014/main" id="{E11F0448-1AB2-4EB1-AAEA-0A3F1215953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96" name="Text Box 1">
          <a:extLst>
            <a:ext uri="{FF2B5EF4-FFF2-40B4-BE49-F238E27FC236}">
              <a16:creationId xmlns:a16="http://schemas.microsoft.com/office/drawing/2014/main" id="{36730351-79A3-4B56-8B89-AE9D2C48FB3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97" name="Text Box 1">
          <a:extLst>
            <a:ext uri="{FF2B5EF4-FFF2-40B4-BE49-F238E27FC236}">
              <a16:creationId xmlns:a16="http://schemas.microsoft.com/office/drawing/2014/main" id="{459ED5B9-C1BC-4E3B-A3CA-06D6C4CFB3F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98" name="Text Box 1">
          <a:extLst>
            <a:ext uri="{FF2B5EF4-FFF2-40B4-BE49-F238E27FC236}">
              <a16:creationId xmlns:a16="http://schemas.microsoft.com/office/drawing/2014/main" id="{5E0D7315-45D7-43E6-9400-62FEA07805B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6999" name="Text Box 1">
          <a:extLst>
            <a:ext uri="{FF2B5EF4-FFF2-40B4-BE49-F238E27FC236}">
              <a16:creationId xmlns:a16="http://schemas.microsoft.com/office/drawing/2014/main" id="{4BABB1CF-A673-44F2-9A3A-B326A9FD225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00" name="Text Box 1">
          <a:extLst>
            <a:ext uri="{FF2B5EF4-FFF2-40B4-BE49-F238E27FC236}">
              <a16:creationId xmlns:a16="http://schemas.microsoft.com/office/drawing/2014/main" id="{9C813FC8-14F0-41DB-9DB7-2E21F39FC95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01" name="Text Box 1">
          <a:extLst>
            <a:ext uri="{FF2B5EF4-FFF2-40B4-BE49-F238E27FC236}">
              <a16:creationId xmlns:a16="http://schemas.microsoft.com/office/drawing/2014/main" id="{3A40CCAE-A3A5-4D67-B5E7-F23E522A62D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02" name="Text Box 1">
          <a:extLst>
            <a:ext uri="{FF2B5EF4-FFF2-40B4-BE49-F238E27FC236}">
              <a16:creationId xmlns:a16="http://schemas.microsoft.com/office/drawing/2014/main" id="{7CAD669A-11AD-4D29-AE02-7B446394281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03" name="Text Box 1">
          <a:extLst>
            <a:ext uri="{FF2B5EF4-FFF2-40B4-BE49-F238E27FC236}">
              <a16:creationId xmlns:a16="http://schemas.microsoft.com/office/drawing/2014/main" id="{4CF1E8F8-65FB-403A-BC1B-336A983907D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04" name="Text Box 1">
          <a:extLst>
            <a:ext uri="{FF2B5EF4-FFF2-40B4-BE49-F238E27FC236}">
              <a16:creationId xmlns:a16="http://schemas.microsoft.com/office/drawing/2014/main" id="{7B05C293-9831-4B99-B492-B51C02D1A30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05" name="Text Box 1">
          <a:extLst>
            <a:ext uri="{FF2B5EF4-FFF2-40B4-BE49-F238E27FC236}">
              <a16:creationId xmlns:a16="http://schemas.microsoft.com/office/drawing/2014/main" id="{0970E1F3-6389-425E-A622-429C91DCC3F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06" name="Text Box 1">
          <a:extLst>
            <a:ext uri="{FF2B5EF4-FFF2-40B4-BE49-F238E27FC236}">
              <a16:creationId xmlns:a16="http://schemas.microsoft.com/office/drawing/2014/main" id="{591DF3CC-F5AC-4CB3-80BA-02409438660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07" name="Text Box 1">
          <a:extLst>
            <a:ext uri="{FF2B5EF4-FFF2-40B4-BE49-F238E27FC236}">
              <a16:creationId xmlns:a16="http://schemas.microsoft.com/office/drawing/2014/main" id="{C4D1F80D-C8CF-4788-AE2E-B9B3AF5D8C8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08" name="Text Box 1">
          <a:extLst>
            <a:ext uri="{FF2B5EF4-FFF2-40B4-BE49-F238E27FC236}">
              <a16:creationId xmlns:a16="http://schemas.microsoft.com/office/drawing/2014/main" id="{3619D16E-6654-4AD2-A241-10690E0CC3D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09" name="Text Box 1">
          <a:extLst>
            <a:ext uri="{FF2B5EF4-FFF2-40B4-BE49-F238E27FC236}">
              <a16:creationId xmlns:a16="http://schemas.microsoft.com/office/drawing/2014/main" id="{4A16B992-9CCA-4D54-9BB1-8601ED99C47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10" name="Text Box 1">
          <a:extLst>
            <a:ext uri="{FF2B5EF4-FFF2-40B4-BE49-F238E27FC236}">
              <a16:creationId xmlns:a16="http://schemas.microsoft.com/office/drawing/2014/main" id="{27133841-396F-42F1-AF5E-32466823C15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11" name="Text Box 1">
          <a:extLst>
            <a:ext uri="{FF2B5EF4-FFF2-40B4-BE49-F238E27FC236}">
              <a16:creationId xmlns:a16="http://schemas.microsoft.com/office/drawing/2014/main" id="{43CD2A0B-D4F8-422F-BE66-347F3F02770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12" name="Text Box 1">
          <a:extLst>
            <a:ext uri="{FF2B5EF4-FFF2-40B4-BE49-F238E27FC236}">
              <a16:creationId xmlns:a16="http://schemas.microsoft.com/office/drawing/2014/main" id="{4559A84A-2817-46AE-A92D-6E69FD65EA4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13" name="Text Box 1">
          <a:extLst>
            <a:ext uri="{FF2B5EF4-FFF2-40B4-BE49-F238E27FC236}">
              <a16:creationId xmlns:a16="http://schemas.microsoft.com/office/drawing/2014/main" id="{5AFB304C-6ADD-45B1-A8B9-D8CC0A961B7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14" name="Text Box 1">
          <a:extLst>
            <a:ext uri="{FF2B5EF4-FFF2-40B4-BE49-F238E27FC236}">
              <a16:creationId xmlns:a16="http://schemas.microsoft.com/office/drawing/2014/main" id="{117454AD-4752-402C-B3D5-4C42AB0A9E7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15" name="Text Box 1">
          <a:extLst>
            <a:ext uri="{FF2B5EF4-FFF2-40B4-BE49-F238E27FC236}">
              <a16:creationId xmlns:a16="http://schemas.microsoft.com/office/drawing/2014/main" id="{D82362AF-91C8-4CC2-8965-F8D1661BE1C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16" name="Text Box 1">
          <a:extLst>
            <a:ext uri="{FF2B5EF4-FFF2-40B4-BE49-F238E27FC236}">
              <a16:creationId xmlns:a16="http://schemas.microsoft.com/office/drawing/2014/main" id="{A3706047-B3BC-4362-843D-03595C29830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17" name="Text Box 1">
          <a:extLst>
            <a:ext uri="{FF2B5EF4-FFF2-40B4-BE49-F238E27FC236}">
              <a16:creationId xmlns:a16="http://schemas.microsoft.com/office/drawing/2014/main" id="{E1EE8047-D09A-4AC5-9319-64B8BCFB5E7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18" name="Text Box 1">
          <a:extLst>
            <a:ext uri="{FF2B5EF4-FFF2-40B4-BE49-F238E27FC236}">
              <a16:creationId xmlns:a16="http://schemas.microsoft.com/office/drawing/2014/main" id="{F8E623FD-3A05-4D64-A4B5-5951F2EC444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19" name="Text Box 1">
          <a:extLst>
            <a:ext uri="{FF2B5EF4-FFF2-40B4-BE49-F238E27FC236}">
              <a16:creationId xmlns:a16="http://schemas.microsoft.com/office/drawing/2014/main" id="{28C23875-6FED-4926-8712-9BA367C5AAF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20" name="Text Box 1">
          <a:extLst>
            <a:ext uri="{FF2B5EF4-FFF2-40B4-BE49-F238E27FC236}">
              <a16:creationId xmlns:a16="http://schemas.microsoft.com/office/drawing/2014/main" id="{3AF42139-2E2A-4DD7-A170-535146B1D96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21" name="Text Box 1">
          <a:extLst>
            <a:ext uri="{FF2B5EF4-FFF2-40B4-BE49-F238E27FC236}">
              <a16:creationId xmlns:a16="http://schemas.microsoft.com/office/drawing/2014/main" id="{C31109C6-0D00-468B-A4B7-B18CA06E2FF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22" name="Text Box 1">
          <a:extLst>
            <a:ext uri="{FF2B5EF4-FFF2-40B4-BE49-F238E27FC236}">
              <a16:creationId xmlns:a16="http://schemas.microsoft.com/office/drawing/2014/main" id="{606E7F70-8094-4E52-9A68-0D1C9759538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23" name="Text Box 1">
          <a:extLst>
            <a:ext uri="{FF2B5EF4-FFF2-40B4-BE49-F238E27FC236}">
              <a16:creationId xmlns:a16="http://schemas.microsoft.com/office/drawing/2014/main" id="{C7463619-1F3F-4375-8CF4-B61D8EB8525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24" name="Text Box 1">
          <a:extLst>
            <a:ext uri="{FF2B5EF4-FFF2-40B4-BE49-F238E27FC236}">
              <a16:creationId xmlns:a16="http://schemas.microsoft.com/office/drawing/2014/main" id="{09169F9D-0D20-4B68-B5EE-BB0139E2897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25" name="Text Box 1">
          <a:extLst>
            <a:ext uri="{FF2B5EF4-FFF2-40B4-BE49-F238E27FC236}">
              <a16:creationId xmlns:a16="http://schemas.microsoft.com/office/drawing/2014/main" id="{4BB73CCD-1ECE-4D53-A706-E832E5496F0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26" name="Text Box 1">
          <a:extLst>
            <a:ext uri="{FF2B5EF4-FFF2-40B4-BE49-F238E27FC236}">
              <a16:creationId xmlns:a16="http://schemas.microsoft.com/office/drawing/2014/main" id="{84AA6C19-8237-45A9-A678-A9A2D15B8D9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27" name="Text Box 1">
          <a:extLst>
            <a:ext uri="{FF2B5EF4-FFF2-40B4-BE49-F238E27FC236}">
              <a16:creationId xmlns:a16="http://schemas.microsoft.com/office/drawing/2014/main" id="{7870BA09-6FC6-4864-B058-887B49DE862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28" name="Text Box 1">
          <a:extLst>
            <a:ext uri="{FF2B5EF4-FFF2-40B4-BE49-F238E27FC236}">
              <a16:creationId xmlns:a16="http://schemas.microsoft.com/office/drawing/2014/main" id="{87083DA2-7F47-4145-941E-F49BBC75C5E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29" name="Text Box 1">
          <a:extLst>
            <a:ext uri="{FF2B5EF4-FFF2-40B4-BE49-F238E27FC236}">
              <a16:creationId xmlns:a16="http://schemas.microsoft.com/office/drawing/2014/main" id="{53EB48FB-C171-43FF-AA75-810C545F9D8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30" name="Text Box 1">
          <a:extLst>
            <a:ext uri="{FF2B5EF4-FFF2-40B4-BE49-F238E27FC236}">
              <a16:creationId xmlns:a16="http://schemas.microsoft.com/office/drawing/2014/main" id="{9E43B8F9-B8F9-4B57-8B28-0673F783B90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31" name="Text Box 1">
          <a:extLst>
            <a:ext uri="{FF2B5EF4-FFF2-40B4-BE49-F238E27FC236}">
              <a16:creationId xmlns:a16="http://schemas.microsoft.com/office/drawing/2014/main" id="{4440D24E-238D-4542-996E-B844A67693D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32" name="Text Box 1">
          <a:extLst>
            <a:ext uri="{FF2B5EF4-FFF2-40B4-BE49-F238E27FC236}">
              <a16:creationId xmlns:a16="http://schemas.microsoft.com/office/drawing/2014/main" id="{1E0C3742-2882-4285-BC23-38936B34BEF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33" name="Text Box 1">
          <a:extLst>
            <a:ext uri="{FF2B5EF4-FFF2-40B4-BE49-F238E27FC236}">
              <a16:creationId xmlns:a16="http://schemas.microsoft.com/office/drawing/2014/main" id="{CDB6BA5E-1640-4C5A-BB65-47E9F1C9DB3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34" name="Text Box 1">
          <a:extLst>
            <a:ext uri="{FF2B5EF4-FFF2-40B4-BE49-F238E27FC236}">
              <a16:creationId xmlns:a16="http://schemas.microsoft.com/office/drawing/2014/main" id="{62F31219-4EB3-4A0B-BDAC-6ED038B7588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35" name="Text Box 1">
          <a:extLst>
            <a:ext uri="{FF2B5EF4-FFF2-40B4-BE49-F238E27FC236}">
              <a16:creationId xmlns:a16="http://schemas.microsoft.com/office/drawing/2014/main" id="{151928E7-6401-4253-8B64-E058A7B21CA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36" name="Text Box 1">
          <a:extLst>
            <a:ext uri="{FF2B5EF4-FFF2-40B4-BE49-F238E27FC236}">
              <a16:creationId xmlns:a16="http://schemas.microsoft.com/office/drawing/2014/main" id="{877797C2-9646-464F-8EC0-54F29064CAC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37" name="Text Box 1">
          <a:extLst>
            <a:ext uri="{FF2B5EF4-FFF2-40B4-BE49-F238E27FC236}">
              <a16:creationId xmlns:a16="http://schemas.microsoft.com/office/drawing/2014/main" id="{54115EE9-41F9-431F-9BE8-91FF0F234C1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38" name="Text Box 1">
          <a:extLst>
            <a:ext uri="{FF2B5EF4-FFF2-40B4-BE49-F238E27FC236}">
              <a16:creationId xmlns:a16="http://schemas.microsoft.com/office/drawing/2014/main" id="{FE455A96-4C45-4B50-8341-54C5A36F468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39" name="Text Box 1">
          <a:extLst>
            <a:ext uri="{FF2B5EF4-FFF2-40B4-BE49-F238E27FC236}">
              <a16:creationId xmlns:a16="http://schemas.microsoft.com/office/drawing/2014/main" id="{0415CEF4-388B-4C3E-AF5C-3395714A2FE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40" name="Text Box 1">
          <a:extLst>
            <a:ext uri="{FF2B5EF4-FFF2-40B4-BE49-F238E27FC236}">
              <a16:creationId xmlns:a16="http://schemas.microsoft.com/office/drawing/2014/main" id="{974A9543-930E-483E-BB87-23FB06DF5E0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41" name="Text Box 1">
          <a:extLst>
            <a:ext uri="{FF2B5EF4-FFF2-40B4-BE49-F238E27FC236}">
              <a16:creationId xmlns:a16="http://schemas.microsoft.com/office/drawing/2014/main" id="{B282DD07-664D-4E9C-9DBC-06B2E26547A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42" name="Text Box 1">
          <a:extLst>
            <a:ext uri="{FF2B5EF4-FFF2-40B4-BE49-F238E27FC236}">
              <a16:creationId xmlns:a16="http://schemas.microsoft.com/office/drawing/2014/main" id="{4C51F49D-3634-4A96-BDF0-756C513C05B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43" name="Text Box 1">
          <a:extLst>
            <a:ext uri="{FF2B5EF4-FFF2-40B4-BE49-F238E27FC236}">
              <a16:creationId xmlns:a16="http://schemas.microsoft.com/office/drawing/2014/main" id="{CB1E81C5-D63E-408E-B6EC-4F6E5F34100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44" name="Text Box 1">
          <a:extLst>
            <a:ext uri="{FF2B5EF4-FFF2-40B4-BE49-F238E27FC236}">
              <a16:creationId xmlns:a16="http://schemas.microsoft.com/office/drawing/2014/main" id="{8AEB0585-E438-4B48-B0BC-4217CDE8928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45" name="Text Box 1">
          <a:extLst>
            <a:ext uri="{FF2B5EF4-FFF2-40B4-BE49-F238E27FC236}">
              <a16:creationId xmlns:a16="http://schemas.microsoft.com/office/drawing/2014/main" id="{3EBE5410-7173-4223-89D0-A6CC7663382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46" name="Text Box 1">
          <a:extLst>
            <a:ext uri="{FF2B5EF4-FFF2-40B4-BE49-F238E27FC236}">
              <a16:creationId xmlns:a16="http://schemas.microsoft.com/office/drawing/2014/main" id="{0CF70163-827E-40D9-8066-25670FD8673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47" name="Text Box 1">
          <a:extLst>
            <a:ext uri="{FF2B5EF4-FFF2-40B4-BE49-F238E27FC236}">
              <a16:creationId xmlns:a16="http://schemas.microsoft.com/office/drawing/2014/main" id="{38E6BF20-9B79-471B-98D1-EC43F8CE28B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48" name="Text Box 1">
          <a:extLst>
            <a:ext uri="{FF2B5EF4-FFF2-40B4-BE49-F238E27FC236}">
              <a16:creationId xmlns:a16="http://schemas.microsoft.com/office/drawing/2014/main" id="{1EC5CEA1-96B8-4C1B-B883-CEE9B50E3D3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49" name="Text Box 1">
          <a:extLst>
            <a:ext uri="{FF2B5EF4-FFF2-40B4-BE49-F238E27FC236}">
              <a16:creationId xmlns:a16="http://schemas.microsoft.com/office/drawing/2014/main" id="{DD47F8C6-377B-4607-B71E-18BF0448D94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50" name="Text Box 1">
          <a:extLst>
            <a:ext uri="{FF2B5EF4-FFF2-40B4-BE49-F238E27FC236}">
              <a16:creationId xmlns:a16="http://schemas.microsoft.com/office/drawing/2014/main" id="{7A43E1FB-10F3-4C47-A55A-123A02FD513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51" name="Text Box 1">
          <a:extLst>
            <a:ext uri="{FF2B5EF4-FFF2-40B4-BE49-F238E27FC236}">
              <a16:creationId xmlns:a16="http://schemas.microsoft.com/office/drawing/2014/main" id="{31F81DF7-4242-4291-A375-3644ACCDBE1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52" name="Text Box 1">
          <a:extLst>
            <a:ext uri="{FF2B5EF4-FFF2-40B4-BE49-F238E27FC236}">
              <a16:creationId xmlns:a16="http://schemas.microsoft.com/office/drawing/2014/main" id="{566BAD4F-B139-4DD3-BF74-0B00664711E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53" name="Text Box 1">
          <a:extLst>
            <a:ext uri="{FF2B5EF4-FFF2-40B4-BE49-F238E27FC236}">
              <a16:creationId xmlns:a16="http://schemas.microsoft.com/office/drawing/2014/main" id="{EABB548A-D427-4C09-9E03-DF3B7EFADB0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54" name="Text Box 1">
          <a:extLst>
            <a:ext uri="{FF2B5EF4-FFF2-40B4-BE49-F238E27FC236}">
              <a16:creationId xmlns:a16="http://schemas.microsoft.com/office/drawing/2014/main" id="{3C0AC41D-FB61-4A1E-8FE9-93336A8506D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55" name="Text Box 1">
          <a:extLst>
            <a:ext uri="{FF2B5EF4-FFF2-40B4-BE49-F238E27FC236}">
              <a16:creationId xmlns:a16="http://schemas.microsoft.com/office/drawing/2014/main" id="{DA2DE39A-2AC6-47A0-97B9-07178468AD0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56" name="Text Box 1">
          <a:extLst>
            <a:ext uri="{FF2B5EF4-FFF2-40B4-BE49-F238E27FC236}">
              <a16:creationId xmlns:a16="http://schemas.microsoft.com/office/drawing/2014/main" id="{5FBE9A19-422F-4B9C-B3B0-A121B525991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57" name="Text Box 1">
          <a:extLst>
            <a:ext uri="{FF2B5EF4-FFF2-40B4-BE49-F238E27FC236}">
              <a16:creationId xmlns:a16="http://schemas.microsoft.com/office/drawing/2014/main" id="{32255ECE-D553-4FBE-AC27-FFFE9BBC4B5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58" name="Text Box 1">
          <a:extLst>
            <a:ext uri="{FF2B5EF4-FFF2-40B4-BE49-F238E27FC236}">
              <a16:creationId xmlns:a16="http://schemas.microsoft.com/office/drawing/2014/main" id="{D025BC89-5F49-43A4-BA9E-289AA44247F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59" name="Text Box 1">
          <a:extLst>
            <a:ext uri="{FF2B5EF4-FFF2-40B4-BE49-F238E27FC236}">
              <a16:creationId xmlns:a16="http://schemas.microsoft.com/office/drawing/2014/main" id="{560EEC5A-9CD2-4D6C-AA90-E46E1BC9E28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60" name="Text Box 1">
          <a:extLst>
            <a:ext uri="{FF2B5EF4-FFF2-40B4-BE49-F238E27FC236}">
              <a16:creationId xmlns:a16="http://schemas.microsoft.com/office/drawing/2014/main" id="{079633C3-36EE-44AE-94EF-651ACDE3482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61" name="Text Box 1">
          <a:extLst>
            <a:ext uri="{FF2B5EF4-FFF2-40B4-BE49-F238E27FC236}">
              <a16:creationId xmlns:a16="http://schemas.microsoft.com/office/drawing/2014/main" id="{604DED8D-FCBF-4151-A05D-E1B3A6B812D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62" name="Text Box 1">
          <a:extLst>
            <a:ext uri="{FF2B5EF4-FFF2-40B4-BE49-F238E27FC236}">
              <a16:creationId xmlns:a16="http://schemas.microsoft.com/office/drawing/2014/main" id="{D947B5A4-F819-42F6-8503-8E6C99243E5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63" name="Text Box 1">
          <a:extLst>
            <a:ext uri="{FF2B5EF4-FFF2-40B4-BE49-F238E27FC236}">
              <a16:creationId xmlns:a16="http://schemas.microsoft.com/office/drawing/2014/main" id="{E2D70744-B6E4-468F-B143-5C6F46C5903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64" name="Text Box 1">
          <a:extLst>
            <a:ext uri="{FF2B5EF4-FFF2-40B4-BE49-F238E27FC236}">
              <a16:creationId xmlns:a16="http://schemas.microsoft.com/office/drawing/2014/main" id="{903D1151-9DBA-406E-A89C-86E327D5AE5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65" name="Text Box 1">
          <a:extLst>
            <a:ext uri="{FF2B5EF4-FFF2-40B4-BE49-F238E27FC236}">
              <a16:creationId xmlns:a16="http://schemas.microsoft.com/office/drawing/2014/main" id="{8F9B8CCA-9BE5-4134-A423-D46C77DEF06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66" name="Text Box 1">
          <a:extLst>
            <a:ext uri="{FF2B5EF4-FFF2-40B4-BE49-F238E27FC236}">
              <a16:creationId xmlns:a16="http://schemas.microsoft.com/office/drawing/2014/main" id="{141EF505-4B54-4266-BC44-88B5763FC50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67" name="Text Box 1">
          <a:extLst>
            <a:ext uri="{FF2B5EF4-FFF2-40B4-BE49-F238E27FC236}">
              <a16:creationId xmlns:a16="http://schemas.microsoft.com/office/drawing/2014/main" id="{05837365-A883-4D72-98C0-3B13753720B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68" name="Text Box 1">
          <a:extLst>
            <a:ext uri="{FF2B5EF4-FFF2-40B4-BE49-F238E27FC236}">
              <a16:creationId xmlns:a16="http://schemas.microsoft.com/office/drawing/2014/main" id="{D1112850-5258-4888-A8AC-275E275D77B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69" name="Text Box 1">
          <a:extLst>
            <a:ext uri="{FF2B5EF4-FFF2-40B4-BE49-F238E27FC236}">
              <a16:creationId xmlns:a16="http://schemas.microsoft.com/office/drawing/2014/main" id="{8D4DBC04-1382-4E41-8489-840110EE85E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70" name="Text Box 1">
          <a:extLst>
            <a:ext uri="{FF2B5EF4-FFF2-40B4-BE49-F238E27FC236}">
              <a16:creationId xmlns:a16="http://schemas.microsoft.com/office/drawing/2014/main" id="{58D99F6D-90A3-44DA-BB19-C98D6E37DF6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71" name="Text Box 1">
          <a:extLst>
            <a:ext uri="{FF2B5EF4-FFF2-40B4-BE49-F238E27FC236}">
              <a16:creationId xmlns:a16="http://schemas.microsoft.com/office/drawing/2014/main" id="{7BBB0239-502D-4B10-8540-3E1C06EDD41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72" name="Text Box 1">
          <a:extLst>
            <a:ext uri="{FF2B5EF4-FFF2-40B4-BE49-F238E27FC236}">
              <a16:creationId xmlns:a16="http://schemas.microsoft.com/office/drawing/2014/main" id="{B60E9869-5D2F-407F-8089-8487FEEB9BB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73" name="Text Box 1">
          <a:extLst>
            <a:ext uri="{FF2B5EF4-FFF2-40B4-BE49-F238E27FC236}">
              <a16:creationId xmlns:a16="http://schemas.microsoft.com/office/drawing/2014/main" id="{0B954E9C-F434-418C-B29F-CB7792C620F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74" name="Text Box 1">
          <a:extLst>
            <a:ext uri="{FF2B5EF4-FFF2-40B4-BE49-F238E27FC236}">
              <a16:creationId xmlns:a16="http://schemas.microsoft.com/office/drawing/2014/main" id="{3B948F98-AD9D-4B75-91E1-9E52B1EB826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75" name="Text Box 1">
          <a:extLst>
            <a:ext uri="{FF2B5EF4-FFF2-40B4-BE49-F238E27FC236}">
              <a16:creationId xmlns:a16="http://schemas.microsoft.com/office/drawing/2014/main" id="{DB1A70BA-8B83-4B29-A35F-9CEBC1D3913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76" name="Text Box 1">
          <a:extLst>
            <a:ext uri="{FF2B5EF4-FFF2-40B4-BE49-F238E27FC236}">
              <a16:creationId xmlns:a16="http://schemas.microsoft.com/office/drawing/2014/main" id="{15AB4C34-9503-4158-B10B-E0965202AF3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77" name="Text Box 1">
          <a:extLst>
            <a:ext uri="{FF2B5EF4-FFF2-40B4-BE49-F238E27FC236}">
              <a16:creationId xmlns:a16="http://schemas.microsoft.com/office/drawing/2014/main" id="{E9FCDD91-2FCF-4F75-A816-1652DD7443C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78" name="Text Box 1">
          <a:extLst>
            <a:ext uri="{FF2B5EF4-FFF2-40B4-BE49-F238E27FC236}">
              <a16:creationId xmlns:a16="http://schemas.microsoft.com/office/drawing/2014/main" id="{9F321FD0-4825-43CB-9613-3AD7B40F4D3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79" name="Text Box 1">
          <a:extLst>
            <a:ext uri="{FF2B5EF4-FFF2-40B4-BE49-F238E27FC236}">
              <a16:creationId xmlns:a16="http://schemas.microsoft.com/office/drawing/2014/main" id="{839E6D29-C08A-4D81-917E-38578F04458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80" name="Text Box 1">
          <a:extLst>
            <a:ext uri="{FF2B5EF4-FFF2-40B4-BE49-F238E27FC236}">
              <a16:creationId xmlns:a16="http://schemas.microsoft.com/office/drawing/2014/main" id="{A1592B37-E660-46D0-AA81-523F2D9CC0C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81" name="Text Box 1">
          <a:extLst>
            <a:ext uri="{FF2B5EF4-FFF2-40B4-BE49-F238E27FC236}">
              <a16:creationId xmlns:a16="http://schemas.microsoft.com/office/drawing/2014/main" id="{01B6996C-1CC9-4E46-B499-E45DA44C571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82" name="Text Box 1">
          <a:extLst>
            <a:ext uri="{FF2B5EF4-FFF2-40B4-BE49-F238E27FC236}">
              <a16:creationId xmlns:a16="http://schemas.microsoft.com/office/drawing/2014/main" id="{79AD1D71-8190-4D53-834A-77FCAADFA6B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83" name="Text Box 1">
          <a:extLst>
            <a:ext uri="{FF2B5EF4-FFF2-40B4-BE49-F238E27FC236}">
              <a16:creationId xmlns:a16="http://schemas.microsoft.com/office/drawing/2014/main" id="{7AF9DA39-9D4C-450C-98E6-48F916593D6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84" name="Text Box 1">
          <a:extLst>
            <a:ext uri="{FF2B5EF4-FFF2-40B4-BE49-F238E27FC236}">
              <a16:creationId xmlns:a16="http://schemas.microsoft.com/office/drawing/2014/main" id="{3D3754A4-8263-4B98-B7FA-2B962E78950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85" name="Text Box 1">
          <a:extLst>
            <a:ext uri="{FF2B5EF4-FFF2-40B4-BE49-F238E27FC236}">
              <a16:creationId xmlns:a16="http://schemas.microsoft.com/office/drawing/2014/main" id="{3D9EE4BE-070C-4CD2-AC63-A1BBBF16F47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86" name="Text Box 1">
          <a:extLst>
            <a:ext uri="{FF2B5EF4-FFF2-40B4-BE49-F238E27FC236}">
              <a16:creationId xmlns:a16="http://schemas.microsoft.com/office/drawing/2014/main" id="{CAB39E1E-E8EC-4BE6-AD9D-73B3AD0143A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87" name="Text Box 1">
          <a:extLst>
            <a:ext uri="{FF2B5EF4-FFF2-40B4-BE49-F238E27FC236}">
              <a16:creationId xmlns:a16="http://schemas.microsoft.com/office/drawing/2014/main" id="{9134108D-9225-4B7B-AD6F-E882580E3D8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88" name="Text Box 1">
          <a:extLst>
            <a:ext uri="{FF2B5EF4-FFF2-40B4-BE49-F238E27FC236}">
              <a16:creationId xmlns:a16="http://schemas.microsoft.com/office/drawing/2014/main" id="{8C07A986-10EE-4131-9E7C-7DF08852CA8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89" name="Text Box 1">
          <a:extLst>
            <a:ext uri="{FF2B5EF4-FFF2-40B4-BE49-F238E27FC236}">
              <a16:creationId xmlns:a16="http://schemas.microsoft.com/office/drawing/2014/main" id="{9D8C202E-BE3D-4D50-A669-0C6A9D519E5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90" name="Text Box 1">
          <a:extLst>
            <a:ext uri="{FF2B5EF4-FFF2-40B4-BE49-F238E27FC236}">
              <a16:creationId xmlns:a16="http://schemas.microsoft.com/office/drawing/2014/main" id="{FC266465-3628-4E8D-BAC8-3318A9708B2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91" name="Text Box 1">
          <a:extLst>
            <a:ext uri="{FF2B5EF4-FFF2-40B4-BE49-F238E27FC236}">
              <a16:creationId xmlns:a16="http://schemas.microsoft.com/office/drawing/2014/main" id="{66B668DF-F8D9-404A-8AF4-0E60D4026E1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92" name="Text Box 1">
          <a:extLst>
            <a:ext uri="{FF2B5EF4-FFF2-40B4-BE49-F238E27FC236}">
              <a16:creationId xmlns:a16="http://schemas.microsoft.com/office/drawing/2014/main" id="{58BB682D-C687-42FC-ADDD-2FD7BA7C1B8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93" name="Text Box 1">
          <a:extLst>
            <a:ext uri="{FF2B5EF4-FFF2-40B4-BE49-F238E27FC236}">
              <a16:creationId xmlns:a16="http://schemas.microsoft.com/office/drawing/2014/main" id="{777E5CE5-5242-42F1-911D-476BE14F6C4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94" name="Text Box 1">
          <a:extLst>
            <a:ext uri="{FF2B5EF4-FFF2-40B4-BE49-F238E27FC236}">
              <a16:creationId xmlns:a16="http://schemas.microsoft.com/office/drawing/2014/main" id="{28602BD5-AE41-4A51-BEF5-0718F8FF69C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95" name="Text Box 1">
          <a:extLst>
            <a:ext uri="{FF2B5EF4-FFF2-40B4-BE49-F238E27FC236}">
              <a16:creationId xmlns:a16="http://schemas.microsoft.com/office/drawing/2014/main" id="{BA687446-7AA8-4324-8892-307CA231C2F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96" name="Text Box 1">
          <a:extLst>
            <a:ext uri="{FF2B5EF4-FFF2-40B4-BE49-F238E27FC236}">
              <a16:creationId xmlns:a16="http://schemas.microsoft.com/office/drawing/2014/main" id="{63B7F77F-606A-4FB6-A63A-E445D10356C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97" name="Text Box 1">
          <a:extLst>
            <a:ext uri="{FF2B5EF4-FFF2-40B4-BE49-F238E27FC236}">
              <a16:creationId xmlns:a16="http://schemas.microsoft.com/office/drawing/2014/main" id="{A6AB9771-7F1A-4207-AA54-F1158073DE7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98" name="Text Box 1">
          <a:extLst>
            <a:ext uri="{FF2B5EF4-FFF2-40B4-BE49-F238E27FC236}">
              <a16:creationId xmlns:a16="http://schemas.microsoft.com/office/drawing/2014/main" id="{5663A3BA-5C8C-4446-93FA-8D587DFA5BE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099" name="Text Box 1">
          <a:extLst>
            <a:ext uri="{FF2B5EF4-FFF2-40B4-BE49-F238E27FC236}">
              <a16:creationId xmlns:a16="http://schemas.microsoft.com/office/drawing/2014/main" id="{84E5546A-D62D-44D9-ACAB-A80C5200EBA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00" name="Text Box 1">
          <a:extLst>
            <a:ext uri="{FF2B5EF4-FFF2-40B4-BE49-F238E27FC236}">
              <a16:creationId xmlns:a16="http://schemas.microsoft.com/office/drawing/2014/main" id="{C0A736A8-DEFB-497A-8B68-E6D06D06958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01" name="Text Box 1">
          <a:extLst>
            <a:ext uri="{FF2B5EF4-FFF2-40B4-BE49-F238E27FC236}">
              <a16:creationId xmlns:a16="http://schemas.microsoft.com/office/drawing/2014/main" id="{03BDEC36-2074-440C-94D9-3862329E44E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02" name="Text Box 1">
          <a:extLst>
            <a:ext uri="{FF2B5EF4-FFF2-40B4-BE49-F238E27FC236}">
              <a16:creationId xmlns:a16="http://schemas.microsoft.com/office/drawing/2014/main" id="{29B25F8D-AD44-4FA3-B646-9C3FC2A548F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03" name="Text Box 1">
          <a:extLst>
            <a:ext uri="{FF2B5EF4-FFF2-40B4-BE49-F238E27FC236}">
              <a16:creationId xmlns:a16="http://schemas.microsoft.com/office/drawing/2014/main" id="{7ABA80A2-8909-4D10-9942-C0AD7D14093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04" name="Text Box 1">
          <a:extLst>
            <a:ext uri="{FF2B5EF4-FFF2-40B4-BE49-F238E27FC236}">
              <a16:creationId xmlns:a16="http://schemas.microsoft.com/office/drawing/2014/main" id="{6E7984D3-9194-4015-B56D-02179EE6BFA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05" name="Text Box 1">
          <a:extLst>
            <a:ext uri="{FF2B5EF4-FFF2-40B4-BE49-F238E27FC236}">
              <a16:creationId xmlns:a16="http://schemas.microsoft.com/office/drawing/2014/main" id="{8BC41287-CC1C-48BE-B379-A022071AE3F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06" name="Text Box 1">
          <a:extLst>
            <a:ext uri="{FF2B5EF4-FFF2-40B4-BE49-F238E27FC236}">
              <a16:creationId xmlns:a16="http://schemas.microsoft.com/office/drawing/2014/main" id="{C8096D80-07B8-459C-B6B2-B9542EEAE88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07" name="Text Box 1">
          <a:extLst>
            <a:ext uri="{FF2B5EF4-FFF2-40B4-BE49-F238E27FC236}">
              <a16:creationId xmlns:a16="http://schemas.microsoft.com/office/drawing/2014/main" id="{59B22FF5-8793-4FA5-92FE-4E814E6117E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08" name="Text Box 1">
          <a:extLst>
            <a:ext uri="{FF2B5EF4-FFF2-40B4-BE49-F238E27FC236}">
              <a16:creationId xmlns:a16="http://schemas.microsoft.com/office/drawing/2014/main" id="{F1708ECB-3FE7-44EC-8E26-DF1983B08F6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09" name="Text Box 1">
          <a:extLst>
            <a:ext uri="{FF2B5EF4-FFF2-40B4-BE49-F238E27FC236}">
              <a16:creationId xmlns:a16="http://schemas.microsoft.com/office/drawing/2014/main" id="{AE5BB486-B63B-47B0-B044-AB3DC26F4FD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10" name="Text Box 1">
          <a:extLst>
            <a:ext uri="{FF2B5EF4-FFF2-40B4-BE49-F238E27FC236}">
              <a16:creationId xmlns:a16="http://schemas.microsoft.com/office/drawing/2014/main" id="{0252D7A3-41BB-476B-B393-C3E5030D5EA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11" name="Text Box 1">
          <a:extLst>
            <a:ext uri="{FF2B5EF4-FFF2-40B4-BE49-F238E27FC236}">
              <a16:creationId xmlns:a16="http://schemas.microsoft.com/office/drawing/2014/main" id="{80281265-6961-40D9-8414-3963148169E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12" name="Text Box 1">
          <a:extLst>
            <a:ext uri="{FF2B5EF4-FFF2-40B4-BE49-F238E27FC236}">
              <a16:creationId xmlns:a16="http://schemas.microsoft.com/office/drawing/2014/main" id="{F3A54565-AE9F-4F96-B6F5-9726062C376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13" name="Text Box 1">
          <a:extLst>
            <a:ext uri="{FF2B5EF4-FFF2-40B4-BE49-F238E27FC236}">
              <a16:creationId xmlns:a16="http://schemas.microsoft.com/office/drawing/2014/main" id="{62EDA7CA-7EE0-4FE1-BD1F-2E858DE2CB0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14" name="Text Box 1">
          <a:extLst>
            <a:ext uri="{FF2B5EF4-FFF2-40B4-BE49-F238E27FC236}">
              <a16:creationId xmlns:a16="http://schemas.microsoft.com/office/drawing/2014/main" id="{A0EC7CA7-7A10-4A74-A0E6-E92EC7C04F8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15" name="Text Box 1">
          <a:extLst>
            <a:ext uri="{FF2B5EF4-FFF2-40B4-BE49-F238E27FC236}">
              <a16:creationId xmlns:a16="http://schemas.microsoft.com/office/drawing/2014/main" id="{A5B9B574-7B70-42BE-852A-F114D16238B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16" name="Text Box 1">
          <a:extLst>
            <a:ext uri="{FF2B5EF4-FFF2-40B4-BE49-F238E27FC236}">
              <a16:creationId xmlns:a16="http://schemas.microsoft.com/office/drawing/2014/main" id="{CC801E5C-0E34-4298-A868-CE06ADF9C18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17" name="Text Box 1">
          <a:extLst>
            <a:ext uri="{FF2B5EF4-FFF2-40B4-BE49-F238E27FC236}">
              <a16:creationId xmlns:a16="http://schemas.microsoft.com/office/drawing/2014/main" id="{3784424E-DF4D-4DB3-9019-01154A00E51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18" name="Text Box 1">
          <a:extLst>
            <a:ext uri="{FF2B5EF4-FFF2-40B4-BE49-F238E27FC236}">
              <a16:creationId xmlns:a16="http://schemas.microsoft.com/office/drawing/2014/main" id="{7BDD2D7A-660D-4C43-A883-46D28D76749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19" name="Text Box 1">
          <a:extLst>
            <a:ext uri="{FF2B5EF4-FFF2-40B4-BE49-F238E27FC236}">
              <a16:creationId xmlns:a16="http://schemas.microsoft.com/office/drawing/2014/main" id="{F9EFC852-1533-4750-B231-26BF9660A0E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20" name="Text Box 1">
          <a:extLst>
            <a:ext uri="{FF2B5EF4-FFF2-40B4-BE49-F238E27FC236}">
              <a16:creationId xmlns:a16="http://schemas.microsoft.com/office/drawing/2014/main" id="{9ED43329-33BD-4B39-9276-B0EE45CA511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21" name="Text Box 1">
          <a:extLst>
            <a:ext uri="{FF2B5EF4-FFF2-40B4-BE49-F238E27FC236}">
              <a16:creationId xmlns:a16="http://schemas.microsoft.com/office/drawing/2014/main" id="{4D1C6DA5-5140-4F6F-8630-F22745ABF6D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22" name="Text Box 1">
          <a:extLst>
            <a:ext uri="{FF2B5EF4-FFF2-40B4-BE49-F238E27FC236}">
              <a16:creationId xmlns:a16="http://schemas.microsoft.com/office/drawing/2014/main" id="{E4679D13-8261-4682-BB4D-B374BED694F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23" name="Text Box 1">
          <a:extLst>
            <a:ext uri="{FF2B5EF4-FFF2-40B4-BE49-F238E27FC236}">
              <a16:creationId xmlns:a16="http://schemas.microsoft.com/office/drawing/2014/main" id="{B8C0A42A-6517-495B-96EC-0A8D204ABF7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24" name="Text Box 1">
          <a:extLst>
            <a:ext uri="{FF2B5EF4-FFF2-40B4-BE49-F238E27FC236}">
              <a16:creationId xmlns:a16="http://schemas.microsoft.com/office/drawing/2014/main" id="{DD5BC9A2-6FCF-4F2B-A530-9387E791112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25" name="Text Box 1">
          <a:extLst>
            <a:ext uri="{FF2B5EF4-FFF2-40B4-BE49-F238E27FC236}">
              <a16:creationId xmlns:a16="http://schemas.microsoft.com/office/drawing/2014/main" id="{7578213D-BC35-4906-99D7-849729EE9A3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26" name="Text Box 1">
          <a:extLst>
            <a:ext uri="{FF2B5EF4-FFF2-40B4-BE49-F238E27FC236}">
              <a16:creationId xmlns:a16="http://schemas.microsoft.com/office/drawing/2014/main" id="{2D4B8EA5-328D-4370-A85F-318720875F4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27" name="Text Box 1">
          <a:extLst>
            <a:ext uri="{FF2B5EF4-FFF2-40B4-BE49-F238E27FC236}">
              <a16:creationId xmlns:a16="http://schemas.microsoft.com/office/drawing/2014/main" id="{3E695252-6A2D-4CAB-AC66-3DF77ACB732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28" name="Text Box 1">
          <a:extLst>
            <a:ext uri="{FF2B5EF4-FFF2-40B4-BE49-F238E27FC236}">
              <a16:creationId xmlns:a16="http://schemas.microsoft.com/office/drawing/2014/main" id="{6DA6D988-0D87-427D-93C0-5E370B7F853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29" name="Text Box 1">
          <a:extLst>
            <a:ext uri="{FF2B5EF4-FFF2-40B4-BE49-F238E27FC236}">
              <a16:creationId xmlns:a16="http://schemas.microsoft.com/office/drawing/2014/main" id="{8CD50CA5-22DC-46D9-83B4-1B2D53FE129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30" name="Text Box 1">
          <a:extLst>
            <a:ext uri="{FF2B5EF4-FFF2-40B4-BE49-F238E27FC236}">
              <a16:creationId xmlns:a16="http://schemas.microsoft.com/office/drawing/2014/main" id="{65A337AA-77BA-44F8-90C4-CD680BCCEE5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31" name="Text Box 1">
          <a:extLst>
            <a:ext uri="{FF2B5EF4-FFF2-40B4-BE49-F238E27FC236}">
              <a16:creationId xmlns:a16="http://schemas.microsoft.com/office/drawing/2014/main" id="{6BE1044F-5A81-4CCB-A177-60534159161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32" name="Text Box 1">
          <a:extLst>
            <a:ext uri="{FF2B5EF4-FFF2-40B4-BE49-F238E27FC236}">
              <a16:creationId xmlns:a16="http://schemas.microsoft.com/office/drawing/2014/main" id="{832F12F9-7090-4A18-8CF8-BCEEBAA4E6D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33" name="Text Box 1">
          <a:extLst>
            <a:ext uri="{FF2B5EF4-FFF2-40B4-BE49-F238E27FC236}">
              <a16:creationId xmlns:a16="http://schemas.microsoft.com/office/drawing/2014/main" id="{471E3A86-69B2-4DE4-AFEC-6E97392F58C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34" name="Text Box 1">
          <a:extLst>
            <a:ext uri="{FF2B5EF4-FFF2-40B4-BE49-F238E27FC236}">
              <a16:creationId xmlns:a16="http://schemas.microsoft.com/office/drawing/2014/main" id="{CD20A2E7-E88E-4EC0-B496-5B1E1F447E2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35" name="Text Box 1">
          <a:extLst>
            <a:ext uri="{FF2B5EF4-FFF2-40B4-BE49-F238E27FC236}">
              <a16:creationId xmlns:a16="http://schemas.microsoft.com/office/drawing/2014/main" id="{F505DAD7-1A34-4ED6-ABFF-919E711D33C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36" name="Text Box 1">
          <a:extLst>
            <a:ext uri="{FF2B5EF4-FFF2-40B4-BE49-F238E27FC236}">
              <a16:creationId xmlns:a16="http://schemas.microsoft.com/office/drawing/2014/main" id="{76252833-9AFA-40D3-9C1E-510648ED2B7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37" name="Text Box 1">
          <a:extLst>
            <a:ext uri="{FF2B5EF4-FFF2-40B4-BE49-F238E27FC236}">
              <a16:creationId xmlns:a16="http://schemas.microsoft.com/office/drawing/2014/main" id="{EADD92D5-85FD-450C-BFF1-1ECF9765142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38" name="Text Box 1">
          <a:extLst>
            <a:ext uri="{FF2B5EF4-FFF2-40B4-BE49-F238E27FC236}">
              <a16:creationId xmlns:a16="http://schemas.microsoft.com/office/drawing/2014/main" id="{CA0E819B-7558-4CD4-868D-4BB0261E7C4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39" name="Text Box 1">
          <a:extLst>
            <a:ext uri="{FF2B5EF4-FFF2-40B4-BE49-F238E27FC236}">
              <a16:creationId xmlns:a16="http://schemas.microsoft.com/office/drawing/2014/main" id="{4550A0FE-0C5E-4107-9D93-CE28E93B7F7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40" name="Text Box 1">
          <a:extLst>
            <a:ext uri="{FF2B5EF4-FFF2-40B4-BE49-F238E27FC236}">
              <a16:creationId xmlns:a16="http://schemas.microsoft.com/office/drawing/2014/main" id="{6D446597-155D-49F4-BEB6-4F9C3BF6771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41" name="Text Box 1">
          <a:extLst>
            <a:ext uri="{FF2B5EF4-FFF2-40B4-BE49-F238E27FC236}">
              <a16:creationId xmlns:a16="http://schemas.microsoft.com/office/drawing/2014/main" id="{D7F09E9B-8953-4816-8BB1-6818908A043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42" name="Text Box 1">
          <a:extLst>
            <a:ext uri="{FF2B5EF4-FFF2-40B4-BE49-F238E27FC236}">
              <a16:creationId xmlns:a16="http://schemas.microsoft.com/office/drawing/2014/main" id="{6F067C60-7ABF-4463-B742-12BB69898BA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43" name="Text Box 1">
          <a:extLst>
            <a:ext uri="{FF2B5EF4-FFF2-40B4-BE49-F238E27FC236}">
              <a16:creationId xmlns:a16="http://schemas.microsoft.com/office/drawing/2014/main" id="{9132F577-02FF-4A9C-A35E-4C91788B7DE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44" name="Text Box 1">
          <a:extLst>
            <a:ext uri="{FF2B5EF4-FFF2-40B4-BE49-F238E27FC236}">
              <a16:creationId xmlns:a16="http://schemas.microsoft.com/office/drawing/2014/main" id="{4EA6234C-D57A-492E-AC20-7ED0BB45219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45" name="Text Box 1">
          <a:extLst>
            <a:ext uri="{FF2B5EF4-FFF2-40B4-BE49-F238E27FC236}">
              <a16:creationId xmlns:a16="http://schemas.microsoft.com/office/drawing/2014/main" id="{BA7FB378-C8BC-4B9F-BFFF-64F0EE472A0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46" name="Text Box 1">
          <a:extLst>
            <a:ext uri="{FF2B5EF4-FFF2-40B4-BE49-F238E27FC236}">
              <a16:creationId xmlns:a16="http://schemas.microsoft.com/office/drawing/2014/main" id="{683F510F-24B0-428F-A7E6-568656DC8FB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47" name="Text Box 1">
          <a:extLst>
            <a:ext uri="{FF2B5EF4-FFF2-40B4-BE49-F238E27FC236}">
              <a16:creationId xmlns:a16="http://schemas.microsoft.com/office/drawing/2014/main" id="{6632020B-4364-40B0-AD38-D023E1BD962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48" name="Text Box 1">
          <a:extLst>
            <a:ext uri="{FF2B5EF4-FFF2-40B4-BE49-F238E27FC236}">
              <a16:creationId xmlns:a16="http://schemas.microsoft.com/office/drawing/2014/main" id="{9100796E-B807-4D1D-99E8-50FAF46B82E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49" name="Text Box 1">
          <a:extLst>
            <a:ext uri="{FF2B5EF4-FFF2-40B4-BE49-F238E27FC236}">
              <a16:creationId xmlns:a16="http://schemas.microsoft.com/office/drawing/2014/main" id="{B4212F97-4B22-4DE7-A020-AF6E7573172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50" name="Text Box 1">
          <a:extLst>
            <a:ext uri="{FF2B5EF4-FFF2-40B4-BE49-F238E27FC236}">
              <a16:creationId xmlns:a16="http://schemas.microsoft.com/office/drawing/2014/main" id="{41418941-91D5-43B7-B68E-664B65413C0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51" name="Text Box 1">
          <a:extLst>
            <a:ext uri="{FF2B5EF4-FFF2-40B4-BE49-F238E27FC236}">
              <a16:creationId xmlns:a16="http://schemas.microsoft.com/office/drawing/2014/main" id="{CA363FF9-B3E9-468B-B206-38DF8A24028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52" name="Text Box 1">
          <a:extLst>
            <a:ext uri="{FF2B5EF4-FFF2-40B4-BE49-F238E27FC236}">
              <a16:creationId xmlns:a16="http://schemas.microsoft.com/office/drawing/2014/main" id="{328E3419-206D-45AD-9994-07B6E837776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53" name="Text Box 1">
          <a:extLst>
            <a:ext uri="{FF2B5EF4-FFF2-40B4-BE49-F238E27FC236}">
              <a16:creationId xmlns:a16="http://schemas.microsoft.com/office/drawing/2014/main" id="{1673DD19-1D73-4585-BB38-9780F82ACAD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54" name="Text Box 1">
          <a:extLst>
            <a:ext uri="{FF2B5EF4-FFF2-40B4-BE49-F238E27FC236}">
              <a16:creationId xmlns:a16="http://schemas.microsoft.com/office/drawing/2014/main" id="{F3A9097A-08DB-417A-A7D1-79686FCEB82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55" name="Text Box 1">
          <a:extLst>
            <a:ext uri="{FF2B5EF4-FFF2-40B4-BE49-F238E27FC236}">
              <a16:creationId xmlns:a16="http://schemas.microsoft.com/office/drawing/2014/main" id="{3F41773E-C252-4ED6-8366-553E912BF1F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56" name="Text Box 1">
          <a:extLst>
            <a:ext uri="{FF2B5EF4-FFF2-40B4-BE49-F238E27FC236}">
              <a16:creationId xmlns:a16="http://schemas.microsoft.com/office/drawing/2014/main" id="{B4EFF536-9DDC-4483-96FC-A15EAA03BBA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57" name="Text Box 1">
          <a:extLst>
            <a:ext uri="{FF2B5EF4-FFF2-40B4-BE49-F238E27FC236}">
              <a16:creationId xmlns:a16="http://schemas.microsoft.com/office/drawing/2014/main" id="{198E83C5-1F4A-4A15-ABE9-042B8523EAC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58" name="Text Box 1">
          <a:extLst>
            <a:ext uri="{FF2B5EF4-FFF2-40B4-BE49-F238E27FC236}">
              <a16:creationId xmlns:a16="http://schemas.microsoft.com/office/drawing/2014/main" id="{54A4E0BF-645B-437A-9B8C-3753F507B96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59" name="Text Box 1">
          <a:extLst>
            <a:ext uri="{FF2B5EF4-FFF2-40B4-BE49-F238E27FC236}">
              <a16:creationId xmlns:a16="http://schemas.microsoft.com/office/drawing/2014/main" id="{D58FD04E-84D3-4BFF-BE6E-AE7E2F27A15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60" name="Text Box 1">
          <a:extLst>
            <a:ext uri="{FF2B5EF4-FFF2-40B4-BE49-F238E27FC236}">
              <a16:creationId xmlns:a16="http://schemas.microsoft.com/office/drawing/2014/main" id="{0962D416-4664-41B0-9AF2-35D032B273E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61" name="Text Box 1">
          <a:extLst>
            <a:ext uri="{FF2B5EF4-FFF2-40B4-BE49-F238E27FC236}">
              <a16:creationId xmlns:a16="http://schemas.microsoft.com/office/drawing/2014/main" id="{CE2C837A-81F6-4CA1-A8D0-A8CA641B532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62" name="Text Box 1">
          <a:extLst>
            <a:ext uri="{FF2B5EF4-FFF2-40B4-BE49-F238E27FC236}">
              <a16:creationId xmlns:a16="http://schemas.microsoft.com/office/drawing/2014/main" id="{FCC4ECD8-C084-4F2E-83FE-059242EC01D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63" name="Text Box 1">
          <a:extLst>
            <a:ext uri="{FF2B5EF4-FFF2-40B4-BE49-F238E27FC236}">
              <a16:creationId xmlns:a16="http://schemas.microsoft.com/office/drawing/2014/main" id="{F01137C2-F707-483B-A378-4CC12758807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64" name="Text Box 1">
          <a:extLst>
            <a:ext uri="{FF2B5EF4-FFF2-40B4-BE49-F238E27FC236}">
              <a16:creationId xmlns:a16="http://schemas.microsoft.com/office/drawing/2014/main" id="{6ACE88DF-49A9-4805-AB96-3892981782E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65" name="Text Box 1">
          <a:extLst>
            <a:ext uri="{FF2B5EF4-FFF2-40B4-BE49-F238E27FC236}">
              <a16:creationId xmlns:a16="http://schemas.microsoft.com/office/drawing/2014/main" id="{78B68D98-F776-4796-9358-2FFFABD4C9C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66" name="Text Box 1">
          <a:extLst>
            <a:ext uri="{FF2B5EF4-FFF2-40B4-BE49-F238E27FC236}">
              <a16:creationId xmlns:a16="http://schemas.microsoft.com/office/drawing/2014/main" id="{A4301913-B512-4033-AC8E-324F374DEFE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67" name="Text Box 1">
          <a:extLst>
            <a:ext uri="{FF2B5EF4-FFF2-40B4-BE49-F238E27FC236}">
              <a16:creationId xmlns:a16="http://schemas.microsoft.com/office/drawing/2014/main" id="{735E1339-2793-44AD-B5E4-8181FD7B982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68" name="Text Box 1">
          <a:extLst>
            <a:ext uri="{FF2B5EF4-FFF2-40B4-BE49-F238E27FC236}">
              <a16:creationId xmlns:a16="http://schemas.microsoft.com/office/drawing/2014/main" id="{3D31D7AB-9552-46F4-9F96-2CB319CF114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69" name="Text Box 1">
          <a:extLst>
            <a:ext uri="{FF2B5EF4-FFF2-40B4-BE49-F238E27FC236}">
              <a16:creationId xmlns:a16="http://schemas.microsoft.com/office/drawing/2014/main" id="{6A94825F-E541-4B39-B90D-3EB0F827AFF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70" name="Text Box 1">
          <a:extLst>
            <a:ext uri="{FF2B5EF4-FFF2-40B4-BE49-F238E27FC236}">
              <a16:creationId xmlns:a16="http://schemas.microsoft.com/office/drawing/2014/main" id="{9F706933-88B5-434D-838B-D917937C0A2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71" name="Text Box 1">
          <a:extLst>
            <a:ext uri="{FF2B5EF4-FFF2-40B4-BE49-F238E27FC236}">
              <a16:creationId xmlns:a16="http://schemas.microsoft.com/office/drawing/2014/main" id="{45D9D3D9-2286-4DD5-B68B-73B98CD4374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72" name="Text Box 1">
          <a:extLst>
            <a:ext uri="{FF2B5EF4-FFF2-40B4-BE49-F238E27FC236}">
              <a16:creationId xmlns:a16="http://schemas.microsoft.com/office/drawing/2014/main" id="{C5648F21-72E4-45C3-9867-5BB2F5B8CE1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73" name="Text Box 1">
          <a:extLst>
            <a:ext uri="{FF2B5EF4-FFF2-40B4-BE49-F238E27FC236}">
              <a16:creationId xmlns:a16="http://schemas.microsoft.com/office/drawing/2014/main" id="{8CF291B6-96C9-4887-8A9E-C6701587D02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74" name="Text Box 1">
          <a:extLst>
            <a:ext uri="{FF2B5EF4-FFF2-40B4-BE49-F238E27FC236}">
              <a16:creationId xmlns:a16="http://schemas.microsoft.com/office/drawing/2014/main" id="{2E065946-9F5A-4B5A-AF36-B6D095EE065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75" name="Text Box 1">
          <a:extLst>
            <a:ext uri="{FF2B5EF4-FFF2-40B4-BE49-F238E27FC236}">
              <a16:creationId xmlns:a16="http://schemas.microsoft.com/office/drawing/2014/main" id="{D82ECD32-3750-458A-88D1-42CCE2B36DA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76" name="Text Box 1">
          <a:extLst>
            <a:ext uri="{FF2B5EF4-FFF2-40B4-BE49-F238E27FC236}">
              <a16:creationId xmlns:a16="http://schemas.microsoft.com/office/drawing/2014/main" id="{A8024EE5-899B-4404-A17B-432DF40CBB1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77" name="Text Box 1">
          <a:extLst>
            <a:ext uri="{FF2B5EF4-FFF2-40B4-BE49-F238E27FC236}">
              <a16:creationId xmlns:a16="http://schemas.microsoft.com/office/drawing/2014/main" id="{CCDDFCC4-5C7C-42C8-80B1-70670EE056A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78" name="Text Box 1">
          <a:extLst>
            <a:ext uri="{FF2B5EF4-FFF2-40B4-BE49-F238E27FC236}">
              <a16:creationId xmlns:a16="http://schemas.microsoft.com/office/drawing/2014/main" id="{2833E62F-5288-4F9F-A787-E9397C8AAAB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79" name="Text Box 1">
          <a:extLst>
            <a:ext uri="{FF2B5EF4-FFF2-40B4-BE49-F238E27FC236}">
              <a16:creationId xmlns:a16="http://schemas.microsoft.com/office/drawing/2014/main" id="{DC7F68D5-EF9C-4A92-A481-C3E3A3C8184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80" name="Text Box 1">
          <a:extLst>
            <a:ext uri="{FF2B5EF4-FFF2-40B4-BE49-F238E27FC236}">
              <a16:creationId xmlns:a16="http://schemas.microsoft.com/office/drawing/2014/main" id="{CB743873-B79F-4A34-9EF0-A62515E056D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81" name="Text Box 1">
          <a:extLst>
            <a:ext uri="{FF2B5EF4-FFF2-40B4-BE49-F238E27FC236}">
              <a16:creationId xmlns:a16="http://schemas.microsoft.com/office/drawing/2014/main" id="{6D44C4F1-15B8-4A00-9E86-602F45E2AC9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82" name="Text Box 1">
          <a:extLst>
            <a:ext uri="{FF2B5EF4-FFF2-40B4-BE49-F238E27FC236}">
              <a16:creationId xmlns:a16="http://schemas.microsoft.com/office/drawing/2014/main" id="{0E78ED8F-A996-4850-8F3A-D7FADEAE723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83" name="Text Box 1">
          <a:extLst>
            <a:ext uri="{FF2B5EF4-FFF2-40B4-BE49-F238E27FC236}">
              <a16:creationId xmlns:a16="http://schemas.microsoft.com/office/drawing/2014/main" id="{86C70CF3-0BE8-4714-9E33-6ABB24E9E5E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84" name="Text Box 1">
          <a:extLst>
            <a:ext uri="{FF2B5EF4-FFF2-40B4-BE49-F238E27FC236}">
              <a16:creationId xmlns:a16="http://schemas.microsoft.com/office/drawing/2014/main" id="{19E3A2B3-60B8-43F7-A78A-4A7D272EFE1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85" name="Text Box 1">
          <a:extLst>
            <a:ext uri="{FF2B5EF4-FFF2-40B4-BE49-F238E27FC236}">
              <a16:creationId xmlns:a16="http://schemas.microsoft.com/office/drawing/2014/main" id="{6D045C1C-2BF1-444A-90CC-2764221A380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86" name="Text Box 1">
          <a:extLst>
            <a:ext uri="{FF2B5EF4-FFF2-40B4-BE49-F238E27FC236}">
              <a16:creationId xmlns:a16="http://schemas.microsoft.com/office/drawing/2014/main" id="{9D7F35FC-0436-452F-9FA3-6FBA0DC6AA9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87" name="Text Box 1">
          <a:extLst>
            <a:ext uri="{FF2B5EF4-FFF2-40B4-BE49-F238E27FC236}">
              <a16:creationId xmlns:a16="http://schemas.microsoft.com/office/drawing/2014/main" id="{179A66E6-664E-4524-9A64-109ADA98881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88" name="Text Box 1">
          <a:extLst>
            <a:ext uri="{FF2B5EF4-FFF2-40B4-BE49-F238E27FC236}">
              <a16:creationId xmlns:a16="http://schemas.microsoft.com/office/drawing/2014/main" id="{1FDD4C64-C25B-4162-8EA2-16799E4D8E1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89" name="Text Box 1">
          <a:extLst>
            <a:ext uri="{FF2B5EF4-FFF2-40B4-BE49-F238E27FC236}">
              <a16:creationId xmlns:a16="http://schemas.microsoft.com/office/drawing/2014/main" id="{C3EA7943-6A89-47AA-AA38-AFE534545F1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90" name="Text Box 1">
          <a:extLst>
            <a:ext uri="{FF2B5EF4-FFF2-40B4-BE49-F238E27FC236}">
              <a16:creationId xmlns:a16="http://schemas.microsoft.com/office/drawing/2014/main" id="{A0A62475-1A71-4E36-8B09-A1CC6055ED3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91" name="Text Box 1">
          <a:extLst>
            <a:ext uri="{FF2B5EF4-FFF2-40B4-BE49-F238E27FC236}">
              <a16:creationId xmlns:a16="http://schemas.microsoft.com/office/drawing/2014/main" id="{3B21FAD1-7FA3-4126-81BC-FABE962C428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92" name="Text Box 1">
          <a:extLst>
            <a:ext uri="{FF2B5EF4-FFF2-40B4-BE49-F238E27FC236}">
              <a16:creationId xmlns:a16="http://schemas.microsoft.com/office/drawing/2014/main" id="{6AFE6B6B-6656-4E20-9FEA-C6B08DE5CC5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93" name="Text Box 1">
          <a:extLst>
            <a:ext uri="{FF2B5EF4-FFF2-40B4-BE49-F238E27FC236}">
              <a16:creationId xmlns:a16="http://schemas.microsoft.com/office/drawing/2014/main" id="{36FA27E1-77D3-44E2-BCCA-6A23FA28E26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94" name="Text Box 1">
          <a:extLst>
            <a:ext uri="{FF2B5EF4-FFF2-40B4-BE49-F238E27FC236}">
              <a16:creationId xmlns:a16="http://schemas.microsoft.com/office/drawing/2014/main" id="{D5269C22-2627-4C28-9A82-1F9171CCD9C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95" name="Text Box 1">
          <a:extLst>
            <a:ext uri="{FF2B5EF4-FFF2-40B4-BE49-F238E27FC236}">
              <a16:creationId xmlns:a16="http://schemas.microsoft.com/office/drawing/2014/main" id="{D6EBA403-C1C7-4E02-BCB8-86F5E4B3802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96" name="Text Box 1">
          <a:extLst>
            <a:ext uri="{FF2B5EF4-FFF2-40B4-BE49-F238E27FC236}">
              <a16:creationId xmlns:a16="http://schemas.microsoft.com/office/drawing/2014/main" id="{D1813EB6-B048-4485-ADC8-6A290E9E448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97" name="Text Box 1">
          <a:extLst>
            <a:ext uri="{FF2B5EF4-FFF2-40B4-BE49-F238E27FC236}">
              <a16:creationId xmlns:a16="http://schemas.microsoft.com/office/drawing/2014/main" id="{FE0C7994-092F-4AA8-96F3-5F94DFCB677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98" name="Text Box 1">
          <a:extLst>
            <a:ext uri="{FF2B5EF4-FFF2-40B4-BE49-F238E27FC236}">
              <a16:creationId xmlns:a16="http://schemas.microsoft.com/office/drawing/2014/main" id="{50055C1B-8F8A-4394-BC30-34D5A1C6347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199" name="Text Box 1">
          <a:extLst>
            <a:ext uri="{FF2B5EF4-FFF2-40B4-BE49-F238E27FC236}">
              <a16:creationId xmlns:a16="http://schemas.microsoft.com/office/drawing/2014/main" id="{D1E59F3A-59FD-48C4-9966-8D28811D57A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00" name="Text Box 1">
          <a:extLst>
            <a:ext uri="{FF2B5EF4-FFF2-40B4-BE49-F238E27FC236}">
              <a16:creationId xmlns:a16="http://schemas.microsoft.com/office/drawing/2014/main" id="{9EFB6470-2B11-4098-B369-8D8167F8533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01" name="Text Box 1">
          <a:extLst>
            <a:ext uri="{FF2B5EF4-FFF2-40B4-BE49-F238E27FC236}">
              <a16:creationId xmlns:a16="http://schemas.microsoft.com/office/drawing/2014/main" id="{F100EC01-CC1E-42C1-B562-99FDAF2260E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02" name="Text Box 1">
          <a:extLst>
            <a:ext uri="{FF2B5EF4-FFF2-40B4-BE49-F238E27FC236}">
              <a16:creationId xmlns:a16="http://schemas.microsoft.com/office/drawing/2014/main" id="{54BB4A8A-3277-408D-904D-68961D8E207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03" name="Text Box 1">
          <a:extLst>
            <a:ext uri="{FF2B5EF4-FFF2-40B4-BE49-F238E27FC236}">
              <a16:creationId xmlns:a16="http://schemas.microsoft.com/office/drawing/2014/main" id="{A8720B72-33FA-4327-A871-AD76A98092D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04" name="Text Box 1">
          <a:extLst>
            <a:ext uri="{FF2B5EF4-FFF2-40B4-BE49-F238E27FC236}">
              <a16:creationId xmlns:a16="http://schemas.microsoft.com/office/drawing/2014/main" id="{045ECD0D-0D27-47C6-A37A-F3050CC1A69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05" name="Text Box 1">
          <a:extLst>
            <a:ext uri="{FF2B5EF4-FFF2-40B4-BE49-F238E27FC236}">
              <a16:creationId xmlns:a16="http://schemas.microsoft.com/office/drawing/2014/main" id="{E1B40AC4-6111-4FD9-B9C8-FA78FE87B57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06" name="Text Box 1">
          <a:extLst>
            <a:ext uri="{FF2B5EF4-FFF2-40B4-BE49-F238E27FC236}">
              <a16:creationId xmlns:a16="http://schemas.microsoft.com/office/drawing/2014/main" id="{C8CBB9B5-7274-4BFE-BD0C-B2F713AC24C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07" name="Text Box 1">
          <a:extLst>
            <a:ext uri="{FF2B5EF4-FFF2-40B4-BE49-F238E27FC236}">
              <a16:creationId xmlns:a16="http://schemas.microsoft.com/office/drawing/2014/main" id="{4366C89B-B9DE-488F-A7A3-00DA7FB9A53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08" name="Text Box 1">
          <a:extLst>
            <a:ext uri="{FF2B5EF4-FFF2-40B4-BE49-F238E27FC236}">
              <a16:creationId xmlns:a16="http://schemas.microsoft.com/office/drawing/2014/main" id="{B7204143-367B-4D84-A3F6-7A59FFE9307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09" name="Text Box 1">
          <a:extLst>
            <a:ext uri="{FF2B5EF4-FFF2-40B4-BE49-F238E27FC236}">
              <a16:creationId xmlns:a16="http://schemas.microsoft.com/office/drawing/2014/main" id="{2DB82843-747B-47F5-8804-D094E88F019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10" name="Text Box 1">
          <a:extLst>
            <a:ext uri="{FF2B5EF4-FFF2-40B4-BE49-F238E27FC236}">
              <a16:creationId xmlns:a16="http://schemas.microsoft.com/office/drawing/2014/main" id="{7741FC66-AF01-4A65-8824-65FCD8E1D66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11" name="Text Box 1">
          <a:extLst>
            <a:ext uri="{FF2B5EF4-FFF2-40B4-BE49-F238E27FC236}">
              <a16:creationId xmlns:a16="http://schemas.microsoft.com/office/drawing/2014/main" id="{1422B90F-C867-4162-8882-58A623F06E3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12" name="Text Box 1">
          <a:extLst>
            <a:ext uri="{FF2B5EF4-FFF2-40B4-BE49-F238E27FC236}">
              <a16:creationId xmlns:a16="http://schemas.microsoft.com/office/drawing/2014/main" id="{1B8CF82E-76D0-40C8-99F8-B3010B5C0E8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13" name="Text Box 1">
          <a:extLst>
            <a:ext uri="{FF2B5EF4-FFF2-40B4-BE49-F238E27FC236}">
              <a16:creationId xmlns:a16="http://schemas.microsoft.com/office/drawing/2014/main" id="{4060373B-C8C4-458F-9521-242B9894324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14" name="Text Box 1">
          <a:extLst>
            <a:ext uri="{FF2B5EF4-FFF2-40B4-BE49-F238E27FC236}">
              <a16:creationId xmlns:a16="http://schemas.microsoft.com/office/drawing/2014/main" id="{1684FD20-71E0-4AFE-A204-991BE213D8E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15" name="Text Box 1">
          <a:extLst>
            <a:ext uri="{FF2B5EF4-FFF2-40B4-BE49-F238E27FC236}">
              <a16:creationId xmlns:a16="http://schemas.microsoft.com/office/drawing/2014/main" id="{4D621637-C8F7-4065-8254-261D0733576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16" name="Text Box 1">
          <a:extLst>
            <a:ext uri="{FF2B5EF4-FFF2-40B4-BE49-F238E27FC236}">
              <a16:creationId xmlns:a16="http://schemas.microsoft.com/office/drawing/2014/main" id="{C5DF9A99-C33A-4863-9BFC-5DDA6BAAB2F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17" name="Text Box 1">
          <a:extLst>
            <a:ext uri="{FF2B5EF4-FFF2-40B4-BE49-F238E27FC236}">
              <a16:creationId xmlns:a16="http://schemas.microsoft.com/office/drawing/2014/main" id="{82985256-2152-4F77-BFD6-ADC7660F49C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18" name="Text Box 1">
          <a:extLst>
            <a:ext uri="{FF2B5EF4-FFF2-40B4-BE49-F238E27FC236}">
              <a16:creationId xmlns:a16="http://schemas.microsoft.com/office/drawing/2014/main" id="{C2F20E42-A416-4A12-82B1-48CC731D91F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19" name="Text Box 1">
          <a:extLst>
            <a:ext uri="{FF2B5EF4-FFF2-40B4-BE49-F238E27FC236}">
              <a16:creationId xmlns:a16="http://schemas.microsoft.com/office/drawing/2014/main" id="{C0FFC4A0-4BA2-4D35-A568-361AC223685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20" name="Text Box 1">
          <a:extLst>
            <a:ext uri="{FF2B5EF4-FFF2-40B4-BE49-F238E27FC236}">
              <a16:creationId xmlns:a16="http://schemas.microsoft.com/office/drawing/2014/main" id="{B8A689E6-C0E9-4C52-B0E2-8B00915C744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21" name="Text Box 1">
          <a:extLst>
            <a:ext uri="{FF2B5EF4-FFF2-40B4-BE49-F238E27FC236}">
              <a16:creationId xmlns:a16="http://schemas.microsoft.com/office/drawing/2014/main" id="{0CEA6FF5-BD5E-4C4B-BC60-2306CCFE37F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22" name="Text Box 1">
          <a:extLst>
            <a:ext uri="{FF2B5EF4-FFF2-40B4-BE49-F238E27FC236}">
              <a16:creationId xmlns:a16="http://schemas.microsoft.com/office/drawing/2014/main" id="{A9968C65-C717-4AA7-A2EB-E5D8D709239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23" name="Text Box 1">
          <a:extLst>
            <a:ext uri="{FF2B5EF4-FFF2-40B4-BE49-F238E27FC236}">
              <a16:creationId xmlns:a16="http://schemas.microsoft.com/office/drawing/2014/main" id="{131A22DA-2D24-417F-97CC-B56384D2866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24" name="Text Box 1">
          <a:extLst>
            <a:ext uri="{FF2B5EF4-FFF2-40B4-BE49-F238E27FC236}">
              <a16:creationId xmlns:a16="http://schemas.microsoft.com/office/drawing/2014/main" id="{036D2F4E-0C4D-4422-ADC9-BAF41BBAA7D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25" name="Text Box 1">
          <a:extLst>
            <a:ext uri="{FF2B5EF4-FFF2-40B4-BE49-F238E27FC236}">
              <a16:creationId xmlns:a16="http://schemas.microsoft.com/office/drawing/2014/main" id="{C8C3339F-BA34-4220-AC45-E6291960F24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26" name="Text Box 1">
          <a:extLst>
            <a:ext uri="{FF2B5EF4-FFF2-40B4-BE49-F238E27FC236}">
              <a16:creationId xmlns:a16="http://schemas.microsoft.com/office/drawing/2014/main" id="{66245AF5-E8A7-4F25-98F3-4A2BF1016E0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27" name="Text Box 1">
          <a:extLst>
            <a:ext uri="{FF2B5EF4-FFF2-40B4-BE49-F238E27FC236}">
              <a16:creationId xmlns:a16="http://schemas.microsoft.com/office/drawing/2014/main" id="{782BE564-3649-4797-9630-E49D16F2188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28" name="Text Box 1">
          <a:extLst>
            <a:ext uri="{FF2B5EF4-FFF2-40B4-BE49-F238E27FC236}">
              <a16:creationId xmlns:a16="http://schemas.microsoft.com/office/drawing/2014/main" id="{2AE0BD68-B9A0-4AD9-8717-C3D8310017C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29" name="Text Box 1">
          <a:extLst>
            <a:ext uri="{FF2B5EF4-FFF2-40B4-BE49-F238E27FC236}">
              <a16:creationId xmlns:a16="http://schemas.microsoft.com/office/drawing/2014/main" id="{53DA55B1-05D4-4E9F-ACA9-C778B455AEA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30" name="Text Box 1">
          <a:extLst>
            <a:ext uri="{FF2B5EF4-FFF2-40B4-BE49-F238E27FC236}">
              <a16:creationId xmlns:a16="http://schemas.microsoft.com/office/drawing/2014/main" id="{D7597C3F-F0F8-405C-ABBC-F36FDC138E3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31" name="Text Box 1">
          <a:extLst>
            <a:ext uri="{FF2B5EF4-FFF2-40B4-BE49-F238E27FC236}">
              <a16:creationId xmlns:a16="http://schemas.microsoft.com/office/drawing/2014/main" id="{35D8D7E5-43AC-447B-9B79-1B38E67E04C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32" name="Text Box 1">
          <a:extLst>
            <a:ext uri="{FF2B5EF4-FFF2-40B4-BE49-F238E27FC236}">
              <a16:creationId xmlns:a16="http://schemas.microsoft.com/office/drawing/2014/main" id="{0A3AA49C-1D5F-46A5-8FE2-5A8A1749143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33" name="Text Box 1">
          <a:extLst>
            <a:ext uri="{FF2B5EF4-FFF2-40B4-BE49-F238E27FC236}">
              <a16:creationId xmlns:a16="http://schemas.microsoft.com/office/drawing/2014/main" id="{566AA9AA-B640-4B37-BC9D-D8874EA8CB6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34" name="Text Box 1">
          <a:extLst>
            <a:ext uri="{FF2B5EF4-FFF2-40B4-BE49-F238E27FC236}">
              <a16:creationId xmlns:a16="http://schemas.microsoft.com/office/drawing/2014/main" id="{88497391-47C2-4F8D-9EBE-143BFBBAE54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35" name="Text Box 1">
          <a:extLst>
            <a:ext uri="{FF2B5EF4-FFF2-40B4-BE49-F238E27FC236}">
              <a16:creationId xmlns:a16="http://schemas.microsoft.com/office/drawing/2014/main" id="{D7BC5EBD-4A9A-4EC2-BB40-2379FDFADD9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36" name="Text Box 1">
          <a:extLst>
            <a:ext uri="{FF2B5EF4-FFF2-40B4-BE49-F238E27FC236}">
              <a16:creationId xmlns:a16="http://schemas.microsoft.com/office/drawing/2014/main" id="{88A2E147-4984-4B89-AA11-C00D0D5AD3F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37" name="Text Box 1">
          <a:extLst>
            <a:ext uri="{FF2B5EF4-FFF2-40B4-BE49-F238E27FC236}">
              <a16:creationId xmlns:a16="http://schemas.microsoft.com/office/drawing/2014/main" id="{4114807F-251B-4B4B-9EFA-144105B2DD8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38" name="Text Box 1">
          <a:extLst>
            <a:ext uri="{FF2B5EF4-FFF2-40B4-BE49-F238E27FC236}">
              <a16:creationId xmlns:a16="http://schemas.microsoft.com/office/drawing/2014/main" id="{0417A7ED-868B-4BCD-B3DF-363F2A01318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39" name="Text Box 1">
          <a:extLst>
            <a:ext uri="{FF2B5EF4-FFF2-40B4-BE49-F238E27FC236}">
              <a16:creationId xmlns:a16="http://schemas.microsoft.com/office/drawing/2014/main" id="{E6E813D7-D60B-4F77-8B91-7E56F341755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40" name="Text Box 1">
          <a:extLst>
            <a:ext uri="{FF2B5EF4-FFF2-40B4-BE49-F238E27FC236}">
              <a16:creationId xmlns:a16="http://schemas.microsoft.com/office/drawing/2014/main" id="{F9CE2E9D-C020-4C18-8AE4-61280B77B1C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41" name="Text Box 1">
          <a:extLst>
            <a:ext uri="{FF2B5EF4-FFF2-40B4-BE49-F238E27FC236}">
              <a16:creationId xmlns:a16="http://schemas.microsoft.com/office/drawing/2014/main" id="{21FDFC1E-E176-482F-9ACB-B729AE4CBD9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42" name="Text Box 1">
          <a:extLst>
            <a:ext uri="{FF2B5EF4-FFF2-40B4-BE49-F238E27FC236}">
              <a16:creationId xmlns:a16="http://schemas.microsoft.com/office/drawing/2014/main" id="{768664C3-DFBD-4871-B597-610E5C6E257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43" name="Text Box 1">
          <a:extLst>
            <a:ext uri="{FF2B5EF4-FFF2-40B4-BE49-F238E27FC236}">
              <a16:creationId xmlns:a16="http://schemas.microsoft.com/office/drawing/2014/main" id="{C81A49D7-C131-4869-BAF6-CB607095BC3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44" name="Text Box 1">
          <a:extLst>
            <a:ext uri="{FF2B5EF4-FFF2-40B4-BE49-F238E27FC236}">
              <a16:creationId xmlns:a16="http://schemas.microsoft.com/office/drawing/2014/main" id="{30246FA8-0658-4B0E-8539-2F81A026B33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45" name="Text Box 1">
          <a:extLst>
            <a:ext uri="{FF2B5EF4-FFF2-40B4-BE49-F238E27FC236}">
              <a16:creationId xmlns:a16="http://schemas.microsoft.com/office/drawing/2014/main" id="{28F6334F-840F-4190-A741-6057D5531E0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46" name="Text Box 1">
          <a:extLst>
            <a:ext uri="{FF2B5EF4-FFF2-40B4-BE49-F238E27FC236}">
              <a16:creationId xmlns:a16="http://schemas.microsoft.com/office/drawing/2014/main" id="{273347A1-80BF-44EF-A0B4-96509A96DB5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47" name="Text Box 1">
          <a:extLst>
            <a:ext uri="{FF2B5EF4-FFF2-40B4-BE49-F238E27FC236}">
              <a16:creationId xmlns:a16="http://schemas.microsoft.com/office/drawing/2014/main" id="{77718A15-5288-4731-B999-066E094121A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48" name="Text Box 1">
          <a:extLst>
            <a:ext uri="{FF2B5EF4-FFF2-40B4-BE49-F238E27FC236}">
              <a16:creationId xmlns:a16="http://schemas.microsoft.com/office/drawing/2014/main" id="{655BABA1-3EC8-4072-8B7F-8D56AD1E6DA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49" name="Text Box 1">
          <a:extLst>
            <a:ext uri="{FF2B5EF4-FFF2-40B4-BE49-F238E27FC236}">
              <a16:creationId xmlns:a16="http://schemas.microsoft.com/office/drawing/2014/main" id="{86ACB76C-4FC0-418C-BEDD-40029976168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50" name="Text Box 1">
          <a:extLst>
            <a:ext uri="{FF2B5EF4-FFF2-40B4-BE49-F238E27FC236}">
              <a16:creationId xmlns:a16="http://schemas.microsoft.com/office/drawing/2014/main" id="{5C08303D-A4AB-47FF-9F3A-F5BE422280A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51" name="Text Box 1">
          <a:extLst>
            <a:ext uri="{FF2B5EF4-FFF2-40B4-BE49-F238E27FC236}">
              <a16:creationId xmlns:a16="http://schemas.microsoft.com/office/drawing/2014/main" id="{5E9B9C0E-72AB-4CE3-B90B-C5CAE87EBC3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52" name="Text Box 1">
          <a:extLst>
            <a:ext uri="{FF2B5EF4-FFF2-40B4-BE49-F238E27FC236}">
              <a16:creationId xmlns:a16="http://schemas.microsoft.com/office/drawing/2014/main" id="{F005E9A0-4551-4CBC-87DE-5AD7B1B7139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53" name="Text Box 1">
          <a:extLst>
            <a:ext uri="{FF2B5EF4-FFF2-40B4-BE49-F238E27FC236}">
              <a16:creationId xmlns:a16="http://schemas.microsoft.com/office/drawing/2014/main" id="{08D8A24D-47AF-45C0-B5B0-CA7615651C9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54" name="Text Box 1">
          <a:extLst>
            <a:ext uri="{FF2B5EF4-FFF2-40B4-BE49-F238E27FC236}">
              <a16:creationId xmlns:a16="http://schemas.microsoft.com/office/drawing/2014/main" id="{11D4E4DF-AE69-4F17-9640-D98DA37BCAC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55" name="Text Box 1">
          <a:extLst>
            <a:ext uri="{FF2B5EF4-FFF2-40B4-BE49-F238E27FC236}">
              <a16:creationId xmlns:a16="http://schemas.microsoft.com/office/drawing/2014/main" id="{EF6C0613-408C-491F-BB1E-9B737A471E2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56" name="Text Box 1">
          <a:extLst>
            <a:ext uri="{FF2B5EF4-FFF2-40B4-BE49-F238E27FC236}">
              <a16:creationId xmlns:a16="http://schemas.microsoft.com/office/drawing/2014/main" id="{82BE6DB1-808E-465D-A8EE-8D92ADB7C11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57" name="Text Box 1">
          <a:extLst>
            <a:ext uri="{FF2B5EF4-FFF2-40B4-BE49-F238E27FC236}">
              <a16:creationId xmlns:a16="http://schemas.microsoft.com/office/drawing/2014/main" id="{D3F1F781-0007-4167-8645-54A19DD73C8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58" name="Text Box 1">
          <a:extLst>
            <a:ext uri="{FF2B5EF4-FFF2-40B4-BE49-F238E27FC236}">
              <a16:creationId xmlns:a16="http://schemas.microsoft.com/office/drawing/2014/main" id="{DB9117C7-2C2A-4640-9A14-B03B94BE003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59" name="Text Box 1">
          <a:extLst>
            <a:ext uri="{FF2B5EF4-FFF2-40B4-BE49-F238E27FC236}">
              <a16:creationId xmlns:a16="http://schemas.microsoft.com/office/drawing/2014/main" id="{641A3CA6-E125-4D6C-BF60-559CBFF82EE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60" name="Text Box 1">
          <a:extLst>
            <a:ext uri="{FF2B5EF4-FFF2-40B4-BE49-F238E27FC236}">
              <a16:creationId xmlns:a16="http://schemas.microsoft.com/office/drawing/2014/main" id="{F311B08F-59C2-4FC4-BA26-B04EAFBDCC0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61" name="Text Box 1">
          <a:extLst>
            <a:ext uri="{FF2B5EF4-FFF2-40B4-BE49-F238E27FC236}">
              <a16:creationId xmlns:a16="http://schemas.microsoft.com/office/drawing/2014/main" id="{E13A8AE9-7958-45A9-B527-1C2B1537D32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62" name="Text Box 1">
          <a:extLst>
            <a:ext uri="{FF2B5EF4-FFF2-40B4-BE49-F238E27FC236}">
              <a16:creationId xmlns:a16="http://schemas.microsoft.com/office/drawing/2014/main" id="{13726D1D-BEDD-48C5-944B-7B7F968CB86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63" name="Text Box 1">
          <a:extLst>
            <a:ext uri="{FF2B5EF4-FFF2-40B4-BE49-F238E27FC236}">
              <a16:creationId xmlns:a16="http://schemas.microsoft.com/office/drawing/2014/main" id="{DA45C886-97CA-40B0-B3B7-4FD11CAA5F4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64" name="Text Box 1">
          <a:extLst>
            <a:ext uri="{FF2B5EF4-FFF2-40B4-BE49-F238E27FC236}">
              <a16:creationId xmlns:a16="http://schemas.microsoft.com/office/drawing/2014/main" id="{C228B7B1-330C-4DFB-AFA5-5663FA4C57A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65" name="Text Box 1">
          <a:extLst>
            <a:ext uri="{FF2B5EF4-FFF2-40B4-BE49-F238E27FC236}">
              <a16:creationId xmlns:a16="http://schemas.microsoft.com/office/drawing/2014/main" id="{B3D2C8DA-76C1-4DD0-BE47-494AEBAB4FC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66" name="Text Box 1">
          <a:extLst>
            <a:ext uri="{FF2B5EF4-FFF2-40B4-BE49-F238E27FC236}">
              <a16:creationId xmlns:a16="http://schemas.microsoft.com/office/drawing/2014/main" id="{8BAB47B4-1A08-449C-94BF-988C3526923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67" name="Text Box 1">
          <a:extLst>
            <a:ext uri="{FF2B5EF4-FFF2-40B4-BE49-F238E27FC236}">
              <a16:creationId xmlns:a16="http://schemas.microsoft.com/office/drawing/2014/main" id="{742843A4-2F76-45D5-AB07-390928E9D68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68" name="Text Box 1">
          <a:extLst>
            <a:ext uri="{FF2B5EF4-FFF2-40B4-BE49-F238E27FC236}">
              <a16:creationId xmlns:a16="http://schemas.microsoft.com/office/drawing/2014/main" id="{43D56247-58E4-4282-A3E1-D172EC1DB30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69" name="Text Box 1">
          <a:extLst>
            <a:ext uri="{FF2B5EF4-FFF2-40B4-BE49-F238E27FC236}">
              <a16:creationId xmlns:a16="http://schemas.microsoft.com/office/drawing/2014/main" id="{5C6D014E-A89A-41D0-B023-BA7CE1CB934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70" name="Text Box 1">
          <a:extLst>
            <a:ext uri="{FF2B5EF4-FFF2-40B4-BE49-F238E27FC236}">
              <a16:creationId xmlns:a16="http://schemas.microsoft.com/office/drawing/2014/main" id="{53FFD356-4141-463C-8B52-71631F966DB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71" name="Text Box 1">
          <a:extLst>
            <a:ext uri="{FF2B5EF4-FFF2-40B4-BE49-F238E27FC236}">
              <a16:creationId xmlns:a16="http://schemas.microsoft.com/office/drawing/2014/main" id="{827C6900-6241-478D-8634-00E1032E5FE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72" name="Text Box 1">
          <a:extLst>
            <a:ext uri="{FF2B5EF4-FFF2-40B4-BE49-F238E27FC236}">
              <a16:creationId xmlns:a16="http://schemas.microsoft.com/office/drawing/2014/main" id="{2C95EC80-631F-454B-A4BB-6E2F27D52CB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73" name="Text Box 1">
          <a:extLst>
            <a:ext uri="{FF2B5EF4-FFF2-40B4-BE49-F238E27FC236}">
              <a16:creationId xmlns:a16="http://schemas.microsoft.com/office/drawing/2014/main" id="{9238BA30-8863-49BF-B3FF-ADFA85AE95B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74" name="Text Box 1">
          <a:extLst>
            <a:ext uri="{FF2B5EF4-FFF2-40B4-BE49-F238E27FC236}">
              <a16:creationId xmlns:a16="http://schemas.microsoft.com/office/drawing/2014/main" id="{E9DDEE12-0190-4DB4-8232-1051BA318FF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75" name="Text Box 1">
          <a:extLst>
            <a:ext uri="{FF2B5EF4-FFF2-40B4-BE49-F238E27FC236}">
              <a16:creationId xmlns:a16="http://schemas.microsoft.com/office/drawing/2014/main" id="{AA45043E-36F3-4118-94BF-A5AE38B022E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76" name="Text Box 1">
          <a:extLst>
            <a:ext uri="{FF2B5EF4-FFF2-40B4-BE49-F238E27FC236}">
              <a16:creationId xmlns:a16="http://schemas.microsoft.com/office/drawing/2014/main" id="{1CB34578-5E7D-4A93-99F2-6380BA7A158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77" name="Text Box 1">
          <a:extLst>
            <a:ext uri="{FF2B5EF4-FFF2-40B4-BE49-F238E27FC236}">
              <a16:creationId xmlns:a16="http://schemas.microsoft.com/office/drawing/2014/main" id="{AC95D8E8-98BE-41AE-BE6C-D83702D1AFD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78" name="Text Box 1">
          <a:extLst>
            <a:ext uri="{FF2B5EF4-FFF2-40B4-BE49-F238E27FC236}">
              <a16:creationId xmlns:a16="http://schemas.microsoft.com/office/drawing/2014/main" id="{9B1E01C9-A16E-4A84-BF69-3F963E2D630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79" name="Text Box 1">
          <a:extLst>
            <a:ext uri="{FF2B5EF4-FFF2-40B4-BE49-F238E27FC236}">
              <a16:creationId xmlns:a16="http://schemas.microsoft.com/office/drawing/2014/main" id="{001487EC-2EDF-4EA8-9F22-19D9D239ABB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80" name="Text Box 1">
          <a:extLst>
            <a:ext uri="{FF2B5EF4-FFF2-40B4-BE49-F238E27FC236}">
              <a16:creationId xmlns:a16="http://schemas.microsoft.com/office/drawing/2014/main" id="{74789F79-6644-442C-A16D-E67CA704AEA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81" name="Text Box 1">
          <a:extLst>
            <a:ext uri="{FF2B5EF4-FFF2-40B4-BE49-F238E27FC236}">
              <a16:creationId xmlns:a16="http://schemas.microsoft.com/office/drawing/2014/main" id="{91CBC87A-6D9C-42E1-A276-FD1F3FC034D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82" name="Text Box 1">
          <a:extLst>
            <a:ext uri="{FF2B5EF4-FFF2-40B4-BE49-F238E27FC236}">
              <a16:creationId xmlns:a16="http://schemas.microsoft.com/office/drawing/2014/main" id="{13C18837-12A9-4384-B7C7-1C922C8C9A0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83" name="Text Box 1">
          <a:extLst>
            <a:ext uri="{FF2B5EF4-FFF2-40B4-BE49-F238E27FC236}">
              <a16:creationId xmlns:a16="http://schemas.microsoft.com/office/drawing/2014/main" id="{1753B761-74A9-4A94-9F53-B14FDD53C93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84" name="Text Box 1">
          <a:extLst>
            <a:ext uri="{FF2B5EF4-FFF2-40B4-BE49-F238E27FC236}">
              <a16:creationId xmlns:a16="http://schemas.microsoft.com/office/drawing/2014/main" id="{6C0CF2E0-ED1F-48D4-A936-0480C46A88A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85" name="Text Box 1">
          <a:extLst>
            <a:ext uri="{FF2B5EF4-FFF2-40B4-BE49-F238E27FC236}">
              <a16:creationId xmlns:a16="http://schemas.microsoft.com/office/drawing/2014/main" id="{B3E0D750-CE6F-4A9C-920D-A4833DE0D53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86" name="Text Box 1">
          <a:extLst>
            <a:ext uri="{FF2B5EF4-FFF2-40B4-BE49-F238E27FC236}">
              <a16:creationId xmlns:a16="http://schemas.microsoft.com/office/drawing/2014/main" id="{E9C74660-1375-4600-AF0D-7F9B3AA90A7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87" name="Text Box 1">
          <a:extLst>
            <a:ext uri="{FF2B5EF4-FFF2-40B4-BE49-F238E27FC236}">
              <a16:creationId xmlns:a16="http://schemas.microsoft.com/office/drawing/2014/main" id="{72CCCB61-194D-4C83-8C73-ED03E19F6BD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88" name="Text Box 1">
          <a:extLst>
            <a:ext uri="{FF2B5EF4-FFF2-40B4-BE49-F238E27FC236}">
              <a16:creationId xmlns:a16="http://schemas.microsoft.com/office/drawing/2014/main" id="{CBD800AA-C7FE-4E79-A90F-1DA3AC273DB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89" name="Text Box 1">
          <a:extLst>
            <a:ext uri="{FF2B5EF4-FFF2-40B4-BE49-F238E27FC236}">
              <a16:creationId xmlns:a16="http://schemas.microsoft.com/office/drawing/2014/main" id="{89C130FD-0328-4997-B188-62D46025D0C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90" name="Text Box 1">
          <a:extLst>
            <a:ext uri="{FF2B5EF4-FFF2-40B4-BE49-F238E27FC236}">
              <a16:creationId xmlns:a16="http://schemas.microsoft.com/office/drawing/2014/main" id="{ECEC72EE-64C5-47A7-81DB-4A8AC95404D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91" name="Text Box 1">
          <a:extLst>
            <a:ext uri="{FF2B5EF4-FFF2-40B4-BE49-F238E27FC236}">
              <a16:creationId xmlns:a16="http://schemas.microsoft.com/office/drawing/2014/main" id="{4259BD7F-8C04-4236-8054-59720DB80C8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92" name="Text Box 1">
          <a:extLst>
            <a:ext uri="{FF2B5EF4-FFF2-40B4-BE49-F238E27FC236}">
              <a16:creationId xmlns:a16="http://schemas.microsoft.com/office/drawing/2014/main" id="{F4E8EDC9-C24D-45A9-8A2D-5C403538B84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93" name="Text Box 1">
          <a:extLst>
            <a:ext uri="{FF2B5EF4-FFF2-40B4-BE49-F238E27FC236}">
              <a16:creationId xmlns:a16="http://schemas.microsoft.com/office/drawing/2014/main" id="{796E3A2E-89DE-48DD-883E-1118A53A616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94" name="Text Box 1">
          <a:extLst>
            <a:ext uri="{FF2B5EF4-FFF2-40B4-BE49-F238E27FC236}">
              <a16:creationId xmlns:a16="http://schemas.microsoft.com/office/drawing/2014/main" id="{7BAD3008-AEA5-416A-A84E-01C356F4942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95" name="Text Box 1">
          <a:extLst>
            <a:ext uri="{FF2B5EF4-FFF2-40B4-BE49-F238E27FC236}">
              <a16:creationId xmlns:a16="http://schemas.microsoft.com/office/drawing/2014/main" id="{D2582866-F977-4CFA-9031-5D116B5B254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96" name="Text Box 1">
          <a:extLst>
            <a:ext uri="{FF2B5EF4-FFF2-40B4-BE49-F238E27FC236}">
              <a16:creationId xmlns:a16="http://schemas.microsoft.com/office/drawing/2014/main" id="{8390750C-3C76-40F5-9998-9D9B1FA0F30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97" name="Text Box 1">
          <a:extLst>
            <a:ext uri="{FF2B5EF4-FFF2-40B4-BE49-F238E27FC236}">
              <a16:creationId xmlns:a16="http://schemas.microsoft.com/office/drawing/2014/main" id="{89C5E537-065E-4278-964A-D319174646B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98" name="Text Box 1">
          <a:extLst>
            <a:ext uri="{FF2B5EF4-FFF2-40B4-BE49-F238E27FC236}">
              <a16:creationId xmlns:a16="http://schemas.microsoft.com/office/drawing/2014/main" id="{221032BE-5295-46A7-8093-18F2EC96A7D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299" name="Text Box 1">
          <a:extLst>
            <a:ext uri="{FF2B5EF4-FFF2-40B4-BE49-F238E27FC236}">
              <a16:creationId xmlns:a16="http://schemas.microsoft.com/office/drawing/2014/main" id="{6DBE46B3-C771-4F25-B2D6-CFD9217C8C9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00" name="Text Box 1">
          <a:extLst>
            <a:ext uri="{FF2B5EF4-FFF2-40B4-BE49-F238E27FC236}">
              <a16:creationId xmlns:a16="http://schemas.microsoft.com/office/drawing/2014/main" id="{7CE0A761-BA65-4AA2-94F9-826F6C3B550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01" name="Text Box 1">
          <a:extLst>
            <a:ext uri="{FF2B5EF4-FFF2-40B4-BE49-F238E27FC236}">
              <a16:creationId xmlns:a16="http://schemas.microsoft.com/office/drawing/2014/main" id="{499101EA-1186-40CE-B4A9-3FB2793E12D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02" name="Text Box 1">
          <a:extLst>
            <a:ext uri="{FF2B5EF4-FFF2-40B4-BE49-F238E27FC236}">
              <a16:creationId xmlns:a16="http://schemas.microsoft.com/office/drawing/2014/main" id="{0FA1E906-3C55-405F-B2F2-FEDBA8D35C9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03" name="Text Box 1">
          <a:extLst>
            <a:ext uri="{FF2B5EF4-FFF2-40B4-BE49-F238E27FC236}">
              <a16:creationId xmlns:a16="http://schemas.microsoft.com/office/drawing/2014/main" id="{AA8C28C0-55DA-4B6D-BB94-56296A32429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04" name="Text Box 1">
          <a:extLst>
            <a:ext uri="{FF2B5EF4-FFF2-40B4-BE49-F238E27FC236}">
              <a16:creationId xmlns:a16="http://schemas.microsoft.com/office/drawing/2014/main" id="{11E685D6-AF08-4207-A2EA-50621B69692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05" name="Text Box 1">
          <a:extLst>
            <a:ext uri="{FF2B5EF4-FFF2-40B4-BE49-F238E27FC236}">
              <a16:creationId xmlns:a16="http://schemas.microsoft.com/office/drawing/2014/main" id="{8D54AFC5-AC7B-4BFC-BCF1-A39B7A52148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06" name="Text Box 1">
          <a:extLst>
            <a:ext uri="{FF2B5EF4-FFF2-40B4-BE49-F238E27FC236}">
              <a16:creationId xmlns:a16="http://schemas.microsoft.com/office/drawing/2014/main" id="{CD0D2B27-60ED-4759-860F-F397BD3CFE6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07" name="Text Box 1">
          <a:extLst>
            <a:ext uri="{FF2B5EF4-FFF2-40B4-BE49-F238E27FC236}">
              <a16:creationId xmlns:a16="http://schemas.microsoft.com/office/drawing/2014/main" id="{E8F6F404-632E-4D15-B149-ED718FA3B00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08" name="Text Box 1">
          <a:extLst>
            <a:ext uri="{FF2B5EF4-FFF2-40B4-BE49-F238E27FC236}">
              <a16:creationId xmlns:a16="http://schemas.microsoft.com/office/drawing/2014/main" id="{41461AB0-F3AE-4B35-ACE3-14B9E18D72A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09" name="Text Box 1">
          <a:extLst>
            <a:ext uri="{FF2B5EF4-FFF2-40B4-BE49-F238E27FC236}">
              <a16:creationId xmlns:a16="http://schemas.microsoft.com/office/drawing/2014/main" id="{896427D0-F2B4-4178-B50A-B496351E6CB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10" name="Text Box 1">
          <a:extLst>
            <a:ext uri="{FF2B5EF4-FFF2-40B4-BE49-F238E27FC236}">
              <a16:creationId xmlns:a16="http://schemas.microsoft.com/office/drawing/2014/main" id="{770E3AA7-1CD8-449B-9FF1-36C8B90B5B8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11" name="Text Box 1">
          <a:extLst>
            <a:ext uri="{FF2B5EF4-FFF2-40B4-BE49-F238E27FC236}">
              <a16:creationId xmlns:a16="http://schemas.microsoft.com/office/drawing/2014/main" id="{2A0325F4-B810-48DD-B619-0FEB8670C68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12" name="Text Box 1">
          <a:extLst>
            <a:ext uri="{FF2B5EF4-FFF2-40B4-BE49-F238E27FC236}">
              <a16:creationId xmlns:a16="http://schemas.microsoft.com/office/drawing/2014/main" id="{99906481-EFB5-4091-9FC0-C5F5E8CA6D8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13" name="Text Box 1">
          <a:extLst>
            <a:ext uri="{FF2B5EF4-FFF2-40B4-BE49-F238E27FC236}">
              <a16:creationId xmlns:a16="http://schemas.microsoft.com/office/drawing/2014/main" id="{F3531794-A500-4579-A525-3CED229270B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14" name="Text Box 1">
          <a:extLst>
            <a:ext uri="{FF2B5EF4-FFF2-40B4-BE49-F238E27FC236}">
              <a16:creationId xmlns:a16="http://schemas.microsoft.com/office/drawing/2014/main" id="{DDFDBF85-8E62-44CE-9BD8-B378056E25F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15" name="Text Box 1">
          <a:extLst>
            <a:ext uri="{FF2B5EF4-FFF2-40B4-BE49-F238E27FC236}">
              <a16:creationId xmlns:a16="http://schemas.microsoft.com/office/drawing/2014/main" id="{546A85B6-86B8-4C48-A66A-650E702BE1F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16" name="Text Box 1">
          <a:extLst>
            <a:ext uri="{FF2B5EF4-FFF2-40B4-BE49-F238E27FC236}">
              <a16:creationId xmlns:a16="http://schemas.microsoft.com/office/drawing/2014/main" id="{9486E908-233F-4FAE-AB84-8B71EC437A7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17" name="Text Box 1">
          <a:extLst>
            <a:ext uri="{FF2B5EF4-FFF2-40B4-BE49-F238E27FC236}">
              <a16:creationId xmlns:a16="http://schemas.microsoft.com/office/drawing/2014/main" id="{669A8B5C-62B6-42CC-8C4B-4A8FA68F9D8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18" name="Text Box 1">
          <a:extLst>
            <a:ext uri="{FF2B5EF4-FFF2-40B4-BE49-F238E27FC236}">
              <a16:creationId xmlns:a16="http://schemas.microsoft.com/office/drawing/2014/main" id="{F5D3C67D-C75D-4126-AD60-46B3C2B0603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19" name="Text Box 1">
          <a:extLst>
            <a:ext uri="{FF2B5EF4-FFF2-40B4-BE49-F238E27FC236}">
              <a16:creationId xmlns:a16="http://schemas.microsoft.com/office/drawing/2014/main" id="{46102A44-B090-457B-B5B4-DBF8EC75B02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20" name="Text Box 1">
          <a:extLst>
            <a:ext uri="{FF2B5EF4-FFF2-40B4-BE49-F238E27FC236}">
              <a16:creationId xmlns:a16="http://schemas.microsoft.com/office/drawing/2014/main" id="{7948F720-074B-457C-B687-E5AE5E1B541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21" name="Text Box 1">
          <a:extLst>
            <a:ext uri="{FF2B5EF4-FFF2-40B4-BE49-F238E27FC236}">
              <a16:creationId xmlns:a16="http://schemas.microsoft.com/office/drawing/2014/main" id="{0FC66D16-263F-4CBA-9682-21F799D81A7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22" name="Text Box 1">
          <a:extLst>
            <a:ext uri="{FF2B5EF4-FFF2-40B4-BE49-F238E27FC236}">
              <a16:creationId xmlns:a16="http://schemas.microsoft.com/office/drawing/2014/main" id="{B07E8CD4-A376-494D-AFA6-EA5869169E0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23" name="Text Box 1">
          <a:extLst>
            <a:ext uri="{FF2B5EF4-FFF2-40B4-BE49-F238E27FC236}">
              <a16:creationId xmlns:a16="http://schemas.microsoft.com/office/drawing/2014/main" id="{34140BA9-2E54-45B6-B4D1-1BB39EF84F3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24" name="Text Box 1">
          <a:extLst>
            <a:ext uri="{FF2B5EF4-FFF2-40B4-BE49-F238E27FC236}">
              <a16:creationId xmlns:a16="http://schemas.microsoft.com/office/drawing/2014/main" id="{931145C7-16FE-4731-8CD1-DB1D0AC1211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25" name="Text Box 1">
          <a:extLst>
            <a:ext uri="{FF2B5EF4-FFF2-40B4-BE49-F238E27FC236}">
              <a16:creationId xmlns:a16="http://schemas.microsoft.com/office/drawing/2014/main" id="{0B1AD597-7726-461F-B40E-1A7988FCB98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26" name="Text Box 1">
          <a:extLst>
            <a:ext uri="{FF2B5EF4-FFF2-40B4-BE49-F238E27FC236}">
              <a16:creationId xmlns:a16="http://schemas.microsoft.com/office/drawing/2014/main" id="{DC4B5851-30CA-42D7-B0E1-C3388951476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27" name="Text Box 1">
          <a:extLst>
            <a:ext uri="{FF2B5EF4-FFF2-40B4-BE49-F238E27FC236}">
              <a16:creationId xmlns:a16="http://schemas.microsoft.com/office/drawing/2014/main" id="{A823D456-5873-4DD4-B6AC-3CBFC35F6FF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28" name="Text Box 1">
          <a:extLst>
            <a:ext uri="{FF2B5EF4-FFF2-40B4-BE49-F238E27FC236}">
              <a16:creationId xmlns:a16="http://schemas.microsoft.com/office/drawing/2014/main" id="{6459F7B5-339D-44E6-AD36-10DBDB0E0E3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29" name="Text Box 1">
          <a:extLst>
            <a:ext uri="{FF2B5EF4-FFF2-40B4-BE49-F238E27FC236}">
              <a16:creationId xmlns:a16="http://schemas.microsoft.com/office/drawing/2014/main" id="{FC547AB4-AE05-441D-891B-E925BF8FB56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30" name="Text Box 1">
          <a:extLst>
            <a:ext uri="{FF2B5EF4-FFF2-40B4-BE49-F238E27FC236}">
              <a16:creationId xmlns:a16="http://schemas.microsoft.com/office/drawing/2014/main" id="{682A35B3-011D-4112-ABAB-CA16B3F773E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31" name="Text Box 1">
          <a:extLst>
            <a:ext uri="{FF2B5EF4-FFF2-40B4-BE49-F238E27FC236}">
              <a16:creationId xmlns:a16="http://schemas.microsoft.com/office/drawing/2014/main" id="{86AC4FA6-7E23-4027-A7B2-B11B4B5AD64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32" name="Text Box 1">
          <a:extLst>
            <a:ext uri="{FF2B5EF4-FFF2-40B4-BE49-F238E27FC236}">
              <a16:creationId xmlns:a16="http://schemas.microsoft.com/office/drawing/2014/main" id="{6E1CCCDB-E63A-4FD3-9800-66807838919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33" name="Text Box 1">
          <a:extLst>
            <a:ext uri="{FF2B5EF4-FFF2-40B4-BE49-F238E27FC236}">
              <a16:creationId xmlns:a16="http://schemas.microsoft.com/office/drawing/2014/main" id="{0CD28F40-EE17-47D6-A856-41ECB06AC44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34" name="Text Box 1">
          <a:extLst>
            <a:ext uri="{FF2B5EF4-FFF2-40B4-BE49-F238E27FC236}">
              <a16:creationId xmlns:a16="http://schemas.microsoft.com/office/drawing/2014/main" id="{B67796A2-6974-4A41-833A-87631656769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35" name="Text Box 1">
          <a:extLst>
            <a:ext uri="{FF2B5EF4-FFF2-40B4-BE49-F238E27FC236}">
              <a16:creationId xmlns:a16="http://schemas.microsoft.com/office/drawing/2014/main" id="{017B5E31-7756-44CB-86DB-56C67DCDF56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36" name="Text Box 1">
          <a:extLst>
            <a:ext uri="{FF2B5EF4-FFF2-40B4-BE49-F238E27FC236}">
              <a16:creationId xmlns:a16="http://schemas.microsoft.com/office/drawing/2014/main" id="{CC64BD53-46A1-42B1-AB14-35F8E460F1F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37" name="Text Box 1">
          <a:extLst>
            <a:ext uri="{FF2B5EF4-FFF2-40B4-BE49-F238E27FC236}">
              <a16:creationId xmlns:a16="http://schemas.microsoft.com/office/drawing/2014/main" id="{9AD26EB1-112A-49AE-8D43-8D0C239C804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38" name="Text Box 1">
          <a:extLst>
            <a:ext uri="{FF2B5EF4-FFF2-40B4-BE49-F238E27FC236}">
              <a16:creationId xmlns:a16="http://schemas.microsoft.com/office/drawing/2014/main" id="{883660B7-28B3-401B-864E-C3C19CB16F7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39" name="Text Box 1">
          <a:extLst>
            <a:ext uri="{FF2B5EF4-FFF2-40B4-BE49-F238E27FC236}">
              <a16:creationId xmlns:a16="http://schemas.microsoft.com/office/drawing/2014/main" id="{27DD6CFA-61AB-4DD1-A9EB-5DAECE8A250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40" name="Text Box 1">
          <a:extLst>
            <a:ext uri="{FF2B5EF4-FFF2-40B4-BE49-F238E27FC236}">
              <a16:creationId xmlns:a16="http://schemas.microsoft.com/office/drawing/2014/main" id="{D57F0861-2598-42E7-A1C1-F6460C2C5DB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41" name="Text Box 1">
          <a:extLst>
            <a:ext uri="{FF2B5EF4-FFF2-40B4-BE49-F238E27FC236}">
              <a16:creationId xmlns:a16="http://schemas.microsoft.com/office/drawing/2014/main" id="{446961FE-7110-4DC4-AA75-EF07A0F338C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42" name="Text Box 1">
          <a:extLst>
            <a:ext uri="{FF2B5EF4-FFF2-40B4-BE49-F238E27FC236}">
              <a16:creationId xmlns:a16="http://schemas.microsoft.com/office/drawing/2014/main" id="{9C49B315-FEC2-4812-9D70-C6F3A008482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43" name="Text Box 1">
          <a:extLst>
            <a:ext uri="{FF2B5EF4-FFF2-40B4-BE49-F238E27FC236}">
              <a16:creationId xmlns:a16="http://schemas.microsoft.com/office/drawing/2014/main" id="{447373F3-47A2-414A-A8B0-5EE32E1940B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44" name="Text Box 1">
          <a:extLst>
            <a:ext uri="{FF2B5EF4-FFF2-40B4-BE49-F238E27FC236}">
              <a16:creationId xmlns:a16="http://schemas.microsoft.com/office/drawing/2014/main" id="{29E1DBAD-7E2E-4153-8C4D-757DFA188BC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45" name="Text Box 1">
          <a:extLst>
            <a:ext uri="{FF2B5EF4-FFF2-40B4-BE49-F238E27FC236}">
              <a16:creationId xmlns:a16="http://schemas.microsoft.com/office/drawing/2014/main" id="{3EC702C1-B134-42AD-A5F9-1FFA93AF800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46" name="Text Box 1">
          <a:extLst>
            <a:ext uri="{FF2B5EF4-FFF2-40B4-BE49-F238E27FC236}">
              <a16:creationId xmlns:a16="http://schemas.microsoft.com/office/drawing/2014/main" id="{D7818F7E-0A93-4698-8089-7585C863C5D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47" name="Text Box 1">
          <a:extLst>
            <a:ext uri="{FF2B5EF4-FFF2-40B4-BE49-F238E27FC236}">
              <a16:creationId xmlns:a16="http://schemas.microsoft.com/office/drawing/2014/main" id="{9E889D5D-207E-425B-9CB3-DF143A90F30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48" name="Text Box 1">
          <a:extLst>
            <a:ext uri="{FF2B5EF4-FFF2-40B4-BE49-F238E27FC236}">
              <a16:creationId xmlns:a16="http://schemas.microsoft.com/office/drawing/2014/main" id="{972B5351-295E-4D09-B9B0-79A2713D4E4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49" name="Text Box 1">
          <a:extLst>
            <a:ext uri="{FF2B5EF4-FFF2-40B4-BE49-F238E27FC236}">
              <a16:creationId xmlns:a16="http://schemas.microsoft.com/office/drawing/2014/main" id="{F47DDF4E-9457-4C57-BA27-6ABCCD35358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50" name="Text Box 1">
          <a:extLst>
            <a:ext uri="{FF2B5EF4-FFF2-40B4-BE49-F238E27FC236}">
              <a16:creationId xmlns:a16="http://schemas.microsoft.com/office/drawing/2014/main" id="{9FB84394-B564-4CAA-B87E-22DC290D8DA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51" name="Text Box 1">
          <a:extLst>
            <a:ext uri="{FF2B5EF4-FFF2-40B4-BE49-F238E27FC236}">
              <a16:creationId xmlns:a16="http://schemas.microsoft.com/office/drawing/2014/main" id="{C8D463C3-F80D-4FA2-B7A1-5E360FA819B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52" name="Text Box 1">
          <a:extLst>
            <a:ext uri="{FF2B5EF4-FFF2-40B4-BE49-F238E27FC236}">
              <a16:creationId xmlns:a16="http://schemas.microsoft.com/office/drawing/2014/main" id="{CCF93D5B-EF8F-4150-B9DF-217020B26BD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53" name="Text Box 1">
          <a:extLst>
            <a:ext uri="{FF2B5EF4-FFF2-40B4-BE49-F238E27FC236}">
              <a16:creationId xmlns:a16="http://schemas.microsoft.com/office/drawing/2014/main" id="{8AEF95EF-38D9-4D0A-97F9-A1F36F539AF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54" name="Text Box 1">
          <a:extLst>
            <a:ext uri="{FF2B5EF4-FFF2-40B4-BE49-F238E27FC236}">
              <a16:creationId xmlns:a16="http://schemas.microsoft.com/office/drawing/2014/main" id="{D245B682-1DDA-454B-8DFE-AD0F9565CCF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55" name="Text Box 1">
          <a:extLst>
            <a:ext uri="{FF2B5EF4-FFF2-40B4-BE49-F238E27FC236}">
              <a16:creationId xmlns:a16="http://schemas.microsoft.com/office/drawing/2014/main" id="{FA6320C0-E11A-40D2-BCF7-ACDE872A338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56" name="Text Box 1">
          <a:extLst>
            <a:ext uri="{FF2B5EF4-FFF2-40B4-BE49-F238E27FC236}">
              <a16:creationId xmlns:a16="http://schemas.microsoft.com/office/drawing/2014/main" id="{BEEE951A-C769-4E5D-8110-01A31DCDB1E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57" name="Text Box 1">
          <a:extLst>
            <a:ext uri="{FF2B5EF4-FFF2-40B4-BE49-F238E27FC236}">
              <a16:creationId xmlns:a16="http://schemas.microsoft.com/office/drawing/2014/main" id="{2219262A-2F34-4675-ADEA-425E1809460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58" name="Text Box 1">
          <a:extLst>
            <a:ext uri="{FF2B5EF4-FFF2-40B4-BE49-F238E27FC236}">
              <a16:creationId xmlns:a16="http://schemas.microsoft.com/office/drawing/2014/main" id="{36F14A00-2139-4A34-9499-A9539FA0BC8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59" name="Text Box 1">
          <a:extLst>
            <a:ext uri="{FF2B5EF4-FFF2-40B4-BE49-F238E27FC236}">
              <a16:creationId xmlns:a16="http://schemas.microsoft.com/office/drawing/2014/main" id="{8C7E3A0E-DE63-4262-B0C3-3BD2CF47BD8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60" name="Text Box 1">
          <a:extLst>
            <a:ext uri="{FF2B5EF4-FFF2-40B4-BE49-F238E27FC236}">
              <a16:creationId xmlns:a16="http://schemas.microsoft.com/office/drawing/2014/main" id="{D9089A23-1E2D-49E0-A758-8F813EE4ED4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61" name="Text Box 1">
          <a:extLst>
            <a:ext uri="{FF2B5EF4-FFF2-40B4-BE49-F238E27FC236}">
              <a16:creationId xmlns:a16="http://schemas.microsoft.com/office/drawing/2014/main" id="{F54FF1C8-DE26-4D2C-B8D2-1AB868FE163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62" name="Text Box 1">
          <a:extLst>
            <a:ext uri="{FF2B5EF4-FFF2-40B4-BE49-F238E27FC236}">
              <a16:creationId xmlns:a16="http://schemas.microsoft.com/office/drawing/2014/main" id="{4C75DE28-AF44-488D-8A28-FAE8E796B72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63" name="Text Box 1">
          <a:extLst>
            <a:ext uri="{FF2B5EF4-FFF2-40B4-BE49-F238E27FC236}">
              <a16:creationId xmlns:a16="http://schemas.microsoft.com/office/drawing/2014/main" id="{C1171372-7964-4B93-BE8D-174C9F14393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64" name="Text Box 1">
          <a:extLst>
            <a:ext uri="{FF2B5EF4-FFF2-40B4-BE49-F238E27FC236}">
              <a16:creationId xmlns:a16="http://schemas.microsoft.com/office/drawing/2014/main" id="{3939B4D2-42D7-484B-B6CC-338F48AAB41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65" name="Text Box 1">
          <a:extLst>
            <a:ext uri="{FF2B5EF4-FFF2-40B4-BE49-F238E27FC236}">
              <a16:creationId xmlns:a16="http://schemas.microsoft.com/office/drawing/2014/main" id="{4A9ECE76-4C98-4EC5-B8EF-9FD1C017FE9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66" name="Text Box 1">
          <a:extLst>
            <a:ext uri="{FF2B5EF4-FFF2-40B4-BE49-F238E27FC236}">
              <a16:creationId xmlns:a16="http://schemas.microsoft.com/office/drawing/2014/main" id="{4A866BDA-F93D-4EB8-9CD7-ED22EC15588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67" name="Text Box 1">
          <a:extLst>
            <a:ext uri="{FF2B5EF4-FFF2-40B4-BE49-F238E27FC236}">
              <a16:creationId xmlns:a16="http://schemas.microsoft.com/office/drawing/2014/main" id="{37CAE9C5-A52D-4BB2-ABD7-79DAE79B24B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68" name="Text Box 1">
          <a:extLst>
            <a:ext uri="{FF2B5EF4-FFF2-40B4-BE49-F238E27FC236}">
              <a16:creationId xmlns:a16="http://schemas.microsoft.com/office/drawing/2014/main" id="{4C5FF52F-9A70-49E2-92EB-7B93516DF27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69" name="Text Box 1">
          <a:extLst>
            <a:ext uri="{FF2B5EF4-FFF2-40B4-BE49-F238E27FC236}">
              <a16:creationId xmlns:a16="http://schemas.microsoft.com/office/drawing/2014/main" id="{3B930AA5-609E-4164-8747-CE45790D33D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70" name="Text Box 1">
          <a:extLst>
            <a:ext uri="{FF2B5EF4-FFF2-40B4-BE49-F238E27FC236}">
              <a16:creationId xmlns:a16="http://schemas.microsoft.com/office/drawing/2014/main" id="{E3986330-048F-4AE9-959D-F4A9D3A329A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71" name="Text Box 1">
          <a:extLst>
            <a:ext uri="{FF2B5EF4-FFF2-40B4-BE49-F238E27FC236}">
              <a16:creationId xmlns:a16="http://schemas.microsoft.com/office/drawing/2014/main" id="{FF7705C3-69B8-4E59-AED2-1571D1CEDD5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72" name="Text Box 1">
          <a:extLst>
            <a:ext uri="{FF2B5EF4-FFF2-40B4-BE49-F238E27FC236}">
              <a16:creationId xmlns:a16="http://schemas.microsoft.com/office/drawing/2014/main" id="{F4DB2C5A-3C4F-4EC4-9681-393562AFC8A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73" name="Text Box 1">
          <a:extLst>
            <a:ext uri="{FF2B5EF4-FFF2-40B4-BE49-F238E27FC236}">
              <a16:creationId xmlns:a16="http://schemas.microsoft.com/office/drawing/2014/main" id="{B170F059-CE71-4087-ADA0-76A9B607E23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74" name="Text Box 1">
          <a:extLst>
            <a:ext uri="{FF2B5EF4-FFF2-40B4-BE49-F238E27FC236}">
              <a16:creationId xmlns:a16="http://schemas.microsoft.com/office/drawing/2014/main" id="{14943F68-C43F-4318-BD30-A776333EB75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75" name="Text Box 1">
          <a:extLst>
            <a:ext uri="{FF2B5EF4-FFF2-40B4-BE49-F238E27FC236}">
              <a16:creationId xmlns:a16="http://schemas.microsoft.com/office/drawing/2014/main" id="{D3BC0554-E8F3-41ED-A0C0-E97EADEE449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76" name="Text Box 1">
          <a:extLst>
            <a:ext uri="{FF2B5EF4-FFF2-40B4-BE49-F238E27FC236}">
              <a16:creationId xmlns:a16="http://schemas.microsoft.com/office/drawing/2014/main" id="{FE4A64B1-B5E0-4394-B2D7-887F7232B50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77" name="Text Box 1">
          <a:extLst>
            <a:ext uri="{FF2B5EF4-FFF2-40B4-BE49-F238E27FC236}">
              <a16:creationId xmlns:a16="http://schemas.microsoft.com/office/drawing/2014/main" id="{0F51852D-E393-48D5-B4CF-BF56EF848C2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78" name="Text Box 1">
          <a:extLst>
            <a:ext uri="{FF2B5EF4-FFF2-40B4-BE49-F238E27FC236}">
              <a16:creationId xmlns:a16="http://schemas.microsoft.com/office/drawing/2014/main" id="{AA3EDCFF-5595-4DFC-90CC-718DBFEE6C8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79" name="Text Box 1">
          <a:extLst>
            <a:ext uri="{FF2B5EF4-FFF2-40B4-BE49-F238E27FC236}">
              <a16:creationId xmlns:a16="http://schemas.microsoft.com/office/drawing/2014/main" id="{ED701094-F4C0-45B5-B4EE-AAAFE31712D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80" name="Text Box 1">
          <a:extLst>
            <a:ext uri="{FF2B5EF4-FFF2-40B4-BE49-F238E27FC236}">
              <a16:creationId xmlns:a16="http://schemas.microsoft.com/office/drawing/2014/main" id="{3041CD55-9258-4D64-83DB-EEEDD4ECE04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81" name="Text Box 1">
          <a:extLst>
            <a:ext uri="{FF2B5EF4-FFF2-40B4-BE49-F238E27FC236}">
              <a16:creationId xmlns:a16="http://schemas.microsoft.com/office/drawing/2014/main" id="{13858FED-A7B3-4525-ADDF-250FC10CF70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82" name="Text Box 1">
          <a:extLst>
            <a:ext uri="{FF2B5EF4-FFF2-40B4-BE49-F238E27FC236}">
              <a16:creationId xmlns:a16="http://schemas.microsoft.com/office/drawing/2014/main" id="{EE52EB3A-CE1F-416D-9BDD-D688B57FD4A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83" name="Text Box 1">
          <a:extLst>
            <a:ext uri="{FF2B5EF4-FFF2-40B4-BE49-F238E27FC236}">
              <a16:creationId xmlns:a16="http://schemas.microsoft.com/office/drawing/2014/main" id="{B08E07CD-22A4-4EE9-BCEC-B47C5F70962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84" name="Text Box 1">
          <a:extLst>
            <a:ext uri="{FF2B5EF4-FFF2-40B4-BE49-F238E27FC236}">
              <a16:creationId xmlns:a16="http://schemas.microsoft.com/office/drawing/2014/main" id="{636AB63D-8DF1-433A-B1F4-D30FBEF049D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85" name="Text Box 1">
          <a:extLst>
            <a:ext uri="{FF2B5EF4-FFF2-40B4-BE49-F238E27FC236}">
              <a16:creationId xmlns:a16="http://schemas.microsoft.com/office/drawing/2014/main" id="{9C7842D2-CD4F-4FCF-A7F5-94E52A1E39A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86" name="Text Box 1">
          <a:extLst>
            <a:ext uri="{FF2B5EF4-FFF2-40B4-BE49-F238E27FC236}">
              <a16:creationId xmlns:a16="http://schemas.microsoft.com/office/drawing/2014/main" id="{E90AC589-FEC2-4764-93B5-8AF0485CE8D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87" name="Text Box 1">
          <a:extLst>
            <a:ext uri="{FF2B5EF4-FFF2-40B4-BE49-F238E27FC236}">
              <a16:creationId xmlns:a16="http://schemas.microsoft.com/office/drawing/2014/main" id="{D3302BB0-33FB-4EED-B9BA-7E28CF1B9E2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88" name="Text Box 1">
          <a:extLst>
            <a:ext uri="{FF2B5EF4-FFF2-40B4-BE49-F238E27FC236}">
              <a16:creationId xmlns:a16="http://schemas.microsoft.com/office/drawing/2014/main" id="{2DB5E61C-70E1-4FA8-A17F-4098B4F9901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89" name="Text Box 1">
          <a:extLst>
            <a:ext uri="{FF2B5EF4-FFF2-40B4-BE49-F238E27FC236}">
              <a16:creationId xmlns:a16="http://schemas.microsoft.com/office/drawing/2014/main" id="{FA55DD71-7483-4949-AA02-577ECE0A448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90" name="Text Box 1">
          <a:extLst>
            <a:ext uri="{FF2B5EF4-FFF2-40B4-BE49-F238E27FC236}">
              <a16:creationId xmlns:a16="http://schemas.microsoft.com/office/drawing/2014/main" id="{E67406E0-DEA3-4A46-8961-2CC17717EDF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91" name="Text Box 1">
          <a:extLst>
            <a:ext uri="{FF2B5EF4-FFF2-40B4-BE49-F238E27FC236}">
              <a16:creationId xmlns:a16="http://schemas.microsoft.com/office/drawing/2014/main" id="{4E1140A5-B90D-4786-AB9C-53FDE7FACD1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92" name="Text Box 1">
          <a:extLst>
            <a:ext uri="{FF2B5EF4-FFF2-40B4-BE49-F238E27FC236}">
              <a16:creationId xmlns:a16="http://schemas.microsoft.com/office/drawing/2014/main" id="{C204B3CA-4A79-4F9E-AF93-937ADA1424A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93" name="Text Box 1">
          <a:extLst>
            <a:ext uri="{FF2B5EF4-FFF2-40B4-BE49-F238E27FC236}">
              <a16:creationId xmlns:a16="http://schemas.microsoft.com/office/drawing/2014/main" id="{2FF77916-0B82-4E12-85B5-C1CBB3CDFCB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94" name="Text Box 1">
          <a:extLst>
            <a:ext uri="{FF2B5EF4-FFF2-40B4-BE49-F238E27FC236}">
              <a16:creationId xmlns:a16="http://schemas.microsoft.com/office/drawing/2014/main" id="{AF35B2EC-4E66-4EBE-A909-89F6A2B9888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95" name="Text Box 1">
          <a:extLst>
            <a:ext uri="{FF2B5EF4-FFF2-40B4-BE49-F238E27FC236}">
              <a16:creationId xmlns:a16="http://schemas.microsoft.com/office/drawing/2014/main" id="{3984E7FD-430C-437E-B6DC-623CFE1081C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96" name="Text Box 1">
          <a:extLst>
            <a:ext uri="{FF2B5EF4-FFF2-40B4-BE49-F238E27FC236}">
              <a16:creationId xmlns:a16="http://schemas.microsoft.com/office/drawing/2014/main" id="{AED3F43E-FA99-47C3-A797-3F1F7AD841D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97" name="Text Box 1">
          <a:extLst>
            <a:ext uri="{FF2B5EF4-FFF2-40B4-BE49-F238E27FC236}">
              <a16:creationId xmlns:a16="http://schemas.microsoft.com/office/drawing/2014/main" id="{7C2A45D4-2D9E-4BAA-87E0-A7626D307BF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98" name="Text Box 1">
          <a:extLst>
            <a:ext uri="{FF2B5EF4-FFF2-40B4-BE49-F238E27FC236}">
              <a16:creationId xmlns:a16="http://schemas.microsoft.com/office/drawing/2014/main" id="{25F42733-459E-4F52-8B9E-A7CABE34531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399" name="Text Box 1">
          <a:extLst>
            <a:ext uri="{FF2B5EF4-FFF2-40B4-BE49-F238E27FC236}">
              <a16:creationId xmlns:a16="http://schemas.microsoft.com/office/drawing/2014/main" id="{0E36F733-2100-4B94-BD9E-A590FA96C71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00" name="Text Box 1">
          <a:extLst>
            <a:ext uri="{FF2B5EF4-FFF2-40B4-BE49-F238E27FC236}">
              <a16:creationId xmlns:a16="http://schemas.microsoft.com/office/drawing/2014/main" id="{21A016BE-B4E7-45F1-B7DD-23DEA44423D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01" name="Text Box 1">
          <a:extLst>
            <a:ext uri="{FF2B5EF4-FFF2-40B4-BE49-F238E27FC236}">
              <a16:creationId xmlns:a16="http://schemas.microsoft.com/office/drawing/2014/main" id="{D98D34F2-4867-40D6-AFA7-D9582DD6E06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02" name="Text Box 1">
          <a:extLst>
            <a:ext uri="{FF2B5EF4-FFF2-40B4-BE49-F238E27FC236}">
              <a16:creationId xmlns:a16="http://schemas.microsoft.com/office/drawing/2014/main" id="{4189C539-5DB1-4D1E-A850-7E48A2AB1B5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03" name="Text Box 1">
          <a:extLst>
            <a:ext uri="{FF2B5EF4-FFF2-40B4-BE49-F238E27FC236}">
              <a16:creationId xmlns:a16="http://schemas.microsoft.com/office/drawing/2014/main" id="{749AFDF0-0EB1-4BAA-80B4-CF2D0DAE9D1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04" name="Text Box 1">
          <a:extLst>
            <a:ext uri="{FF2B5EF4-FFF2-40B4-BE49-F238E27FC236}">
              <a16:creationId xmlns:a16="http://schemas.microsoft.com/office/drawing/2014/main" id="{C65B9BC0-3A75-49BC-A7EF-C9D0FB4A30B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05" name="Text Box 1">
          <a:extLst>
            <a:ext uri="{FF2B5EF4-FFF2-40B4-BE49-F238E27FC236}">
              <a16:creationId xmlns:a16="http://schemas.microsoft.com/office/drawing/2014/main" id="{EAD7A469-BD7A-4580-B9C1-CE1DD22525B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06" name="Text Box 1">
          <a:extLst>
            <a:ext uri="{FF2B5EF4-FFF2-40B4-BE49-F238E27FC236}">
              <a16:creationId xmlns:a16="http://schemas.microsoft.com/office/drawing/2014/main" id="{85A4D00F-03E8-4817-BA7F-A7DD7CD3FCD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07" name="Text Box 1">
          <a:extLst>
            <a:ext uri="{FF2B5EF4-FFF2-40B4-BE49-F238E27FC236}">
              <a16:creationId xmlns:a16="http://schemas.microsoft.com/office/drawing/2014/main" id="{9713D9E6-9CC2-4B74-A287-1EC35CD37F6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08" name="Text Box 1">
          <a:extLst>
            <a:ext uri="{FF2B5EF4-FFF2-40B4-BE49-F238E27FC236}">
              <a16:creationId xmlns:a16="http://schemas.microsoft.com/office/drawing/2014/main" id="{449D425F-C3C3-4D89-8EA9-DAB656B927D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09" name="Text Box 1">
          <a:extLst>
            <a:ext uri="{FF2B5EF4-FFF2-40B4-BE49-F238E27FC236}">
              <a16:creationId xmlns:a16="http://schemas.microsoft.com/office/drawing/2014/main" id="{2506B30F-AAF6-40AD-994E-A76856BA8E5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10" name="Text Box 1">
          <a:extLst>
            <a:ext uri="{FF2B5EF4-FFF2-40B4-BE49-F238E27FC236}">
              <a16:creationId xmlns:a16="http://schemas.microsoft.com/office/drawing/2014/main" id="{30DDC401-1D23-42AE-B4D6-A7E2FFBD225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11" name="Text Box 1">
          <a:extLst>
            <a:ext uri="{FF2B5EF4-FFF2-40B4-BE49-F238E27FC236}">
              <a16:creationId xmlns:a16="http://schemas.microsoft.com/office/drawing/2014/main" id="{CD9BAC9E-7C59-440E-9547-FE2180FFCBF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12" name="Text Box 1">
          <a:extLst>
            <a:ext uri="{FF2B5EF4-FFF2-40B4-BE49-F238E27FC236}">
              <a16:creationId xmlns:a16="http://schemas.microsoft.com/office/drawing/2014/main" id="{0BA2E673-3AC1-4BD3-8E48-FD8322BFD33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13" name="Text Box 1">
          <a:extLst>
            <a:ext uri="{FF2B5EF4-FFF2-40B4-BE49-F238E27FC236}">
              <a16:creationId xmlns:a16="http://schemas.microsoft.com/office/drawing/2014/main" id="{45F8F73E-9984-43F1-A9E4-FCF5466C6C3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14" name="Text Box 1">
          <a:extLst>
            <a:ext uri="{FF2B5EF4-FFF2-40B4-BE49-F238E27FC236}">
              <a16:creationId xmlns:a16="http://schemas.microsoft.com/office/drawing/2014/main" id="{B985D8C9-798C-47B5-9407-CE96E2EF321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15" name="Text Box 1">
          <a:extLst>
            <a:ext uri="{FF2B5EF4-FFF2-40B4-BE49-F238E27FC236}">
              <a16:creationId xmlns:a16="http://schemas.microsoft.com/office/drawing/2014/main" id="{514B9316-6FEC-4CF4-862C-24B7CE60BFB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16" name="Text Box 1">
          <a:extLst>
            <a:ext uri="{FF2B5EF4-FFF2-40B4-BE49-F238E27FC236}">
              <a16:creationId xmlns:a16="http://schemas.microsoft.com/office/drawing/2014/main" id="{8C340B13-458C-4E58-A9C3-18EA1D95446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17" name="Text Box 1">
          <a:extLst>
            <a:ext uri="{FF2B5EF4-FFF2-40B4-BE49-F238E27FC236}">
              <a16:creationId xmlns:a16="http://schemas.microsoft.com/office/drawing/2014/main" id="{5994359E-4FDA-47A3-8CCF-06A343E71A3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18" name="Text Box 1">
          <a:extLst>
            <a:ext uri="{FF2B5EF4-FFF2-40B4-BE49-F238E27FC236}">
              <a16:creationId xmlns:a16="http://schemas.microsoft.com/office/drawing/2014/main" id="{C2AB941D-1A16-419E-9D89-40BB4538FDB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19" name="Text Box 1">
          <a:extLst>
            <a:ext uri="{FF2B5EF4-FFF2-40B4-BE49-F238E27FC236}">
              <a16:creationId xmlns:a16="http://schemas.microsoft.com/office/drawing/2014/main" id="{C0FD63B4-67C6-474A-BC86-079034E3B19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20" name="Text Box 1">
          <a:extLst>
            <a:ext uri="{FF2B5EF4-FFF2-40B4-BE49-F238E27FC236}">
              <a16:creationId xmlns:a16="http://schemas.microsoft.com/office/drawing/2014/main" id="{336A23F2-C7A2-42E2-8FE3-9035B05034F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21" name="Text Box 1">
          <a:extLst>
            <a:ext uri="{FF2B5EF4-FFF2-40B4-BE49-F238E27FC236}">
              <a16:creationId xmlns:a16="http://schemas.microsoft.com/office/drawing/2014/main" id="{352465F5-8187-4CCC-AD30-A722EB38203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22" name="Text Box 1">
          <a:extLst>
            <a:ext uri="{FF2B5EF4-FFF2-40B4-BE49-F238E27FC236}">
              <a16:creationId xmlns:a16="http://schemas.microsoft.com/office/drawing/2014/main" id="{593D9509-9AD8-45E1-96A2-20BA423979C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23" name="Text Box 1">
          <a:extLst>
            <a:ext uri="{FF2B5EF4-FFF2-40B4-BE49-F238E27FC236}">
              <a16:creationId xmlns:a16="http://schemas.microsoft.com/office/drawing/2014/main" id="{8F829D57-24D6-4E0D-81C3-F2583490776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24" name="Text Box 1">
          <a:extLst>
            <a:ext uri="{FF2B5EF4-FFF2-40B4-BE49-F238E27FC236}">
              <a16:creationId xmlns:a16="http://schemas.microsoft.com/office/drawing/2014/main" id="{E60A9BCC-6741-4D60-A138-87068848641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25" name="Text Box 1">
          <a:extLst>
            <a:ext uri="{FF2B5EF4-FFF2-40B4-BE49-F238E27FC236}">
              <a16:creationId xmlns:a16="http://schemas.microsoft.com/office/drawing/2014/main" id="{81721223-FCA4-4E20-B04E-8CF7E51868B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26" name="Text Box 1">
          <a:extLst>
            <a:ext uri="{FF2B5EF4-FFF2-40B4-BE49-F238E27FC236}">
              <a16:creationId xmlns:a16="http://schemas.microsoft.com/office/drawing/2014/main" id="{191B30A6-9DB3-437F-A7D4-B7B741C575C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27" name="Text Box 1">
          <a:extLst>
            <a:ext uri="{FF2B5EF4-FFF2-40B4-BE49-F238E27FC236}">
              <a16:creationId xmlns:a16="http://schemas.microsoft.com/office/drawing/2014/main" id="{FC270DA7-B7C3-489B-8CDF-5E297723EC5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28" name="Text Box 1">
          <a:extLst>
            <a:ext uri="{FF2B5EF4-FFF2-40B4-BE49-F238E27FC236}">
              <a16:creationId xmlns:a16="http://schemas.microsoft.com/office/drawing/2014/main" id="{24963E18-51D5-47C8-B4C1-B16DC07C609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29" name="Text Box 1">
          <a:extLst>
            <a:ext uri="{FF2B5EF4-FFF2-40B4-BE49-F238E27FC236}">
              <a16:creationId xmlns:a16="http://schemas.microsoft.com/office/drawing/2014/main" id="{B0932E4C-1B62-4140-AA1E-F89DABD6EE3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30" name="Text Box 1">
          <a:extLst>
            <a:ext uri="{FF2B5EF4-FFF2-40B4-BE49-F238E27FC236}">
              <a16:creationId xmlns:a16="http://schemas.microsoft.com/office/drawing/2014/main" id="{5D3B156E-43D8-4AC8-B873-F459AA0DA13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31" name="Text Box 1">
          <a:extLst>
            <a:ext uri="{FF2B5EF4-FFF2-40B4-BE49-F238E27FC236}">
              <a16:creationId xmlns:a16="http://schemas.microsoft.com/office/drawing/2014/main" id="{1C3311BE-3240-4E05-B454-E22C605AFD7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32" name="Text Box 1">
          <a:extLst>
            <a:ext uri="{FF2B5EF4-FFF2-40B4-BE49-F238E27FC236}">
              <a16:creationId xmlns:a16="http://schemas.microsoft.com/office/drawing/2014/main" id="{CD58DE4E-EB8D-4902-946F-FE6242818D6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33" name="Text Box 1">
          <a:extLst>
            <a:ext uri="{FF2B5EF4-FFF2-40B4-BE49-F238E27FC236}">
              <a16:creationId xmlns:a16="http://schemas.microsoft.com/office/drawing/2014/main" id="{5005A564-2DFB-453A-8585-7BAD04314AE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34" name="Text Box 1">
          <a:extLst>
            <a:ext uri="{FF2B5EF4-FFF2-40B4-BE49-F238E27FC236}">
              <a16:creationId xmlns:a16="http://schemas.microsoft.com/office/drawing/2014/main" id="{AE4AE63B-911F-42EE-822E-23C486940AD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35" name="Text Box 1">
          <a:extLst>
            <a:ext uri="{FF2B5EF4-FFF2-40B4-BE49-F238E27FC236}">
              <a16:creationId xmlns:a16="http://schemas.microsoft.com/office/drawing/2014/main" id="{14A7FAA1-20BC-4302-8C01-B6539BB109A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36" name="Text Box 1">
          <a:extLst>
            <a:ext uri="{FF2B5EF4-FFF2-40B4-BE49-F238E27FC236}">
              <a16:creationId xmlns:a16="http://schemas.microsoft.com/office/drawing/2014/main" id="{DE1EE675-5B51-4663-ACA9-AE7358E749C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37" name="Text Box 1">
          <a:extLst>
            <a:ext uri="{FF2B5EF4-FFF2-40B4-BE49-F238E27FC236}">
              <a16:creationId xmlns:a16="http://schemas.microsoft.com/office/drawing/2014/main" id="{69F241CD-B725-4EEE-A18B-986F358F28D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38" name="Text Box 1">
          <a:extLst>
            <a:ext uri="{FF2B5EF4-FFF2-40B4-BE49-F238E27FC236}">
              <a16:creationId xmlns:a16="http://schemas.microsoft.com/office/drawing/2014/main" id="{703F67B7-406B-42CA-84E6-D5E0DB52E96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39" name="Text Box 1">
          <a:extLst>
            <a:ext uri="{FF2B5EF4-FFF2-40B4-BE49-F238E27FC236}">
              <a16:creationId xmlns:a16="http://schemas.microsoft.com/office/drawing/2014/main" id="{A864DBED-214D-4B98-AC4C-87EC1870ED2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40" name="Text Box 1">
          <a:extLst>
            <a:ext uri="{FF2B5EF4-FFF2-40B4-BE49-F238E27FC236}">
              <a16:creationId xmlns:a16="http://schemas.microsoft.com/office/drawing/2014/main" id="{ABD58975-3DDC-457D-938A-2A60DC0F1AC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41" name="Text Box 1">
          <a:extLst>
            <a:ext uri="{FF2B5EF4-FFF2-40B4-BE49-F238E27FC236}">
              <a16:creationId xmlns:a16="http://schemas.microsoft.com/office/drawing/2014/main" id="{1CC24E76-FF45-49EF-A902-C6950333752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42" name="Text Box 1">
          <a:extLst>
            <a:ext uri="{FF2B5EF4-FFF2-40B4-BE49-F238E27FC236}">
              <a16:creationId xmlns:a16="http://schemas.microsoft.com/office/drawing/2014/main" id="{019C628A-3225-47E5-B57A-246B0A8CBE7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43" name="Text Box 1">
          <a:extLst>
            <a:ext uri="{FF2B5EF4-FFF2-40B4-BE49-F238E27FC236}">
              <a16:creationId xmlns:a16="http://schemas.microsoft.com/office/drawing/2014/main" id="{E8B325C7-6279-4493-8A73-B83770E98D8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44" name="Text Box 1">
          <a:extLst>
            <a:ext uri="{FF2B5EF4-FFF2-40B4-BE49-F238E27FC236}">
              <a16:creationId xmlns:a16="http://schemas.microsoft.com/office/drawing/2014/main" id="{4CB220C1-21C0-417B-A30B-785D75886C0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45" name="Text Box 1">
          <a:extLst>
            <a:ext uri="{FF2B5EF4-FFF2-40B4-BE49-F238E27FC236}">
              <a16:creationId xmlns:a16="http://schemas.microsoft.com/office/drawing/2014/main" id="{2EFC6DEF-66E0-450C-9FD9-D0222BF52F2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46" name="Text Box 1">
          <a:extLst>
            <a:ext uri="{FF2B5EF4-FFF2-40B4-BE49-F238E27FC236}">
              <a16:creationId xmlns:a16="http://schemas.microsoft.com/office/drawing/2014/main" id="{C3623BEF-C450-4452-A41E-92053660C79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47" name="Text Box 1">
          <a:extLst>
            <a:ext uri="{FF2B5EF4-FFF2-40B4-BE49-F238E27FC236}">
              <a16:creationId xmlns:a16="http://schemas.microsoft.com/office/drawing/2014/main" id="{5473100C-A400-457F-9C74-C598C2D295B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48" name="Text Box 1">
          <a:extLst>
            <a:ext uri="{FF2B5EF4-FFF2-40B4-BE49-F238E27FC236}">
              <a16:creationId xmlns:a16="http://schemas.microsoft.com/office/drawing/2014/main" id="{CA4B0952-EEDD-4667-A74C-F757E31DA8B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49" name="Text Box 1">
          <a:extLst>
            <a:ext uri="{FF2B5EF4-FFF2-40B4-BE49-F238E27FC236}">
              <a16:creationId xmlns:a16="http://schemas.microsoft.com/office/drawing/2014/main" id="{E7D239B5-FEA8-4DBF-A1DB-8F74830DB51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50" name="Text Box 1">
          <a:extLst>
            <a:ext uri="{FF2B5EF4-FFF2-40B4-BE49-F238E27FC236}">
              <a16:creationId xmlns:a16="http://schemas.microsoft.com/office/drawing/2014/main" id="{1D0F51C5-3C4D-432A-BA88-5884B065338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51" name="Text Box 1">
          <a:extLst>
            <a:ext uri="{FF2B5EF4-FFF2-40B4-BE49-F238E27FC236}">
              <a16:creationId xmlns:a16="http://schemas.microsoft.com/office/drawing/2014/main" id="{DBE5DC3A-5DEF-4220-8844-DBACDEA20B3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52" name="Text Box 1">
          <a:extLst>
            <a:ext uri="{FF2B5EF4-FFF2-40B4-BE49-F238E27FC236}">
              <a16:creationId xmlns:a16="http://schemas.microsoft.com/office/drawing/2014/main" id="{F83975C1-4D40-4754-8554-36E399A1A85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53" name="Text Box 1">
          <a:extLst>
            <a:ext uri="{FF2B5EF4-FFF2-40B4-BE49-F238E27FC236}">
              <a16:creationId xmlns:a16="http://schemas.microsoft.com/office/drawing/2014/main" id="{C014627E-E789-436E-9C74-BA104D3807B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54" name="Text Box 1">
          <a:extLst>
            <a:ext uri="{FF2B5EF4-FFF2-40B4-BE49-F238E27FC236}">
              <a16:creationId xmlns:a16="http://schemas.microsoft.com/office/drawing/2014/main" id="{E477B4EE-9204-4767-9DDA-453188CA0D4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55" name="Text Box 1">
          <a:extLst>
            <a:ext uri="{FF2B5EF4-FFF2-40B4-BE49-F238E27FC236}">
              <a16:creationId xmlns:a16="http://schemas.microsoft.com/office/drawing/2014/main" id="{4869DAFF-F396-4942-9544-0A498C020C2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56" name="Text Box 1">
          <a:extLst>
            <a:ext uri="{FF2B5EF4-FFF2-40B4-BE49-F238E27FC236}">
              <a16:creationId xmlns:a16="http://schemas.microsoft.com/office/drawing/2014/main" id="{C0133D71-A996-433F-AEB7-7036C67E983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57" name="Text Box 1">
          <a:extLst>
            <a:ext uri="{FF2B5EF4-FFF2-40B4-BE49-F238E27FC236}">
              <a16:creationId xmlns:a16="http://schemas.microsoft.com/office/drawing/2014/main" id="{C9AD66E4-EA7B-4E0B-BA27-6659B3F59AE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58" name="Text Box 1">
          <a:extLst>
            <a:ext uri="{FF2B5EF4-FFF2-40B4-BE49-F238E27FC236}">
              <a16:creationId xmlns:a16="http://schemas.microsoft.com/office/drawing/2014/main" id="{D3FEFDBF-D2B9-499B-9598-47655696D75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59" name="Text Box 1">
          <a:extLst>
            <a:ext uri="{FF2B5EF4-FFF2-40B4-BE49-F238E27FC236}">
              <a16:creationId xmlns:a16="http://schemas.microsoft.com/office/drawing/2014/main" id="{F7F96F43-47E1-4DF8-9433-F0AA7C8C71D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60" name="Text Box 1">
          <a:extLst>
            <a:ext uri="{FF2B5EF4-FFF2-40B4-BE49-F238E27FC236}">
              <a16:creationId xmlns:a16="http://schemas.microsoft.com/office/drawing/2014/main" id="{AB0E9054-0F15-4671-B379-F8B509D6737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61" name="Text Box 1">
          <a:extLst>
            <a:ext uri="{FF2B5EF4-FFF2-40B4-BE49-F238E27FC236}">
              <a16:creationId xmlns:a16="http://schemas.microsoft.com/office/drawing/2014/main" id="{97B82421-F563-4176-A575-3F0B5AB1B4D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62" name="Text Box 1">
          <a:extLst>
            <a:ext uri="{FF2B5EF4-FFF2-40B4-BE49-F238E27FC236}">
              <a16:creationId xmlns:a16="http://schemas.microsoft.com/office/drawing/2014/main" id="{7F462E43-42E9-4AC4-8CD5-5D9AC59B8DA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63" name="Text Box 1">
          <a:extLst>
            <a:ext uri="{FF2B5EF4-FFF2-40B4-BE49-F238E27FC236}">
              <a16:creationId xmlns:a16="http://schemas.microsoft.com/office/drawing/2014/main" id="{1F6B1FBD-6EBF-4DB6-B792-FBC49FF781C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64" name="Text Box 1">
          <a:extLst>
            <a:ext uri="{FF2B5EF4-FFF2-40B4-BE49-F238E27FC236}">
              <a16:creationId xmlns:a16="http://schemas.microsoft.com/office/drawing/2014/main" id="{7FBDC858-39E8-4999-9177-20A799FCCD5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65" name="Text Box 1">
          <a:extLst>
            <a:ext uri="{FF2B5EF4-FFF2-40B4-BE49-F238E27FC236}">
              <a16:creationId xmlns:a16="http://schemas.microsoft.com/office/drawing/2014/main" id="{41446EDF-18A5-4B0A-9DC7-4BB49BF5684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66" name="Text Box 1">
          <a:extLst>
            <a:ext uri="{FF2B5EF4-FFF2-40B4-BE49-F238E27FC236}">
              <a16:creationId xmlns:a16="http://schemas.microsoft.com/office/drawing/2014/main" id="{FC4C16A1-DE43-4F49-ACC0-F1E4EE5A0BF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67" name="Text Box 1">
          <a:extLst>
            <a:ext uri="{FF2B5EF4-FFF2-40B4-BE49-F238E27FC236}">
              <a16:creationId xmlns:a16="http://schemas.microsoft.com/office/drawing/2014/main" id="{C59DDDFE-F802-4FAA-8674-1E386B71478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68" name="Text Box 1">
          <a:extLst>
            <a:ext uri="{FF2B5EF4-FFF2-40B4-BE49-F238E27FC236}">
              <a16:creationId xmlns:a16="http://schemas.microsoft.com/office/drawing/2014/main" id="{E15EBDF0-B409-4149-8C50-9468FDCAD90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69" name="Text Box 1">
          <a:extLst>
            <a:ext uri="{FF2B5EF4-FFF2-40B4-BE49-F238E27FC236}">
              <a16:creationId xmlns:a16="http://schemas.microsoft.com/office/drawing/2014/main" id="{BD95A2D1-03BC-4616-8F2B-23795CB6752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70" name="Text Box 1">
          <a:extLst>
            <a:ext uri="{FF2B5EF4-FFF2-40B4-BE49-F238E27FC236}">
              <a16:creationId xmlns:a16="http://schemas.microsoft.com/office/drawing/2014/main" id="{51BF9D78-E60F-453D-8BB8-C0363CC171A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71" name="Text Box 1">
          <a:extLst>
            <a:ext uri="{FF2B5EF4-FFF2-40B4-BE49-F238E27FC236}">
              <a16:creationId xmlns:a16="http://schemas.microsoft.com/office/drawing/2014/main" id="{47F691EA-3C93-41CB-935C-6AEA5DF2494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72" name="Text Box 1">
          <a:extLst>
            <a:ext uri="{FF2B5EF4-FFF2-40B4-BE49-F238E27FC236}">
              <a16:creationId xmlns:a16="http://schemas.microsoft.com/office/drawing/2014/main" id="{8EBE3A0A-ADF3-48C2-899A-2904759D8B9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73" name="Text Box 1">
          <a:extLst>
            <a:ext uri="{FF2B5EF4-FFF2-40B4-BE49-F238E27FC236}">
              <a16:creationId xmlns:a16="http://schemas.microsoft.com/office/drawing/2014/main" id="{3E0DD0B5-B182-4A38-B7E4-88FC3771A1C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74" name="Text Box 1">
          <a:extLst>
            <a:ext uri="{FF2B5EF4-FFF2-40B4-BE49-F238E27FC236}">
              <a16:creationId xmlns:a16="http://schemas.microsoft.com/office/drawing/2014/main" id="{4804820D-068E-4842-A36F-C9B9B96199B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75" name="Text Box 1">
          <a:extLst>
            <a:ext uri="{FF2B5EF4-FFF2-40B4-BE49-F238E27FC236}">
              <a16:creationId xmlns:a16="http://schemas.microsoft.com/office/drawing/2014/main" id="{E076E4AB-1F7D-4007-89A4-7C407D9C1FD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76" name="Text Box 1">
          <a:extLst>
            <a:ext uri="{FF2B5EF4-FFF2-40B4-BE49-F238E27FC236}">
              <a16:creationId xmlns:a16="http://schemas.microsoft.com/office/drawing/2014/main" id="{861EBFFC-BBA4-4431-8AAE-0648ED48D37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77" name="Text Box 1">
          <a:extLst>
            <a:ext uri="{FF2B5EF4-FFF2-40B4-BE49-F238E27FC236}">
              <a16:creationId xmlns:a16="http://schemas.microsoft.com/office/drawing/2014/main" id="{8495EA40-9D93-4F3A-91C9-E3F4A494580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78" name="Text Box 1">
          <a:extLst>
            <a:ext uri="{FF2B5EF4-FFF2-40B4-BE49-F238E27FC236}">
              <a16:creationId xmlns:a16="http://schemas.microsoft.com/office/drawing/2014/main" id="{D5AD3FB9-206C-4FFC-98DE-A851EE67FA5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79" name="Text Box 1">
          <a:extLst>
            <a:ext uri="{FF2B5EF4-FFF2-40B4-BE49-F238E27FC236}">
              <a16:creationId xmlns:a16="http://schemas.microsoft.com/office/drawing/2014/main" id="{A11C1F68-38BB-4C3A-BD31-79EDB737AC1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80" name="Text Box 1">
          <a:extLst>
            <a:ext uri="{FF2B5EF4-FFF2-40B4-BE49-F238E27FC236}">
              <a16:creationId xmlns:a16="http://schemas.microsoft.com/office/drawing/2014/main" id="{25B3C494-A2A2-433A-94CA-2339C7AF103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81" name="Text Box 1">
          <a:extLst>
            <a:ext uri="{FF2B5EF4-FFF2-40B4-BE49-F238E27FC236}">
              <a16:creationId xmlns:a16="http://schemas.microsoft.com/office/drawing/2014/main" id="{77F1EFC1-DBF1-49E8-AC39-ED86C7F322E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82" name="Text Box 1">
          <a:extLst>
            <a:ext uri="{FF2B5EF4-FFF2-40B4-BE49-F238E27FC236}">
              <a16:creationId xmlns:a16="http://schemas.microsoft.com/office/drawing/2014/main" id="{8F0C3016-10D2-4010-AEF0-2C9DE88394C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83" name="Text Box 1">
          <a:extLst>
            <a:ext uri="{FF2B5EF4-FFF2-40B4-BE49-F238E27FC236}">
              <a16:creationId xmlns:a16="http://schemas.microsoft.com/office/drawing/2014/main" id="{F214EBE9-B1C6-461C-8AE1-F0BEA1C9BDA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84" name="Text Box 1">
          <a:extLst>
            <a:ext uri="{FF2B5EF4-FFF2-40B4-BE49-F238E27FC236}">
              <a16:creationId xmlns:a16="http://schemas.microsoft.com/office/drawing/2014/main" id="{C76DC1CA-8596-4E7A-8CBD-1FA0F983AEE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85" name="Text Box 1">
          <a:extLst>
            <a:ext uri="{FF2B5EF4-FFF2-40B4-BE49-F238E27FC236}">
              <a16:creationId xmlns:a16="http://schemas.microsoft.com/office/drawing/2014/main" id="{50AD4659-7B67-48ED-8EC2-E04F5896CDD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86" name="Text Box 1">
          <a:extLst>
            <a:ext uri="{FF2B5EF4-FFF2-40B4-BE49-F238E27FC236}">
              <a16:creationId xmlns:a16="http://schemas.microsoft.com/office/drawing/2014/main" id="{53248D96-7012-45A5-BB38-067C0A1A77D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87" name="Text Box 1">
          <a:extLst>
            <a:ext uri="{FF2B5EF4-FFF2-40B4-BE49-F238E27FC236}">
              <a16:creationId xmlns:a16="http://schemas.microsoft.com/office/drawing/2014/main" id="{52CECEFE-1526-4505-8228-B9BEB011AD5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88" name="Text Box 1">
          <a:extLst>
            <a:ext uri="{FF2B5EF4-FFF2-40B4-BE49-F238E27FC236}">
              <a16:creationId xmlns:a16="http://schemas.microsoft.com/office/drawing/2014/main" id="{BEE5B705-2F39-404B-8483-490E543CC0D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89" name="Text Box 1">
          <a:extLst>
            <a:ext uri="{FF2B5EF4-FFF2-40B4-BE49-F238E27FC236}">
              <a16:creationId xmlns:a16="http://schemas.microsoft.com/office/drawing/2014/main" id="{3E575E05-DDCF-45CF-98B3-D433528D85D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90" name="Text Box 1">
          <a:extLst>
            <a:ext uri="{FF2B5EF4-FFF2-40B4-BE49-F238E27FC236}">
              <a16:creationId xmlns:a16="http://schemas.microsoft.com/office/drawing/2014/main" id="{EFBCD9D6-4EAC-4306-A372-56D555E2733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91" name="Text Box 1">
          <a:extLst>
            <a:ext uri="{FF2B5EF4-FFF2-40B4-BE49-F238E27FC236}">
              <a16:creationId xmlns:a16="http://schemas.microsoft.com/office/drawing/2014/main" id="{29EC6B02-F0DE-4B61-9FFE-7E23A4AA3D2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92" name="Text Box 1">
          <a:extLst>
            <a:ext uri="{FF2B5EF4-FFF2-40B4-BE49-F238E27FC236}">
              <a16:creationId xmlns:a16="http://schemas.microsoft.com/office/drawing/2014/main" id="{EAB3ED7B-48F3-4446-8740-FD8081CB036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93" name="Text Box 1">
          <a:extLst>
            <a:ext uri="{FF2B5EF4-FFF2-40B4-BE49-F238E27FC236}">
              <a16:creationId xmlns:a16="http://schemas.microsoft.com/office/drawing/2014/main" id="{BC1284F4-3257-4794-8D20-C439682E13C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94" name="Text Box 1">
          <a:extLst>
            <a:ext uri="{FF2B5EF4-FFF2-40B4-BE49-F238E27FC236}">
              <a16:creationId xmlns:a16="http://schemas.microsoft.com/office/drawing/2014/main" id="{F1BAF4E3-AEB2-4073-AF02-65D02CB6CCC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95" name="Text Box 1">
          <a:extLst>
            <a:ext uri="{FF2B5EF4-FFF2-40B4-BE49-F238E27FC236}">
              <a16:creationId xmlns:a16="http://schemas.microsoft.com/office/drawing/2014/main" id="{B774BFAA-E6CF-4043-B005-A5B5B0C8FD4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96" name="Text Box 1">
          <a:extLst>
            <a:ext uri="{FF2B5EF4-FFF2-40B4-BE49-F238E27FC236}">
              <a16:creationId xmlns:a16="http://schemas.microsoft.com/office/drawing/2014/main" id="{D74FC55D-1736-4B35-AE0F-BF9212397ED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97" name="Text Box 1">
          <a:extLst>
            <a:ext uri="{FF2B5EF4-FFF2-40B4-BE49-F238E27FC236}">
              <a16:creationId xmlns:a16="http://schemas.microsoft.com/office/drawing/2014/main" id="{4042E9B5-6FE5-43AE-9A53-E9C5DACDA00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98" name="Text Box 1">
          <a:extLst>
            <a:ext uri="{FF2B5EF4-FFF2-40B4-BE49-F238E27FC236}">
              <a16:creationId xmlns:a16="http://schemas.microsoft.com/office/drawing/2014/main" id="{CC400D79-7F02-4D96-90BD-1E1602F1FF9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499" name="Text Box 1">
          <a:extLst>
            <a:ext uri="{FF2B5EF4-FFF2-40B4-BE49-F238E27FC236}">
              <a16:creationId xmlns:a16="http://schemas.microsoft.com/office/drawing/2014/main" id="{4F192DCC-1D34-4C32-9FCC-8DA39C860DF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00" name="Text Box 1">
          <a:extLst>
            <a:ext uri="{FF2B5EF4-FFF2-40B4-BE49-F238E27FC236}">
              <a16:creationId xmlns:a16="http://schemas.microsoft.com/office/drawing/2014/main" id="{88AA9CDD-AAFE-4433-8E4C-A4BD451C982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01" name="Text Box 1">
          <a:extLst>
            <a:ext uri="{FF2B5EF4-FFF2-40B4-BE49-F238E27FC236}">
              <a16:creationId xmlns:a16="http://schemas.microsoft.com/office/drawing/2014/main" id="{AEAFDCE2-FCE6-4156-ABA7-B0DDE2A6EFA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02" name="Text Box 1">
          <a:extLst>
            <a:ext uri="{FF2B5EF4-FFF2-40B4-BE49-F238E27FC236}">
              <a16:creationId xmlns:a16="http://schemas.microsoft.com/office/drawing/2014/main" id="{6F4BAE9F-F1E3-4825-B6C7-F45F6038153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03" name="Text Box 1">
          <a:extLst>
            <a:ext uri="{FF2B5EF4-FFF2-40B4-BE49-F238E27FC236}">
              <a16:creationId xmlns:a16="http://schemas.microsoft.com/office/drawing/2014/main" id="{1BAA0CD3-099B-45E8-86E5-501F8382597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04" name="Text Box 1">
          <a:extLst>
            <a:ext uri="{FF2B5EF4-FFF2-40B4-BE49-F238E27FC236}">
              <a16:creationId xmlns:a16="http://schemas.microsoft.com/office/drawing/2014/main" id="{D1842F45-D737-46EA-BEE3-1E83DE692EB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05" name="Text Box 1">
          <a:extLst>
            <a:ext uri="{FF2B5EF4-FFF2-40B4-BE49-F238E27FC236}">
              <a16:creationId xmlns:a16="http://schemas.microsoft.com/office/drawing/2014/main" id="{94FFFA12-AFC5-437D-8642-BCC9CE4BE86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06" name="Text Box 1">
          <a:extLst>
            <a:ext uri="{FF2B5EF4-FFF2-40B4-BE49-F238E27FC236}">
              <a16:creationId xmlns:a16="http://schemas.microsoft.com/office/drawing/2014/main" id="{818ABD5D-4987-4F82-A752-3503C752905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07" name="Text Box 1">
          <a:extLst>
            <a:ext uri="{FF2B5EF4-FFF2-40B4-BE49-F238E27FC236}">
              <a16:creationId xmlns:a16="http://schemas.microsoft.com/office/drawing/2014/main" id="{574D22AA-0F5C-453B-90F5-7DD46A288CC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08" name="Text Box 1">
          <a:extLst>
            <a:ext uri="{FF2B5EF4-FFF2-40B4-BE49-F238E27FC236}">
              <a16:creationId xmlns:a16="http://schemas.microsoft.com/office/drawing/2014/main" id="{449F877E-0542-4CBB-B012-613CB4A6B20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09" name="Text Box 1">
          <a:extLst>
            <a:ext uri="{FF2B5EF4-FFF2-40B4-BE49-F238E27FC236}">
              <a16:creationId xmlns:a16="http://schemas.microsoft.com/office/drawing/2014/main" id="{F667C341-E4E6-4662-B443-D3BF1C6E288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10" name="Text Box 1">
          <a:extLst>
            <a:ext uri="{FF2B5EF4-FFF2-40B4-BE49-F238E27FC236}">
              <a16:creationId xmlns:a16="http://schemas.microsoft.com/office/drawing/2014/main" id="{B4A917B5-EF22-4F9F-B650-649698B7A44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11" name="Text Box 1">
          <a:extLst>
            <a:ext uri="{FF2B5EF4-FFF2-40B4-BE49-F238E27FC236}">
              <a16:creationId xmlns:a16="http://schemas.microsoft.com/office/drawing/2014/main" id="{2944BAF8-87FE-4377-9B48-14F9D52C37B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12" name="Text Box 1">
          <a:extLst>
            <a:ext uri="{FF2B5EF4-FFF2-40B4-BE49-F238E27FC236}">
              <a16:creationId xmlns:a16="http://schemas.microsoft.com/office/drawing/2014/main" id="{06DB8F52-0556-4F28-AAE4-230D4FD9948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13" name="Text Box 1">
          <a:extLst>
            <a:ext uri="{FF2B5EF4-FFF2-40B4-BE49-F238E27FC236}">
              <a16:creationId xmlns:a16="http://schemas.microsoft.com/office/drawing/2014/main" id="{68D8BA13-F157-4C76-B2A0-BDDB90FCEF0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14" name="Text Box 1">
          <a:extLst>
            <a:ext uri="{FF2B5EF4-FFF2-40B4-BE49-F238E27FC236}">
              <a16:creationId xmlns:a16="http://schemas.microsoft.com/office/drawing/2014/main" id="{87B32948-8D0A-4D0B-AC0A-3BBDC063EC1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15" name="Text Box 1">
          <a:extLst>
            <a:ext uri="{FF2B5EF4-FFF2-40B4-BE49-F238E27FC236}">
              <a16:creationId xmlns:a16="http://schemas.microsoft.com/office/drawing/2014/main" id="{03AEE9BB-D938-4CD4-8E5F-7C7CD657151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16" name="Text Box 1">
          <a:extLst>
            <a:ext uri="{FF2B5EF4-FFF2-40B4-BE49-F238E27FC236}">
              <a16:creationId xmlns:a16="http://schemas.microsoft.com/office/drawing/2014/main" id="{14CDF4C4-65FB-4E9E-8D17-E841B108BF1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17" name="Text Box 1">
          <a:extLst>
            <a:ext uri="{FF2B5EF4-FFF2-40B4-BE49-F238E27FC236}">
              <a16:creationId xmlns:a16="http://schemas.microsoft.com/office/drawing/2014/main" id="{FBEB092F-A4A7-4E0D-94F8-E22471441EE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18" name="Text Box 1">
          <a:extLst>
            <a:ext uri="{FF2B5EF4-FFF2-40B4-BE49-F238E27FC236}">
              <a16:creationId xmlns:a16="http://schemas.microsoft.com/office/drawing/2014/main" id="{3E8B5B56-D242-4252-A521-875955BA351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19" name="Text Box 1">
          <a:extLst>
            <a:ext uri="{FF2B5EF4-FFF2-40B4-BE49-F238E27FC236}">
              <a16:creationId xmlns:a16="http://schemas.microsoft.com/office/drawing/2014/main" id="{78457AA3-4F50-4866-BC8A-96D4B9DA6AB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20" name="Text Box 1">
          <a:extLst>
            <a:ext uri="{FF2B5EF4-FFF2-40B4-BE49-F238E27FC236}">
              <a16:creationId xmlns:a16="http://schemas.microsoft.com/office/drawing/2014/main" id="{ABE07EBC-F8A2-4EAD-8596-1D96001C41D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21" name="Text Box 1">
          <a:extLst>
            <a:ext uri="{FF2B5EF4-FFF2-40B4-BE49-F238E27FC236}">
              <a16:creationId xmlns:a16="http://schemas.microsoft.com/office/drawing/2014/main" id="{976A82BB-E5C2-4E9E-83CB-F0F770EDE5E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22" name="Text Box 1">
          <a:extLst>
            <a:ext uri="{FF2B5EF4-FFF2-40B4-BE49-F238E27FC236}">
              <a16:creationId xmlns:a16="http://schemas.microsoft.com/office/drawing/2014/main" id="{F2F4C414-9731-49AC-B226-483DA2AA7D0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23" name="Text Box 1">
          <a:extLst>
            <a:ext uri="{FF2B5EF4-FFF2-40B4-BE49-F238E27FC236}">
              <a16:creationId xmlns:a16="http://schemas.microsoft.com/office/drawing/2014/main" id="{200A445B-68EA-4B55-AEBC-78EE652BFF1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24" name="Text Box 1">
          <a:extLst>
            <a:ext uri="{FF2B5EF4-FFF2-40B4-BE49-F238E27FC236}">
              <a16:creationId xmlns:a16="http://schemas.microsoft.com/office/drawing/2014/main" id="{94E9E56C-B628-4014-A578-2CA0C9A1350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25" name="Text Box 1">
          <a:extLst>
            <a:ext uri="{FF2B5EF4-FFF2-40B4-BE49-F238E27FC236}">
              <a16:creationId xmlns:a16="http://schemas.microsoft.com/office/drawing/2014/main" id="{858A02A4-DC7A-4DD0-94B4-B279E8718AF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26" name="Text Box 1">
          <a:extLst>
            <a:ext uri="{FF2B5EF4-FFF2-40B4-BE49-F238E27FC236}">
              <a16:creationId xmlns:a16="http://schemas.microsoft.com/office/drawing/2014/main" id="{250738D3-248A-4288-84D9-001BEE3092D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27" name="Text Box 1">
          <a:extLst>
            <a:ext uri="{FF2B5EF4-FFF2-40B4-BE49-F238E27FC236}">
              <a16:creationId xmlns:a16="http://schemas.microsoft.com/office/drawing/2014/main" id="{EBFC0C8C-74E6-4AFD-85C1-616C3129C3D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28" name="Text Box 1">
          <a:extLst>
            <a:ext uri="{FF2B5EF4-FFF2-40B4-BE49-F238E27FC236}">
              <a16:creationId xmlns:a16="http://schemas.microsoft.com/office/drawing/2014/main" id="{E5039A89-4F95-4B93-A026-DACB013A5D1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29" name="Text Box 1">
          <a:extLst>
            <a:ext uri="{FF2B5EF4-FFF2-40B4-BE49-F238E27FC236}">
              <a16:creationId xmlns:a16="http://schemas.microsoft.com/office/drawing/2014/main" id="{6C21FD2B-C9B5-4558-8F31-92CEC5CB993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30" name="Text Box 1">
          <a:extLst>
            <a:ext uri="{FF2B5EF4-FFF2-40B4-BE49-F238E27FC236}">
              <a16:creationId xmlns:a16="http://schemas.microsoft.com/office/drawing/2014/main" id="{BFAA7643-FFB9-496B-8494-67215648FE8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31" name="Text Box 1">
          <a:extLst>
            <a:ext uri="{FF2B5EF4-FFF2-40B4-BE49-F238E27FC236}">
              <a16:creationId xmlns:a16="http://schemas.microsoft.com/office/drawing/2014/main" id="{227B5E10-E5AF-4B65-8C6E-D02BE0121D0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32" name="Text Box 1">
          <a:extLst>
            <a:ext uri="{FF2B5EF4-FFF2-40B4-BE49-F238E27FC236}">
              <a16:creationId xmlns:a16="http://schemas.microsoft.com/office/drawing/2014/main" id="{4CFDC63B-89C3-440C-AA2F-A9FC5DA8970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33" name="Text Box 1">
          <a:extLst>
            <a:ext uri="{FF2B5EF4-FFF2-40B4-BE49-F238E27FC236}">
              <a16:creationId xmlns:a16="http://schemas.microsoft.com/office/drawing/2014/main" id="{70F555C0-1B73-4734-BA59-35E41FAFD38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34" name="Text Box 1">
          <a:extLst>
            <a:ext uri="{FF2B5EF4-FFF2-40B4-BE49-F238E27FC236}">
              <a16:creationId xmlns:a16="http://schemas.microsoft.com/office/drawing/2014/main" id="{04A22898-B960-489C-9265-78794D026FD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35" name="Text Box 1">
          <a:extLst>
            <a:ext uri="{FF2B5EF4-FFF2-40B4-BE49-F238E27FC236}">
              <a16:creationId xmlns:a16="http://schemas.microsoft.com/office/drawing/2014/main" id="{BB2FBDC6-A46A-434C-A893-460DD0F41D3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36" name="Text Box 1">
          <a:extLst>
            <a:ext uri="{FF2B5EF4-FFF2-40B4-BE49-F238E27FC236}">
              <a16:creationId xmlns:a16="http://schemas.microsoft.com/office/drawing/2014/main" id="{5902701C-4C7E-41DA-BA10-F1B50D42F34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37" name="Text Box 1">
          <a:extLst>
            <a:ext uri="{FF2B5EF4-FFF2-40B4-BE49-F238E27FC236}">
              <a16:creationId xmlns:a16="http://schemas.microsoft.com/office/drawing/2014/main" id="{BE03EBBB-83E2-4EA6-9A81-3958ED45EC6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38" name="Text Box 1">
          <a:extLst>
            <a:ext uri="{FF2B5EF4-FFF2-40B4-BE49-F238E27FC236}">
              <a16:creationId xmlns:a16="http://schemas.microsoft.com/office/drawing/2014/main" id="{64208D03-05C3-4023-9323-F35D8357DE6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39" name="Text Box 1">
          <a:extLst>
            <a:ext uri="{FF2B5EF4-FFF2-40B4-BE49-F238E27FC236}">
              <a16:creationId xmlns:a16="http://schemas.microsoft.com/office/drawing/2014/main" id="{0C8F9F70-A13E-4E45-9A34-9292C1742D1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40" name="Text Box 1">
          <a:extLst>
            <a:ext uri="{FF2B5EF4-FFF2-40B4-BE49-F238E27FC236}">
              <a16:creationId xmlns:a16="http://schemas.microsoft.com/office/drawing/2014/main" id="{853AE128-4B12-4387-AF66-0ABCBF76ECA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41" name="Text Box 1">
          <a:extLst>
            <a:ext uri="{FF2B5EF4-FFF2-40B4-BE49-F238E27FC236}">
              <a16:creationId xmlns:a16="http://schemas.microsoft.com/office/drawing/2014/main" id="{ABF2FD6A-7132-4DFF-B770-66085CE253C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42" name="Text Box 1">
          <a:extLst>
            <a:ext uri="{FF2B5EF4-FFF2-40B4-BE49-F238E27FC236}">
              <a16:creationId xmlns:a16="http://schemas.microsoft.com/office/drawing/2014/main" id="{40C8954E-157C-4680-96A2-EDACF77E59C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43" name="Text Box 1">
          <a:extLst>
            <a:ext uri="{FF2B5EF4-FFF2-40B4-BE49-F238E27FC236}">
              <a16:creationId xmlns:a16="http://schemas.microsoft.com/office/drawing/2014/main" id="{79A26852-2720-4623-A519-CFE8BDB4817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44" name="Text Box 1">
          <a:extLst>
            <a:ext uri="{FF2B5EF4-FFF2-40B4-BE49-F238E27FC236}">
              <a16:creationId xmlns:a16="http://schemas.microsoft.com/office/drawing/2014/main" id="{8F2341BD-BBB8-4D70-AD71-71EB0F16665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45" name="Text Box 1">
          <a:extLst>
            <a:ext uri="{FF2B5EF4-FFF2-40B4-BE49-F238E27FC236}">
              <a16:creationId xmlns:a16="http://schemas.microsoft.com/office/drawing/2014/main" id="{56AF73D5-5CB0-47BF-B40C-D64FB0C0274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46" name="Text Box 1">
          <a:extLst>
            <a:ext uri="{FF2B5EF4-FFF2-40B4-BE49-F238E27FC236}">
              <a16:creationId xmlns:a16="http://schemas.microsoft.com/office/drawing/2014/main" id="{4AD3B9F6-F2B3-4389-A51B-6D3FCE682A7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47" name="Text Box 1">
          <a:extLst>
            <a:ext uri="{FF2B5EF4-FFF2-40B4-BE49-F238E27FC236}">
              <a16:creationId xmlns:a16="http://schemas.microsoft.com/office/drawing/2014/main" id="{57B232EB-7291-4382-892A-008D08438AE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48" name="Text Box 1">
          <a:extLst>
            <a:ext uri="{FF2B5EF4-FFF2-40B4-BE49-F238E27FC236}">
              <a16:creationId xmlns:a16="http://schemas.microsoft.com/office/drawing/2014/main" id="{96D9CF2C-A5E7-438A-92BE-1ED12E2398E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49" name="Text Box 1">
          <a:extLst>
            <a:ext uri="{FF2B5EF4-FFF2-40B4-BE49-F238E27FC236}">
              <a16:creationId xmlns:a16="http://schemas.microsoft.com/office/drawing/2014/main" id="{2B37E9ED-40C2-42BD-8598-B3EB5150677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50" name="Text Box 1">
          <a:extLst>
            <a:ext uri="{FF2B5EF4-FFF2-40B4-BE49-F238E27FC236}">
              <a16:creationId xmlns:a16="http://schemas.microsoft.com/office/drawing/2014/main" id="{C5AFCFED-86C1-45C5-82F9-6DC28FDDF13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51" name="Text Box 1">
          <a:extLst>
            <a:ext uri="{FF2B5EF4-FFF2-40B4-BE49-F238E27FC236}">
              <a16:creationId xmlns:a16="http://schemas.microsoft.com/office/drawing/2014/main" id="{5AE6D490-3D46-4A51-9A78-35EE847354C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52" name="Text Box 1">
          <a:extLst>
            <a:ext uri="{FF2B5EF4-FFF2-40B4-BE49-F238E27FC236}">
              <a16:creationId xmlns:a16="http://schemas.microsoft.com/office/drawing/2014/main" id="{BF9A0310-375C-4ECF-9FA9-1D2F0A18FD1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53" name="Text Box 1">
          <a:extLst>
            <a:ext uri="{FF2B5EF4-FFF2-40B4-BE49-F238E27FC236}">
              <a16:creationId xmlns:a16="http://schemas.microsoft.com/office/drawing/2014/main" id="{92A78DB9-4F52-4A7B-8B73-CD94D628E9B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54" name="Text Box 1">
          <a:extLst>
            <a:ext uri="{FF2B5EF4-FFF2-40B4-BE49-F238E27FC236}">
              <a16:creationId xmlns:a16="http://schemas.microsoft.com/office/drawing/2014/main" id="{F9466647-A3A7-40A5-ABAE-A82214BB34E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55" name="Text Box 1">
          <a:extLst>
            <a:ext uri="{FF2B5EF4-FFF2-40B4-BE49-F238E27FC236}">
              <a16:creationId xmlns:a16="http://schemas.microsoft.com/office/drawing/2014/main" id="{6A4075A6-23BE-4663-A691-387DC8C2420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56" name="Text Box 1">
          <a:extLst>
            <a:ext uri="{FF2B5EF4-FFF2-40B4-BE49-F238E27FC236}">
              <a16:creationId xmlns:a16="http://schemas.microsoft.com/office/drawing/2014/main" id="{568A4F7C-D6BD-4934-9D85-7BA44ED3C11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57" name="Text Box 1">
          <a:extLst>
            <a:ext uri="{FF2B5EF4-FFF2-40B4-BE49-F238E27FC236}">
              <a16:creationId xmlns:a16="http://schemas.microsoft.com/office/drawing/2014/main" id="{B9D90460-C32A-448D-A8FD-D3C6E4D3453D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58" name="Text Box 1">
          <a:extLst>
            <a:ext uri="{FF2B5EF4-FFF2-40B4-BE49-F238E27FC236}">
              <a16:creationId xmlns:a16="http://schemas.microsoft.com/office/drawing/2014/main" id="{A92040DD-4F7C-4D4E-A077-5A1C3A06DCD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59" name="Text Box 1">
          <a:extLst>
            <a:ext uri="{FF2B5EF4-FFF2-40B4-BE49-F238E27FC236}">
              <a16:creationId xmlns:a16="http://schemas.microsoft.com/office/drawing/2014/main" id="{AA2BCBE5-F802-4401-B09B-80F25F71EB0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60" name="Text Box 1">
          <a:extLst>
            <a:ext uri="{FF2B5EF4-FFF2-40B4-BE49-F238E27FC236}">
              <a16:creationId xmlns:a16="http://schemas.microsoft.com/office/drawing/2014/main" id="{1102F655-5CA7-48C0-8366-CF3470B060C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61" name="Text Box 1">
          <a:extLst>
            <a:ext uri="{FF2B5EF4-FFF2-40B4-BE49-F238E27FC236}">
              <a16:creationId xmlns:a16="http://schemas.microsoft.com/office/drawing/2014/main" id="{86BCB661-2A2E-4D16-AD70-617B22072D0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62" name="Text Box 1">
          <a:extLst>
            <a:ext uri="{FF2B5EF4-FFF2-40B4-BE49-F238E27FC236}">
              <a16:creationId xmlns:a16="http://schemas.microsoft.com/office/drawing/2014/main" id="{D91F3E88-E743-4645-A9B4-9F1710E6195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63" name="Text Box 1">
          <a:extLst>
            <a:ext uri="{FF2B5EF4-FFF2-40B4-BE49-F238E27FC236}">
              <a16:creationId xmlns:a16="http://schemas.microsoft.com/office/drawing/2014/main" id="{6690BE9B-1125-4337-B665-C0137B43C28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64" name="Text Box 1">
          <a:extLst>
            <a:ext uri="{FF2B5EF4-FFF2-40B4-BE49-F238E27FC236}">
              <a16:creationId xmlns:a16="http://schemas.microsoft.com/office/drawing/2014/main" id="{99678051-6E39-46CE-8C95-9D7FCF8296C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65" name="Text Box 1">
          <a:extLst>
            <a:ext uri="{FF2B5EF4-FFF2-40B4-BE49-F238E27FC236}">
              <a16:creationId xmlns:a16="http://schemas.microsoft.com/office/drawing/2014/main" id="{D7A38012-C4D4-4881-8868-883A1A19CA6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66" name="Text Box 1">
          <a:extLst>
            <a:ext uri="{FF2B5EF4-FFF2-40B4-BE49-F238E27FC236}">
              <a16:creationId xmlns:a16="http://schemas.microsoft.com/office/drawing/2014/main" id="{2BEB47D1-2B20-4982-9B1F-C40257969D7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67" name="Text Box 1">
          <a:extLst>
            <a:ext uri="{FF2B5EF4-FFF2-40B4-BE49-F238E27FC236}">
              <a16:creationId xmlns:a16="http://schemas.microsoft.com/office/drawing/2014/main" id="{3A58D0C5-E0FC-43EE-972A-0024373C7AD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68" name="Text Box 1">
          <a:extLst>
            <a:ext uri="{FF2B5EF4-FFF2-40B4-BE49-F238E27FC236}">
              <a16:creationId xmlns:a16="http://schemas.microsoft.com/office/drawing/2014/main" id="{1C410192-B74F-4F2F-B19C-584C4E9DAA8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69" name="Text Box 1">
          <a:extLst>
            <a:ext uri="{FF2B5EF4-FFF2-40B4-BE49-F238E27FC236}">
              <a16:creationId xmlns:a16="http://schemas.microsoft.com/office/drawing/2014/main" id="{696471FD-0A9C-4D45-9054-6ECBB54B0D0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70" name="Text Box 1">
          <a:extLst>
            <a:ext uri="{FF2B5EF4-FFF2-40B4-BE49-F238E27FC236}">
              <a16:creationId xmlns:a16="http://schemas.microsoft.com/office/drawing/2014/main" id="{5AAEA917-3FEE-443E-9715-8C570487004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71" name="Text Box 1">
          <a:extLst>
            <a:ext uri="{FF2B5EF4-FFF2-40B4-BE49-F238E27FC236}">
              <a16:creationId xmlns:a16="http://schemas.microsoft.com/office/drawing/2014/main" id="{5A92532B-97E9-4FB5-A7DD-E15AC51D719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72" name="Text Box 1">
          <a:extLst>
            <a:ext uri="{FF2B5EF4-FFF2-40B4-BE49-F238E27FC236}">
              <a16:creationId xmlns:a16="http://schemas.microsoft.com/office/drawing/2014/main" id="{9B0ED257-B3CF-4766-B879-39E4F21F687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73" name="Text Box 1">
          <a:extLst>
            <a:ext uri="{FF2B5EF4-FFF2-40B4-BE49-F238E27FC236}">
              <a16:creationId xmlns:a16="http://schemas.microsoft.com/office/drawing/2014/main" id="{999C57DF-C1F9-4152-B5E7-119D9071CAB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74" name="Text Box 1">
          <a:extLst>
            <a:ext uri="{FF2B5EF4-FFF2-40B4-BE49-F238E27FC236}">
              <a16:creationId xmlns:a16="http://schemas.microsoft.com/office/drawing/2014/main" id="{3BFD05DE-A1E5-4633-91D2-6EF4BCFCBE5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75" name="Text Box 1">
          <a:extLst>
            <a:ext uri="{FF2B5EF4-FFF2-40B4-BE49-F238E27FC236}">
              <a16:creationId xmlns:a16="http://schemas.microsoft.com/office/drawing/2014/main" id="{0CC98BBC-F0BA-432E-8A0D-16731D93F3AA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76" name="Text Box 1">
          <a:extLst>
            <a:ext uri="{FF2B5EF4-FFF2-40B4-BE49-F238E27FC236}">
              <a16:creationId xmlns:a16="http://schemas.microsoft.com/office/drawing/2014/main" id="{9A397662-A766-44B2-AEB5-AD78CBAC278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77" name="Text Box 1">
          <a:extLst>
            <a:ext uri="{FF2B5EF4-FFF2-40B4-BE49-F238E27FC236}">
              <a16:creationId xmlns:a16="http://schemas.microsoft.com/office/drawing/2014/main" id="{E3E1F4C6-C412-4684-842A-2045F84CB41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78" name="Text Box 1">
          <a:extLst>
            <a:ext uri="{FF2B5EF4-FFF2-40B4-BE49-F238E27FC236}">
              <a16:creationId xmlns:a16="http://schemas.microsoft.com/office/drawing/2014/main" id="{27EC419D-5DAD-4F25-A04C-7D3CC5ABBC7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79" name="Text Box 1">
          <a:extLst>
            <a:ext uri="{FF2B5EF4-FFF2-40B4-BE49-F238E27FC236}">
              <a16:creationId xmlns:a16="http://schemas.microsoft.com/office/drawing/2014/main" id="{C7678179-591A-49E8-9364-879F72A5EC6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80" name="Text Box 1">
          <a:extLst>
            <a:ext uri="{FF2B5EF4-FFF2-40B4-BE49-F238E27FC236}">
              <a16:creationId xmlns:a16="http://schemas.microsoft.com/office/drawing/2014/main" id="{37A37F7B-8595-4FB2-9C46-0005D638BC9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81" name="Text Box 1">
          <a:extLst>
            <a:ext uri="{FF2B5EF4-FFF2-40B4-BE49-F238E27FC236}">
              <a16:creationId xmlns:a16="http://schemas.microsoft.com/office/drawing/2014/main" id="{921073A7-9D81-4695-9820-583D34CC971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82" name="Text Box 1">
          <a:extLst>
            <a:ext uri="{FF2B5EF4-FFF2-40B4-BE49-F238E27FC236}">
              <a16:creationId xmlns:a16="http://schemas.microsoft.com/office/drawing/2014/main" id="{450C70C8-5BB7-4E35-A9FE-F63B705AFE1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83" name="Text Box 1">
          <a:extLst>
            <a:ext uri="{FF2B5EF4-FFF2-40B4-BE49-F238E27FC236}">
              <a16:creationId xmlns:a16="http://schemas.microsoft.com/office/drawing/2014/main" id="{DB1AAE33-0B38-4AD7-A57A-F542AAB4C47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84" name="Text Box 1">
          <a:extLst>
            <a:ext uri="{FF2B5EF4-FFF2-40B4-BE49-F238E27FC236}">
              <a16:creationId xmlns:a16="http://schemas.microsoft.com/office/drawing/2014/main" id="{B3AFE478-D776-43D2-9AC0-23EB1AC34AB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85" name="Text Box 1">
          <a:extLst>
            <a:ext uri="{FF2B5EF4-FFF2-40B4-BE49-F238E27FC236}">
              <a16:creationId xmlns:a16="http://schemas.microsoft.com/office/drawing/2014/main" id="{BE5DEAB6-3040-47BF-AA17-3DE13E66A78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86" name="Text Box 1">
          <a:extLst>
            <a:ext uri="{FF2B5EF4-FFF2-40B4-BE49-F238E27FC236}">
              <a16:creationId xmlns:a16="http://schemas.microsoft.com/office/drawing/2014/main" id="{1628E68F-02E3-4B4B-B980-FBAC64051AA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87" name="Text Box 1">
          <a:extLst>
            <a:ext uri="{FF2B5EF4-FFF2-40B4-BE49-F238E27FC236}">
              <a16:creationId xmlns:a16="http://schemas.microsoft.com/office/drawing/2014/main" id="{CBF4E6C5-B3B7-41B8-94E4-77C7C4882C90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88" name="Text Box 1">
          <a:extLst>
            <a:ext uri="{FF2B5EF4-FFF2-40B4-BE49-F238E27FC236}">
              <a16:creationId xmlns:a16="http://schemas.microsoft.com/office/drawing/2014/main" id="{7B667DC0-2B14-4A21-8641-600C3F8AF8B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89" name="Text Box 1">
          <a:extLst>
            <a:ext uri="{FF2B5EF4-FFF2-40B4-BE49-F238E27FC236}">
              <a16:creationId xmlns:a16="http://schemas.microsoft.com/office/drawing/2014/main" id="{F9D4CD75-490E-4BA0-B884-12757472062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90" name="Text Box 1">
          <a:extLst>
            <a:ext uri="{FF2B5EF4-FFF2-40B4-BE49-F238E27FC236}">
              <a16:creationId xmlns:a16="http://schemas.microsoft.com/office/drawing/2014/main" id="{80C6FA80-9D40-4ED5-9900-6E651141B8A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91" name="Text Box 1">
          <a:extLst>
            <a:ext uri="{FF2B5EF4-FFF2-40B4-BE49-F238E27FC236}">
              <a16:creationId xmlns:a16="http://schemas.microsoft.com/office/drawing/2014/main" id="{C6AA2EF7-BCF5-44E7-8773-17C30B96B2B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92" name="Text Box 1">
          <a:extLst>
            <a:ext uri="{FF2B5EF4-FFF2-40B4-BE49-F238E27FC236}">
              <a16:creationId xmlns:a16="http://schemas.microsoft.com/office/drawing/2014/main" id="{5B843327-35D1-41DD-B0CE-6D1AF64D096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93" name="Text Box 1">
          <a:extLst>
            <a:ext uri="{FF2B5EF4-FFF2-40B4-BE49-F238E27FC236}">
              <a16:creationId xmlns:a16="http://schemas.microsoft.com/office/drawing/2014/main" id="{8311ADAF-D112-41D4-BC98-CF5795D8C8AC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94" name="Text Box 1">
          <a:extLst>
            <a:ext uri="{FF2B5EF4-FFF2-40B4-BE49-F238E27FC236}">
              <a16:creationId xmlns:a16="http://schemas.microsoft.com/office/drawing/2014/main" id="{99988375-5E54-4A79-B733-12443EE5F9A2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95" name="Text Box 1">
          <a:extLst>
            <a:ext uri="{FF2B5EF4-FFF2-40B4-BE49-F238E27FC236}">
              <a16:creationId xmlns:a16="http://schemas.microsoft.com/office/drawing/2014/main" id="{F9341863-1AFE-48EA-B728-7141AFDC1F3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96" name="Text Box 1">
          <a:extLst>
            <a:ext uri="{FF2B5EF4-FFF2-40B4-BE49-F238E27FC236}">
              <a16:creationId xmlns:a16="http://schemas.microsoft.com/office/drawing/2014/main" id="{029B8159-60B1-435D-A167-0F0E76CECCF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97" name="Text Box 1">
          <a:extLst>
            <a:ext uri="{FF2B5EF4-FFF2-40B4-BE49-F238E27FC236}">
              <a16:creationId xmlns:a16="http://schemas.microsoft.com/office/drawing/2014/main" id="{593D98B0-0C4D-43DF-85DC-6553F791112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98" name="Text Box 1">
          <a:extLst>
            <a:ext uri="{FF2B5EF4-FFF2-40B4-BE49-F238E27FC236}">
              <a16:creationId xmlns:a16="http://schemas.microsoft.com/office/drawing/2014/main" id="{5CE5CD97-0FEC-41E8-B816-9B9FF198BE2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599" name="Text Box 1">
          <a:extLst>
            <a:ext uri="{FF2B5EF4-FFF2-40B4-BE49-F238E27FC236}">
              <a16:creationId xmlns:a16="http://schemas.microsoft.com/office/drawing/2014/main" id="{632FDB68-A6F5-490D-B9DE-439BF92BDC4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600" name="Text Box 1">
          <a:extLst>
            <a:ext uri="{FF2B5EF4-FFF2-40B4-BE49-F238E27FC236}">
              <a16:creationId xmlns:a16="http://schemas.microsoft.com/office/drawing/2014/main" id="{99B4E470-A3FD-4602-AF2D-2D84E9FF0F84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601" name="Text Box 1">
          <a:extLst>
            <a:ext uri="{FF2B5EF4-FFF2-40B4-BE49-F238E27FC236}">
              <a16:creationId xmlns:a16="http://schemas.microsoft.com/office/drawing/2014/main" id="{D0FCB2FB-4E04-42F3-BA43-9FD8AC1599A1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602" name="Text Box 1">
          <a:extLst>
            <a:ext uri="{FF2B5EF4-FFF2-40B4-BE49-F238E27FC236}">
              <a16:creationId xmlns:a16="http://schemas.microsoft.com/office/drawing/2014/main" id="{593018D0-9078-4CA4-AC60-84235CE9E1DE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603" name="Text Box 1">
          <a:extLst>
            <a:ext uri="{FF2B5EF4-FFF2-40B4-BE49-F238E27FC236}">
              <a16:creationId xmlns:a16="http://schemas.microsoft.com/office/drawing/2014/main" id="{B76FADB0-E425-433C-BBD1-91CC5358D19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604" name="Text Box 1">
          <a:extLst>
            <a:ext uri="{FF2B5EF4-FFF2-40B4-BE49-F238E27FC236}">
              <a16:creationId xmlns:a16="http://schemas.microsoft.com/office/drawing/2014/main" id="{252BEEDD-5922-4E29-97D3-3175EAC5F7E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605" name="Text Box 1">
          <a:extLst>
            <a:ext uri="{FF2B5EF4-FFF2-40B4-BE49-F238E27FC236}">
              <a16:creationId xmlns:a16="http://schemas.microsoft.com/office/drawing/2014/main" id="{C9551103-C990-4830-BCB0-561A4706F63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606" name="Text Box 1">
          <a:extLst>
            <a:ext uri="{FF2B5EF4-FFF2-40B4-BE49-F238E27FC236}">
              <a16:creationId xmlns:a16="http://schemas.microsoft.com/office/drawing/2014/main" id="{6CE6AFBC-4609-4131-8EDB-854A502BA48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607" name="Text Box 1">
          <a:extLst>
            <a:ext uri="{FF2B5EF4-FFF2-40B4-BE49-F238E27FC236}">
              <a16:creationId xmlns:a16="http://schemas.microsoft.com/office/drawing/2014/main" id="{22B15A6C-3E24-441C-AA80-9AD25744D14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608" name="Text Box 1">
          <a:extLst>
            <a:ext uri="{FF2B5EF4-FFF2-40B4-BE49-F238E27FC236}">
              <a16:creationId xmlns:a16="http://schemas.microsoft.com/office/drawing/2014/main" id="{2DFF31FF-28B2-4BB4-AD43-EC29406FD995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609" name="Text Box 1">
          <a:extLst>
            <a:ext uri="{FF2B5EF4-FFF2-40B4-BE49-F238E27FC236}">
              <a16:creationId xmlns:a16="http://schemas.microsoft.com/office/drawing/2014/main" id="{B76E33EC-8F42-459F-AA10-B6AF89958F2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610" name="Text Box 1">
          <a:extLst>
            <a:ext uri="{FF2B5EF4-FFF2-40B4-BE49-F238E27FC236}">
              <a16:creationId xmlns:a16="http://schemas.microsoft.com/office/drawing/2014/main" id="{85C305DB-B193-4576-A981-3496A459088B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611" name="Text Box 1">
          <a:extLst>
            <a:ext uri="{FF2B5EF4-FFF2-40B4-BE49-F238E27FC236}">
              <a16:creationId xmlns:a16="http://schemas.microsoft.com/office/drawing/2014/main" id="{AA9B0B9B-AA1C-428F-90B3-18B65B4B7817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612" name="Text Box 1">
          <a:extLst>
            <a:ext uri="{FF2B5EF4-FFF2-40B4-BE49-F238E27FC236}">
              <a16:creationId xmlns:a16="http://schemas.microsoft.com/office/drawing/2014/main" id="{7397448E-AE7A-4BCA-9F0A-16B9EDBAB03F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613" name="Text Box 1">
          <a:extLst>
            <a:ext uri="{FF2B5EF4-FFF2-40B4-BE49-F238E27FC236}">
              <a16:creationId xmlns:a16="http://schemas.microsoft.com/office/drawing/2014/main" id="{EC87CB55-FF45-433F-A943-D09542ECFA73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614" name="Text Box 1">
          <a:extLst>
            <a:ext uri="{FF2B5EF4-FFF2-40B4-BE49-F238E27FC236}">
              <a16:creationId xmlns:a16="http://schemas.microsoft.com/office/drawing/2014/main" id="{DE1CA44E-168C-4AA6-AC2C-40ADA9D4DCB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615" name="Text Box 1">
          <a:extLst>
            <a:ext uri="{FF2B5EF4-FFF2-40B4-BE49-F238E27FC236}">
              <a16:creationId xmlns:a16="http://schemas.microsoft.com/office/drawing/2014/main" id="{737322E2-A879-4697-BF8E-0C9655946DC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616" name="Text Box 1">
          <a:extLst>
            <a:ext uri="{FF2B5EF4-FFF2-40B4-BE49-F238E27FC236}">
              <a16:creationId xmlns:a16="http://schemas.microsoft.com/office/drawing/2014/main" id="{1D62C3B2-D654-4C2C-9D6F-8B811A27B6F9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617" name="Text Box 1">
          <a:extLst>
            <a:ext uri="{FF2B5EF4-FFF2-40B4-BE49-F238E27FC236}">
              <a16:creationId xmlns:a16="http://schemas.microsoft.com/office/drawing/2014/main" id="{A25E0A20-74CE-4457-8BC6-F7E0FDF8C688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0</xdr:colOff>
      <xdr:row>48</xdr:row>
      <xdr:rowOff>0</xdr:rowOff>
    </xdr:from>
    <xdr:ext cx="247650" cy="85725"/>
    <xdr:sp macro="" textlink="">
      <xdr:nvSpPr>
        <xdr:cNvPr id="17618" name="Text Box 1">
          <a:extLst>
            <a:ext uri="{FF2B5EF4-FFF2-40B4-BE49-F238E27FC236}">
              <a16:creationId xmlns:a16="http://schemas.microsoft.com/office/drawing/2014/main" id="{9B69490A-44C6-4949-A3DB-1DFC23E149F6}"/>
            </a:ext>
          </a:extLst>
        </xdr:cNvPr>
        <xdr:cNvSpPr txBox="1">
          <a:spLocks noChangeArrowheads="1"/>
        </xdr:cNvSpPr>
      </xdr:nvSpPr>
      <xdr:spPr bwMode="auto">
        <a:xfrm>
          <a:off x="265303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565150</xdr:colOff>
      <xdr:row>48</xdr:row>
      <xdr:rowOff>152400</xdr:rowOff>
    </xdr:from>
    <xdr:ext cx="247650" cy="85725"/>
    <xdr:sp macro="" textlink="">
      <xdr:nvSpPr>
        <xdr:cNvPr id="17619" name="Text Box 1">
          <a:extLst>
            <a:ext uri="{FF2B5EF4-FFF2-40B4-BE49-F238E27FC236}">
              <a16:creationId xmlns:a16="http://schemas.microsoft.com/office/drawing/2014/main" id="{483324E9-76D8-4B56-9608-75BE8B16756C}"/>
            </a:ext>
          </a:extLst>
        </xdr:cNvPr>
        <xdr:cNvSpPr txBox="1">
          <a:spLocks noChangeArrowheads="1"/>
        </xdr:cNvSpPr>
      </xdr:nvSpPr>
      <xdr:spPr bwMode="auto">
        <a:xfrm>
          <a:off x="15557500" y="15303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565150</xdr:colOff>
      <xdr:row>48</xdr:row>
      <xdr:rowOff>152400</xdr:rowOff>
    </xdr:from>
    <xdr:ext cx="247650" cy="85725"/>
    <xdr:sp macro="" textlink="">
      <xdr:nvSpPr>
        <xdr:cNvPr id="17620" name="Text Box 1">
          <a:extLst>
            <a:ext uri="{FF2B5EF4-FFF2-40B4-BE49-F238E27FC236}">
              <a16:creationId xmlns:a16="http://schemas.microsoft.com/office/drawing/2014/main" id="{2F0B26A9-3CC8-4758-982C-2716FA372E9C}"/>
            </a:ext>
          </a:extLst>
        </xdr:cNvPr>
        <xdr:cNvSpPr txBox="1">
          <a:spLocks noChangeArrowheads="1"/>
        </xdr:cNvSpPr>
      </xdr:nvSpPr>
      <xdr:spPr bwMode="auto">
        <a:xfrm>
          <a:off x="15906750" y="15303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22</xdr:col>
      <xdr:colOff>565150</xdr:colOff>
      <xdr:row>48</xdr:row>
      <xdr:rowOff>152400</xdr:rowOff>
    </xdr:from>
    <xdr:ext cx="247650" cy="85725"/>
    <xdr:sp macro="" textlink="">
      <xdr:nvSpPr>
        <xdr:cNvPr id="17621" name="Text Box 1">
          <a:extLst>
            <a:ext uri="{FF2B5EF4-FFF2-40B4-BE49-F238E27FC236}">
              <a16:creationId xmlns:a16="http://schemas.microsoft.com/office/drawing/2014/main" id="{D3B0C1FB-AE6B-4E56-9B7A-4F1F6AEE44FB}"/>
            </a:ext>
          </a:extLst>
        </xdr:cNvPr>
        <xdr:cNvSpPr txBox="1">
          <a:spLocks noChangeArrowheads="1"/>
        </xdr:cNvSpPr>
      </xdr:nvSpPr>
      <xdr:spPr bwMode="auto">
        <a:xfrm>
          <a:off x="17049750" y="15303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565150</xdr:colOff>
      <xdr:row>48</xdr:row>
      <xdr:rowOff>152400</xdr:rowOff>
    </xdr:from>
    <xdr:ext cx="247650" cy="85725"/>
    <xdr:sp macro="" textlink="">
      <xdr:nvSpPr>
        <xdr:cNvPr id="17622" name="Text Box 1">
          <a:extLst>
            <a:ext uri="{FF2B5EF4-FFF2-40B4-BE49-F238E27FC236}">
              <a16:creationId xmlns:a16="http://schemas.microsoft.com/office/drawing/2014/main" id="{4D65621D-42E5-46BC-BF0A-CC8514F7CD9D}"/>
            </a:ext>
          </a:extLst>
        </xdr:cNvPr>
        <xdr:cNvSpPr txBox="1">
          <a:spLocks noChangeArrowheads="1"/>
        </xdr:cNvSpPr>
      </xdr:nvSpPr>
      <xdr:spPr bwMode="auto">
        <a:xfrm>
          <a:off x="17614900" y="15303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24</xdr:col>
      <xdr:colOff>565150</xdr:colOff>
      <xdr:row>48</xdr:row>
      <xdr:rowOff>152400</xdr:rowOff>
    </xdr:from>
    <xdr:ext cx="247650" cy="85725"/>
    <xdr:sp macro="" textlink="">
      <xdr:nvSpPr>
        <xdr:cNvPr id="17623" name="Text Box 1">
          <a:extLst>
            <a:ext uri="{FF2B5EF4-FFF2-40B4-BE49-F238E27FC236}">
              <a16:creationId xmlns:a16="http://schemas.microsoft.com/office/drawing/2014/main" id="{5F463B63-D32B-4780-85BB-048856445C06}"/>
            </a:ext>
          </a:extLst>
        </xdr:cNvPr>
        <xdr:cNvSpPr txBox="1">
          <a:spLocks noChangeArrowheads="1"/>
        </xdr:cNvSpPr>
      </xdr:nvSpPr>
      <xdr:spPr bwMode="auto">
        <a:xfrm>
          <a:off x="18243550" y="15303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25</xdr:col>
      <xdr:colOff>565150</xdr:colOff>
      <xdr:row>48</xdr:row>
      <xdr:rowOff>152400</xdr:rowOff>
    </xdr:from>
    <xdr:ext cx="247650" cy="85725"/>
    <xdr:sp macro="" textlink="">
      <xdr:nvSpPr>
        <xdr:cNvPr id="17624" name="Text Box 1">
          <a:extLst>
            <a:ext uri="{FF2B5EF4-FFF2-40B4-BE49-F238E27FC236}">
              <a16:creationId xmlns:a16="http://schemas.microsoft.com/office/drawing/2014/main" id="{1A10BD41-47B8-4E36-844C-CB8F485E046B}"/>
            </a:ext>
          </a:extLst>
        </xdr:cNvPr>
        <xdr:cNvSpPr txBox="1">
          <a:spLocks noChangeArrowheads="1"/>
        </xdr:cNvSpPr>
      </xdr:nvSpPr>
      <xdr:spPr bwMode="auto">
        <a:xfrm>
          <a:off x="18764250" y="15303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26</xdr:col>
      <xdr:colOff>565150</xdr:colOff>
      <xdr:row>48</xdr:row>
      <xdr:rowOff>152400</xdr:rowOff>
    </xdr:from>
    <xdr:ext cx="247650" cy="85725"/>
    <xdr:sp macro="" textlink="">
      <xdr:nvSpPr>
        <xdr:cNvPr id="17625" name="Text Box 1">
          <a:extLst>
            <a:ext uri="{FF2B5EF4-FFF2-40B4-BE49-F238E27FC236}">
              <a16:creationId xmlns:a16="http://schemas.microsoft.com/office/drawing/2014/main" id="{3D15A73A-15C8-4BC6-A5DF-28AD825B5CE4}"/>
            </a:ext>
          </a:extLst>
        </xdr:cNvPr>
        <xdr:cNvSpPr txBox="1">
          <a:spLocks noChangeArrowheads="1"/>
        </xdr:cNvSpPr>
      </xdr:nvSpPr>
      <xdr:spPr bwMode="auto">
        <a:xfrm>
          <a:off x="19304000" y="15303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565150</xdr:colOff>
      <xdr:row>48</xdr:row>
      <xdr:rowOff>152400</xdr:rowOff>
    </xdr:from>
    <xdr:ext cx="247650" cy="85725"/>
    <xdr:sp macro="" textlink="">
      <xdr:nvSpPr>
        <xdr:cNvPr id="17626" name="Text Box 1">
          <a:extLst>
            <a:ext uri="{FF2B5EF4-FFF2-40B4-BE49-F238E27FC236}">
              <a16:creationId xmlns:a16="http://schemas.microsoft.com/office/drawing/2014/main" id="{85CDB30D-5EE5-446B-B8E2-E4465974886E}"/>
            </a:ext>
          </a:extLst>
        </xdr:cNvPr>
        <xdr:cNvSpPr txBox="1">
          <a:spLocks noChangeArrowheads="1"/>
        </xdr:cNvSpPr>
      </xdr:nvSpPr>
      <xdr:spPr bwMode="auto">
        <a:xfrm>
          <a:off x="20408900" y="15303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565150</xdr:colOff>
      <xdr:row>48</xdr:row>
      <xdr:rowOff>152400</xdr:rowOff>
    </xdr:from>
    <xdr:ext cx="247650" cy="85725"/>
    <xdr:sp macro="" textlink="">
      <xdr:nvSpPr>
        <xdr:cNvPr id="17627" name="Text Box 1">
          <a:extLst>
            <a:ext uri="{FF2B5EF4-FFF2-40B4-BE49-F238E27FC236}">
              <a16:creationId xmlns:a16="http://schemas.microsoft.com/office/drawing/2014/main" id="{758F7F28-8E96-452F-A895-E985B68908A1}"/>
            </a:ext>
          </a:extLst>
        </xdr:cNvPr>
        <xdr:cNvSpPr txBox="1">
          <a:spLocks noChangeArrowheads="1"/>
        </xdr:cNvSpPr>
      </xdr:nvSpPr>
      <xdr:spPr bwMode="auto">
        <a:xfrm>
          <a:off x="21062950" y="15303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565150</xdr:colOff>
      <xdr:row>48</xdr:row>
      <xdr:rowOff>152400</xdr:rowOff>
    </xdr:from>
    <xdr:ext cx="247650" cy="85725"/>
    <xdr:sp macro="" textlink="">
      <xdr:nvSpPr>
        <xdr:cNvPr id="17628" name="Text Box 1">
          <a:extLst>
            <a:ext uri="{FF2B5EF4-FFF2-40B4-BE49-F238E27FC236}">
              <a16:creationId xmlns:a16="http://schemas.microsoft.com/office/drawing/2014/main" id="{BF9C69C6-D269-4A64-8741-C83B4F3ED3E7}"/>
            </a:ext>
          </a:extLst>
        </xdr:cNvPr>
        <xdr:cNvSpPr txBox="1">
          <a:spLocks noChangeArrowheads="1"/>
        </xdr:cNvSpPr>
      </xdr:nvSpPr>
      <xdr:spPr bwMode="auto">
        <a:xfrm>
          <a:off x="21678900" y="15303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31</xdr:col>
      <xdr:colOff>565150</xdr:colOff>
      <xdr:row>48</xdr:row>
      <xdr:rowOff>152400</xdr:rowOff>
    </xdr:from>
    <xdr:ext cx="247650" cy="85725"/>
    <xdr:sp macro="" textlink="">
      <xdr:nvSpPr>
        <xdr:cNvPr id="17629" name="Text Box 1">
          <a:extLst>
            <a:ext uri="{FF2B5EF4-FFF2-40B4-BE49-F238E27FC236}">
              <a16:creationId xmlns:a16="http://schemas.microsoft.com/office/drawing/2014/main" id="{6D96211E-DC5F-4E61-A8EC-450584C9D786}"/>
            </a:ext>
          </a:extLst>
        </xdr:cNvPr>
        <xdr:cNvSpPr txBox="1">
          <a:spLocks noChangeArrowheads="1"/>
        </xdr:cNvSpPr>
      </xdr:nvSpPr>
      <xdr:spPr bwMode="auto">
        <a:xfrm>
          <a:off x="22332950" y="15303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32</xdr:col>
      <xdr:colOff>565150</xdr:colOff>
      <xdr:row>48</xdr:row>
      <xdr:rowOff>152400</xdr:rowOff>
    </xdr:from>
    <xdr:ext cx="247650" cy="85725"/>
    <xdr:sp macro="" textlink="">
      <xdr:nvSpPr>
        <xdr:cNvPr id="17630" name="Text Box 1">
          <a:extLst>
            <a:ext uri="{FF2B5EF4-FFF2-40B4-BE49-F238E27FC236}">
              <a16:creationId xmlns:a16="http://schemas.microsoft.com/office/drawing/2014/main" id="{8409A268-D430-4F9B-AC21-27ABDE7B3392}"/>
            </a:ext>
          </a:extLst>
        </xdr:cNvPr>
        <xdr:cNvSpPr txBox="1">
          <a:spLocks noChangeArrowheads="1"/>
        </xdr:cNvSpPr>
      </xdr:nvSpPr>
      <xdr:spPr bwMode="auto">
        <a:xfrm>
          <a:off x="22948900" y="15303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33</xdr:col>
      <xdr:colOff>565150</xdr:colOff>
      <xdr:row>48</xdr:row>
      <xdr:rowOff>152400</xdr:rowOff>
    </xdr:from>
    <xdr:ext cx="247650" cy="85725"/>
    <xdr:sp macro="" textlink="">
      <xdr:nvSpPr>
        <xdr:cNvPr id="17631" name="Text Box 1">
          <a:extLst>
            <a:ext uri="{FF2B5EF4-FFF2-40B4-BE49-F238E27FC236}">
              <a16:creationId xmlns:a16="http://schemas.microsoft.com/office/drawing/2014/main" id="{70822727-D3E2-4142-9C9A-DE87FE3F3CFA}"/>
            </a:ext>
          </a:extLst>
        </xdr:cNvPr>
        <xdr:cNvSpPr txBox="1">
          <a:spLocks noChangeArrowheads="1"/>
        </xdr:cNvSpPr>
      </xdr:nvSpPr>
      <xdr:spPr bwMode="auto">
        <a:xfrm>
          <a:off x="23564850" y="15303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565150</xdr:colOff>
      <xdr:row>48</xdr:row>
      <xdr:rowOff>152400</xdr:rowOff>
    </xdr:from>
    <xdr:ext cx="247650" cy="85725"/>
    <xdr:sp macro="" textlink="">
      <xdr:nvSpPr>
        <xdr:cNvPr id="17632" name="Text Box 1">
          <a:extLst>
            <a:ext uri="{FF2B5EF4-FFF2-40B4-BE49-F238E27FC236}">
              <a16:creationId xmlns:a16="http://schemas.microsoft.com/office/drawing/2014/main" id="{D323A1B4-8105-4004-863E-D6CCC0442491}"/>
            </a:ext>
          </a:extLst>
        </xdr:cNvPr>
        <xdr:cNvSpPr txBox="1">
          <a:spLocks noChangeArrowheads="1"/>
        </xdr:cNvSpPr>
      </xdr:nvSpPr>
      <xdr:spPr bwMode="auto">
        <a:xfrm>
          <a:off x="24593550" y="15303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36</xdr:col>
      <xdr:colOff>565150</xdr:colOff>
      <xdr:row>48</xdr:row>
      <xdr:rowOff>152400</xdr:rowOff>
    </xdr:from>
    <xdr:ext cx="247650" cy="85725"/>
    <xdr:sp macro="" textlink="">
      <xdr:nvSpPr>
        <xdr:cNvPr id="17633" name="Text Box 1">
          <a:extLst>
            <a:ext uri="{FF2B5EF4-FFF2-40B4-BE49-F238E27FC236}">
              <a16:creationId xmlns:a16="http://schemas.microsoft.com/office/drawing/2014/main" id="{CC574F1A-9DCA-4A96-A31E-F851F8EEE64D}"/>
            </a:ext>
          </a:extLst>
        </xdr:cNvPr>
        <xdr:cNvSpPr txBox="1">
          <a:spLocks noChangeArrowheads="1"/>
        </xdr:cNvSpPr>
      </xdr:nvSpPr>
      <xdr:spPr bwMode="auto">
        <a:xfrm>
          <a:off x="25209500" y="15303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565150</xdr:colOff>
      <xdr:row>48</xdr:row>
      <xdr:rowOff>152400</xdr:rowOff>
    </xdr:from>
    <xdr:ext cx="247650" cy="85725"/>
    <xdr:sp macro="" textlink="">
      <xdr:nvSpPr>
        <xdr:cNvPr id="17634" name="Text Box 1">
          <a:extLst>
            <a:ext uri="{FF2B5EF4-FFF2-40B4-BE49-F238E27FC236}">
              <a16:creationId xmlns:a16="http://schemas.microsoft.com/office/drawing/2014/main" id="{124535D4-16C1-48B8-8852-F438C7304A4F}"/>
            </a:ext>
          </a:extLst>
        </xdr:cNvPr>
        <xdr:cNvSpPr txBox="1">
          <a:spLocks noChangeArrowheads="1"/>
        </xdr:cNvSpPr>
      </xdr:nvSpPr>
      <xdr:spPr bwMode="auto">
        <a:xfrm>
          <a:off x="26441400" y="15303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39</xdr:col>
      <xdr:colOff>565150</xdr:colOff>
      <xdr:row>48</xdr:row>
      <xdr:rowOff>152400</xdr:rowOff>
    </xdr:from>
    <xdr:ext cx="247650" cy="85725"/>
    <xdr:sp macro="" textlink="">
      <xdr:nvSpPr>
        <xdr:cNvPr id="17635" name="Text Box 1">
          <a:extLst>
            <a:ext uri="{FF2B5EF4-FFF2-40B4-BE49-F238E27FC236}">
              <a16:creationId xmlns:a16="http://schemas.microsoft.com/office/drawing/2014/main" id="{C4CDF6EF-0B13-4B7A-B8B1-22CFF69EA000}"/>
            </a:ext>
          </a:extLst>
        </xdr:cNvPr>
        <xdr:cNvSpPr txBox="1">
          <a:spLocks noChangeArrowheads="1"/>
        </xdr:cNvSpPr>
      </xdr:nvSpPr>
      <xdr:spPr bwMode="auto">
        <a:xfrm>
          <a:off x="27095450" y="15303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565150</xdr:colOff>
      <xdr:row>47</xdr:row>
      <xdr:rowOff>152400</xdr:rowOff>
    </xdr:from>
    <xdr:ext cx="247650" cy="85725"/>
    <xdr:sp macro="" textlink="">
      <xdr:nvSpPr>
        <xdr:cNvPr id="17636" name="Text Box 1">
          <a:extLst>
            <a:ext uri="{FF2B5EF4-FFF2-40B4-BE49-F238E27FC236}">
              <a16:creationId xmlns:a16="http://schemas.microsoft.com/office/drawing/2014/main" id="{BC2B6EDB-B34A-4875-AF25-BA24DB7739B1}"/>
            </a:ext>
          </a:extLst>
        </xdr:cNvPr>
        <xdr:cNvSpPr txBox="1">
          <a:spLocks noChangeArrowheads="1"/>
        </xdr:cNvSpPr>
      </xdr:nvSpPr>
      <xdr:spPr bwMode="auto">
        <a:xfrm>
          <a:off x="15557500" y="13652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565150</xdr:colOff>
      <xdr:row>47</xdr:row>
      <xdr:rowOff>152400</xdr:rowOff>
    </xdr:from>
    <xdr:ext cx="247650" cy="85725"/>
    <xdr:sp macro="" textlink="">
      <xdr:nvSpPr>
        <xdr:cNvPr id="17637" name="Text Box 1">
          <a:extLst>
            <a:ext uri="{FF2B5EF4-FFF2-40B4-BE49-F238E27FC236}">
              <a16:creationId xmlns:a16="http://schemas.microsoft.com/office/drawing/2014/main" id="{513B9D75-398C-4D2C-97B3-FF5D219EE4B1}"/>
            </a:ext>
          </a:extLst>
        </xdr:cNvPr>
        <xdr:cNvSpPr txBox="1">
          <a:spLocks noChangeArrowheads="1"/>
        </xdr:cNvSpPr>
      </xdr:nvSpPr>
      <xdr:spPr bwMode="auto">
        <a:xfrm>
          <a:off x="15557500" y="13652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565150</xdr:colOff>
      <xdr:row>48</xdr:row>
      <xdr:rowOff>0</xdr:rowOff>
    </xdr:from>
    <xdr:ext cx="247650" cy="85725"/>
    <xdr:sp macro="" textlink="">
      <xdr:nvSpPr>
        <xdr:cNvPr id="17638" name="Text Box 1">
          <a:extLst>
            <a:ext uri="{FF2B5EF4-FFF2-40B4-BE49-F238E27FC236}">
              <a16:creationId xmlns:a16="http://schemas.microsoft.com/office/drawing/2014/main" id="{7271A21A-5E3A-4D41-9515-0BFD6B86399B}"/>
            </a:ext>
          </a:extLst>
        </xdr:cNvPr>
        <xdr:cNvSpPr txBox="1">
          <a:spLocks noChangeArrowheads="1"/>
        </xdr:cNvSpPr>
      </xdr:nvSpPr>
      <xdr:spPr bwMode="auto">
        <a:xfrm>
          <a:off x="155575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565150</xdr:colOff>
      <xdr:row>48</xdr:row>
      <xdr:rowOff>0</xdr:rowOff>
    </xdr:from>
    <xdr:ext cx="247650" cy="85725"/>
    <xdr:sp macro="" textlink="">
      <xdr:nvSpPr>
        <xdr:cNvPr id="17639" name="Text Box 1">
          <a:extLst>
            <a:ext uri="{FF2B5EF4-FFF2-40B4-BE49-F238E27FC236}">
              <a16:creationId xmlns:a16="http://schemas.microsoft.com/office/drawing/2014/main" id="{927AD0F0-132D-4612-BEB0-8CEDF3ACD2CC}"/>
            </a:ext>
          </a:extLst>
        </xdr:cNvPr>
        <xdr:cNvSpPr txBox="1">
          <a:spLocks noChangeArrowheads="1"/>
        </xdr:cNvSpPr>
      </xdr:nvSpPr>
      <xdr:spPr bwMode="auto">
        <a:xfrm>
          <a:off x="155575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565150</xdr:colOff>
      <xdr:row>48</xdr:row>
      <xdr:rowOff>152400</xdr:rowOff>
    </xdr:from>
    <xdr:ext cx="247650" cy="85725"/>
    <xdr:sp macro="" textlink="">
      <xdr:nvSpPr>
        <xdr:cNvPr id="17640" name="Text Box 1">
          <a:extLst>
            <a:ext uri="{FF2B5EF4-FFF2-40B4-BE49-F238E27FC236}">
              <a16:creationId xmlns:a16="http://schemas.microsoft.com/office/drawing/2014/main" id="{927816B9-F590-4E1C-9AA0-1505416E09F5}"/>
            </a:ext>
          </a:extLst>
        </xdr:cNvPr>
        <xdr:cNvSpPr txBox="1">
          <a:spLocks noChangeArrowheads="1"/>
        </xdr:cNvSpPr>
      </xdr:nvSpPr>
      <xdr:spPr bwMode="auto">
        <a:xfrm>
          <a:off x="15557500" y="15303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565150</xdr:colOff>
      <xdr:row>48</xdr:row>
      <xdr:rowOff>152400</xdr:rowOff>
    </xdr:from>
    <xdr:ext cx="247650" cy="85725"/>
    <xdr:sp macro="" textlink="">
      <xdr:nvSpPr>
        <xdr:cNvPr id="17641" name="Text Box 1">
          <a:extLst>
            <a:ext uri="{FF2B5EF4-FFF2-40B4-BE49-F238E27FC236}">
              <a16:creationId xmlns:a16="http://schemas.microsoft.com/office/drawing/2014/main" id="{CD1B515B-F9B1-4E22-98B8-936A5D3AE4DA}"/>
            </a:ext>
          </a:extLst>
        </xdr:cNvPr>
        <xdr:cNvSpPr txBox="1">
          <a:spLocks noChangeArrowheads="1"/>
        </xdr:cNvSpPr>
      </xdr:nvSpPr>
      <xdr:spPr bwMode="auto">
        <a:xfrm>
          <a:off x="15557500" y="15303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21</xdr:col>
      <xdr:colOff>565150</xdr:colOff>
      <xdr:row>47</xdr:row>
      <xdr:rowOff>152400</xdr:rowOff>
    </xdr:from>
    <xdr:ext cx="247650" cy="85725"/>
    <xdr:sp macro="" textlink="">
      <xdr:nvSpPr>
        <xdr:cNvPr id="17642" name="Text Box 1">
          <a:extLst>
            <a:ext uri="{FF2B5EF4-FFF2-40B4-BE49-F238E27FC236}">
              <a16:creationId xmlns:a16="http://schemas.microsoft.com/office/drawing/2014/main" id="{A8F51CA2-E75E-4E83-928C-A3CF831D66B5}"/>
            </a:ext>
          </a:extLst>
        </xdr:cNvPr>
        <xdr:cNvSpPr txBox="1">
          <a:spLocks noChangeArrowheads="1"/>
        </xdr:cNvSpPr>
      </xdr:nvSpPr>
      <xdr:spPr bwMode="auto">
        <a:xfrm>
          <a:off x="15906750" y="13652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21</xdr:col>
      <xdr:colOff>565150</xdr:colOff>
      <xdr:row>47</xdr:row>
      <xdr:rowOff>152400</xdr:rowOff>
    </xdr:from>
    <xdr:ext cx="247650" cy="85725"/>
    <xdr:sp macro="" textlink="">
      <xdr:nvSpPr>
        <xdr:cNvPr id="17643" name="Text Box 1">
          <a:extLst>
            <a:ext uri="{FF2B5EF4-FFF2-40B4-BE49-F238E27FC236}">
              <a16:creationId xmlns:a16="http://schemas.microsoft.com/office/drawing/2014/main" id="{2FC715D4-4794-428D-9D7E-47C495EDDB14}"/>
            </a:ext>
          </a:extLst>
        </xdr:cNvPr>
        <xdr:cNvSpPr txBox="1">
          <a:spLocks noChangeArrowheads="1"/>
        </xdr:cNvSpPr>
      </xdr:nvSpPr>
      <xdr:spPr bwMode="auto">
        <a:xfrm>
          <a:off x="15906750" y="13652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21</xdr:col>
      <xdr:colOff>565150</xdr:colOff>
      <xdr:row>48</xdr:row>
      <xdr:rowOff>0</xdr:rowOff>
    </xdr:from>
    <xdr:ext cx="247650" cy="85725"/>
    <xdr:sp macro="" textlink="">
      <xdr:nvSpPr>
        <xdr:cNvPr id="17644" name="Text Box 1">
          <a:extLst>
            <a:ext uri="{FF2B5EF4-FFF2-40B4-BE49-F238E27FC236}">
              <a16:creationId xmlns:a16="http://schemas.microsoft.com/office/drawing/2014/main" id="{0D4AF6CF-5213-4EFD-A125-A1F7EA716EA7}"/>
            </a:ext>
          </a:extLst>
        </xdr:cNvPr>
        <xdr:cNvSpPr txBox="1">
          <a:spLocks noChangeArrowheads="1"/>
        </xdr:cNvSpPr>
      </xdr:nvSpPr>
      <xdr:spPr bwMode="auto">
        <a:xfrm>
          <a:off x="159067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21</xdr:col>
      <xdr:colOff>565150</xdr:colOff>
      <xdr:row>48</xdr:row>
      <xdr:rowOff>0</xdr:rowOff>
    </xdr:from>
    <xdr:ext cx="247650" cy="85725"/>
    <xdr:sp macro="" textlink="">
      <xdr:nvSpPr>
        <xdr:cNvPr id="17645" name="Text Box 1">
          <a:extLst>
            <a:ext uri="{FF2B5EF4-FFF2-40B4-BE49-F238E27FC236}">
              <a16:creationId xmlns:a16="http://schemas.microsoft.com/office/drawing/2014/main" id="{C3E0F492-5259-47DE-8E2F-384595E5E860}"/>
            </a:ext>
          </a:extLst>
        </xdr:cNvPr>
        <xdr:cNvSpPr txBox="1">
          <a:spLocks noChangeArrowheads="1"/>
        </xdr:cNvSpPr>
      </xdr:nvSpPr>
      <xdr:spPr bwMode="auto">
        <a:xfrm>
          <a:off x="1590675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565150</xdr:colOff>
      <xdr:row>48</xdr:row>
      <xdr:rowOff>152400</xdr:rowOff>
    </xdr:from>
    <xdr:ext cx="247650" cy="85725"/>
    <xdr:sp macro="" textlink="">
      <xdr:nvSpPr>
        <xdr:cNvPr id="17646" name="Text Box 1">
          <a:extLst>
            <a:ext uri="{FF2B5EF4-FFF2-40B4-BE49-F238E27FC236}">
              <a16:creationId xmlns:a16="http://schemas.microsoft.com/office/drawing/2014/main" id="{A7C964B7-6086-4806-B230-9F3887B68CE0}"/>
            </a:ext>
          </a:extLst>
        </xdr:cNvPr>
        <xdr:cNvSpPr txBox="1">
          <a:spLocks noChangeArrowheads="1"/>
        </xdr:cNvSpPr>
      </xdr:nvSpPr>
      <xdr:spPr bwMode="auto">
        <a:xfrm>
          <a:off x="15906750" y="15303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565150</xdr:colOff>
      <xdr:row>48</xdr:row>
      <xdr:rowOff>152400</xdr:rowOff>
    </xdr:from>
    <xdr:ext cx="247650" cy="85725"/>
    <xdr:sp macro="" textlink="">
      <xdr:nvSpPr>
        <xdr:cNvPr id="17647" name="Text Box 1">
          <a:extLst>
            <a:ext uri="{FF2B5EF4-FFF2-40B4-BE49-F238E27FC236}">
              <a16:creationId xmlns:a16="http://schemas.microsoft.com/office/drawing/2014/main" id="{4A11A673-188B-4AF4-A5A5-A396D7B50127}"/>
            </a:ext>
          </a:extLst>
        </xdr:cNvPr>
        <xdr:cNvSpPr txBox="1">
          <a:spLocks noChangeArrowheads="1"/>
        </xdr:cNvSpPr>
      </xdr:nvSpPr>
      <xdr:spPr bwMode="auto">
        <a:xfrm>
          <a:off x="15906750" y="15303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565150</xdr:colOff>
      <xdr:row>46</xdr:row>
      <xdr:rowOff>152400</xdr:rowOff>
    </xdr:from>
    <xdr:ext cx="247650" cy="85725"/>
    <xdr:sp macro="" textlink="">
      <xdr:nvSpPr>
        <xdr:cNvPr id="17648" name="Text Box 1">
          <a:extLst>
            <a:ext uri="{FF2B5EF4-FFF2-40B4-BE49-F238E27FC236}">
              <a16:creationId xmlns:a16="http://schemas.microsoft.com/office/drawing/2014/main" id="{04D27C67-2CB8-4DB6-9A01-231012C6DC33}"/>
            </a:ext>
          </a:extLst>
        </xdr:cNvPr>
        <xdr:cNvSpPr txBox="1">
          <a:spLocks noChangeArrowheads="1"/>
        </xdr:cNvSpPr>
      </xdr:nvSpPr>
      <xdr:spPr bwMode="auto">
        <a:xfrm>
          <a:off x="26441400" y="12001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565150</xdr:colOff>
      <xdr:row>46</xdr:row>
      <xdr:rowOff>152400</xdr:rowOff>
    </xdr:from>
    <xdr:ext cx="247650" cy="85725"/>
    <xdr:sp macro="" textlink="">
      <xdr:nvSpPr>
        <xdr:cNvPr id="17649" name="Text Box 1">
          <a:extLst>
            <a:ext uri="{FF2B5EF4-FFF2-40B4-BE49-F238E27FC236}">
              <a16:creationId xmlns:a16="http://schemas.microsoft.com/office/drawing/2014/main" id="{E0259083-4A01-4F51-8541-518AA64FCA34}"/>
            </a:ext>
          </a:extLst>
        </xdr:cNvPr>
        <xdr:cNvSpPr txBox="1">
          <a:spLocks noChangeArrowheads="1"/>
        </xdr:cNvSpPr>
      </xdr:nvSpPr>
      <xdr:spPr bwMode="auto">
        <a:xfrm>
          <a:off x="26441400" y="12001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565150</xdr:colOff>
      <xdr:row>47</xdr:row>
      <xdr:rowOff>152400</xdr:rowOff>
    </xdr:from>
    <xdr:ext cx="247650" cy="85725"/>
    <xdr:sp macro="" textlink="">
      <xdr:nvSpPr>
        <xdr:cNvPr id="17650" name="Text Box 1">
          <a:extLst>
            <a:ext uri="{FF2B5EF4-FFF2-40B4-BE49-F238E27FC236}">
              <a16:creationId xmlns:a16="http://schemas.microsoft.com/office/drawing/2014/main" id="{9DDB6998-5C41-45C4-9DC1-5C3A0A0EE83F}"/>
            </a:ext>
          </a:extLst>
        </xdr:cNvPr>
        <xdr:cNvSpPr txBox="1">
          <a:spLocks noChangeArrowheads="1"/>
        </xdr:cNvSpPr>
      </xdr:nvSpPr>
      <xdr:spPr bwMode="auto">
        <a:xfrm>
          <a:off x="26441400" y="13652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565150</xdr:colOff>
      <xdr:row>47</xdr:row>
      <xdr:rowOff>152400</xdr:rowOff>
    </xdr:from>
    <xdr:ext cx="247650" cy="85725"/>
    <xdr:sp macro="" textlink="">
      <xdr:nvSpPr>
        <xdr:cNvPr id="17651" name="Text Box 1">
          <a:extLst>
            <a:ext uri="{FF2B5EF4-FFF2-40B4-BE49-F238E27FC236}">
              <a16:creationId xmlns:a16="http://schemas.microsoft.com/office/drawing/2014/main" id="{130117C2-3DC1-440A-AF54-45F96AD46A57}"/>
            </a:ext>
          </a:extLst>
        </xdr:cNvPr>
        <xdr:cNvSpPr txBox="1">
          <a:spLocks noChangeArrowheads="1"/>
        </xdr:cNvSpPr>
      </xdr:nvSpPr>
      <xdr:spPr bwMode="auto">
        <a:xfrm>
          <a:off x="26441400" y="13652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565150</xdr:colOff>
      <xdr:row>47</xdr:row>
      <xdr:rowOff>152400</xdr:rowOff>
    </xdr:from>
    <xdr:ext cx="247650" cy="85725"/>
    <xdr:sp macro="" textlink="">
      <xdr:nvSpPr>
        <xdr:cNvPr id="17652" name="Text Box 1">
          <a:extLst>
            <a:ext uri="{FF2B5EF4-FFF2-40B4-BE49-F238E27FC236}">
              <a16:creationId xmlns:a16="http://schemas.microsoft.com/office/drawing/2014/main" id="{76982259-75CE-4ED8-AB3B-0BC98B9A4AC5}"/>
            </a:ext>
          </a:extLst>
        </xdr:cNvPr>
        <xdr:cNvSpPr txBox="1">
          <a:spLocks noChangeArrowheads="1"/>
        </xdr:cNvSpPr>
      </xdr:nvSpPr>
      <xdr:spPr bwMode="auto">
        <a:xfrm>
          <a:off x="26441400" y="13652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565150</xdr:colOff>
      <xdr:row>47</xdr:row>
      <xdr:rowOff>152400</xdr:rowOff>
    </xdr:from>
    <xdr:ext cx="247650" cy="85725"/>
    <xdr:sp macro="" textlink="">
      <xdr:nvSpPr>
        <xdr:cNvPr id="17653" name="Text Box 1">
          <a:extLst>
            <a:ext uri="{FF2B5EF4-FFF2-40B4-BE49-F238E27FC236}">
              <a16:creationId xmlns:a16="http://schemas.microsoft.com/office/drawing/2014/main" id="{AD3027DA-72D4-4F7D-9FCB-EC550996B23E}"/>
            </a:ext>
          </a:extLst>
        </xdr:cNvPr>
        <xdr:cNvSpPr txBox="1">
          <a:spLocks noChangeArrowheads="1"/>
        </xdr:cNvSpPr>
      </xdr:nvSpPr>
      <xdr:spPr bwMode="auto">
        <a:xfrm>
          <a:off x="26441400" y="13652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565150</xdr:colOff>
      <xdr:row>48</xdr:row>
      <xdr:rowOff>0</xdr:rowOff>
    </xdr:from>
    <xdr:ext cx="247650" cy="85725"/>
    <xdr:sp macro="" textlink="">
      <xdr:nvSpPr>
        <xdr:cNvPr id="17654" name="Text Box 1">
          <a:extLst>
            <a:ext uri="{FF2B5EF4-FFF2-40B4-BE49-F238E27FC236}">
              <a16:creationId xmlns:a16="http://schemas.microsoft.com/office/drawing/2014/main" id="{37CA67D7-4E67-42C4-A8DD-A851D06602DD}"/>
            </a:ext>
          </a:extLst>
        </xdr:cNvPr>
        <xdr:cNvSpPr txBox="1">
          <a:spLocks noChangeArrowheads="1"/>
        </xdr:cNvSpPr>
      </xdr:nvSpPr>
      <xdr:spPr bwMode="auto">
        <a:xfrm>
          <a:off x="264414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565150</xdr:colOff>
      <xdr:row>48</xdr:row>
      <xdr:rowOff>0</xdr:rowOff>
    </xdr:from>
    <xdr:ext cx="247650" cy="85725"/>
    <xdr:sp macro="" textlink="">
      <xdr:nvSpPr>
        <xdr:cNvPr id="17655" name="Text Box 1">
          <a:extLst>
            <a:ext uri="{FF2B5EF4-FFF2-40B4-BE49-F238E27FC236}">
              <a16:creationId xmlns:a16="http://schemas.microsoft.com/office/drawing/2014/main" id="{0731CD2C-7D60-47E3-BCCD-13770FB48159}"/>
            </a:ext>
          </a:extLst>
        </xdr:cNvPr>
        <xdr:cNvSpPr txBox="1">
          <a:spLocks noChangeArrowheads="1"/>
        </xdr:cNvSpPr>
      </xdr:nvSpPr>
      <xdr:spPr bwMode="auto">
        <a:xfrm>
          <a:off x="264414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565150</xdr:colOff>
      <xdr:row>48</xdr:row>
      <xdr:rowOff>0</xdr:rowOff>
    </xdr:from>
    <xdr:ext cx="247650" cy="85725"/>
    <xdr:sp macro="" textlink="">
      <xdr:nvSpPr>
        <xdr:cNvPr id="17656" name="Text Box 1">
          <a:extLst>
            <a:ext uri="{FF2B5EF4-FFF2-40B4-BE49-F238E27FC236}">
              <a16:creationId xmlns:a16="http://schemas.microsoft.com/office/drawing/2014/main" id="{BA2616DB-F881-40F1-82F6-B38BE03EC152}"/>
            </a:ext>
          </a:extLst>
        </xdr:cNvPr>
        <xdr:cNvSpPr txBox="1">
          <a:spLocks noChangeArrowheads="1"/>
        </xdr:cNvSpPr>
      </xdr:nvSpPr>
      <xdr:spPr bwMode="auto">
        <a:xfrm>
          <a:off x="264414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565150</xdr:colOff>
      <xdr:row>48</xdr:row>
      <xdr:rowOff>0</xdr:rowOff>
    </xdr:from>
    <xdr:ext cx="247650" cy="85725"/>
    <xdr:sp macro="" textlink="">
      <xdr:nvSpPr>
        <xdr:cNvPr id="17657" name="Text Box 1">
          <a:extLst>
            <a:ext uri="{FF2B5EF4-FFF2-40B4-BE49-F238E27FC236}">
              <a16:creationId xmlns:a16="http://schemas.microsoft.com/office/drawing/2014/main" id="{B9675BAA-0054-4C22-BA9F-A34250EE8ADF}"/>
            </a:ext>
          </a:extLst>
        </xdr:cNvPr>
        <xdr:cNvSpPr txBox="1">
          <a:spLocks noChangeArrowheads="1"/>
        </xdr:cNvSpPr>
      </xdr:nvSpPr>
      <xdr:spPr bwMode="auto">
        <a:xfrm>
          <a:off x="26441400" y="13779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565150</xdr:colOff>
      <xdr:row>48</xdr:row>
      <xdr:rowOff>152400</xdr:rowOff>
    </xdr:from>
    <xdr:ext cx="247650" cy="85725"/>
    <xdr:sp macro="" textlink="">
      <xdr:nvSpPr>
        <xdr:cNvPr id="17658" name="Text Box 1">
          <a:extLst>
            <a:ext uri="{FF2B5EF4-FFF2-40B4-BE49-F238E27FC236}">
              <a16:creationId xmlns:a16="http://schemas.microsoft.com/office/drawing/2014/main" id="{7CE5B1D3-E7AC-4729-B8B0-40671C30C9CD}"/>
            </a:ext>
          </a:extLst>
        </xdr:cNvPr>
        <xdr:cNvSpPr txBox="1">
          <a:spLocks noChangeArrowheads="1"/>
        </xdr:cNvSpPr>
      </xdr:nvSpPr>
      <xdr:spPr bwMode="auto">
        <a:xfrm>
          <a:off x="26441400" y="15303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565150</xdr:colOff>
      <xdr:row>48</xdr:row>
      <xdr:rowOff>152400</xdr:rowOff>
    </xdr:from>
    <xdr:ext cx="247650" cy="85725"/>
    <xdr:sp macro="" textlink="">
      <xdr:nvSpPr>
        <xdr:cNvPr id="17659" name="Text Box 1">
          <a:extLst>
            <a:ext uri="{FF2B5EF4-FFF2-40B4-BE49-F238E27FC236}">
              <a16:creationId xmlns:a16="http://schemas.microsoft.com/office/drawing/2014/main" id="{8A12F9A1-E74A-4E53-9FA5-F709FDBD9074}"/>
            </a:ext>
          </a:extLst>
        </xdr:cNvPr>
        <xdr:cNvSpPr txBox="1">
          <a:spLocks noChangeArrowheads="1"/>
        </xdr:cNvSpPr>
      </xdr:nvSpPr>
      <xdr:spPr bwMode="auto">
        <a:xfrm>
          <a:off x="26441400" y="15303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565150</xdr:colOff>
      <xdr:row>48</xdr:row>
      <xdr:rowOff>152400</xdr:rowOff>
    </xdr:from>
    <xdr:ext cx="247650" cy="85725"/>
    <xdr:sp macro="" textlink="">
      <xdr:nvSpPr>
        <xdr:cNvPr id="17660" name="Text Box 1">
          <a:extLst>
            <a:ext uri="{FF2B5EF4-FFF2-40B4-BE49-F238E27FC236}">
              <a16:creationId xmlns:a16="http://schemas.microsoft.com/office/drawing/2014/main" id="{C90D92C0-7111-4262-9417-4ED55B610ED7}"/>
            </a:ext>
          </a:extLst>
        </xdr:cNvPr>
        <xdr:cNvSpPr txBox="1">
          <a:spLocks noChangeArrowheads="1"/>
        </xdr:cNvSpPr>
      </xdr:nvSpPr>
      <xdr:spPr bwMode="auto">
        <a:xfrm>
          <a:off x="26441400" y="15303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565150</xdr:colOff>
      <xdr:row>48</xdr:row>
      <xdr:rowOff>152400</xdr:rowOff>
    </xdr:from>
    <xdr:ext cx="247650" cy="85725"/>
    <xdr:sp macro="" textlink="">
      <xdr:nvSpPr>
        <xdr:cNvPr id="17661" name="Text Box 1">
          <a:extLst>
            <a:ext uri="{FF2B5EF4-FFF2-40B4-BE49-F238E27FC236}">
              <a16:creationId xmlns:a16="http://schemas.microsoft.com/office/drawing/2014/main" id="{20BA424F-96C6-4D96-9599-D6AF2D27181E}"/>
            </a:ext>
          </a:extLst>
        </xdr:cNvPr>
        <xdr:cNvSpPr txBox="1">
          <a:spLocks noChangeArrowheads="1"/>
        </xdr:cNvSpPr>
      </xdr:nvSpPr>
      <xdr:spPr bwMode="auto">
        <a:xfrm>
          <a:off x="26441400" y="15303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35</xdr:col>
      <xdr:colOff>565150</xdr:colOff>
      <xdr:row>46</xdr:row>
      <xdr:rowOff>152400</xdr:rowOff>
    </xdr:from>
    <xdr:ext cx="247650" cy="85725"/>
    <xdr:sp macro="" textlink="">
      <xdr:nvSpPr>
        <xdr:cNvPr id="17662" name="Text Box 1">
          <a:extLst>
            <a:ext uri="{FF2B5EF4-FFF2-40B4-BE49-F238E27FC236}">
              <a16:creationId xmlns:a16="http://schemas.microsoft.com/office/drawing/2014/main" id="{9911073F-EC19-4C1E-ADFB-FCD8C8BC0DEE}"/>
            </a:ext>
          </a:extLst>
        </xdr:cNvPr>
        <xdr:cNvSpPr txBox="1">
          <a:spLocks noChangeArrowheads="1"/>
        </xdr:cNvSpPr>
      </xdr:nvSpPr>
      <xdr:spPr bwMode="auto">
        <a:xfrm>
          <a:off x="24593550" y="12001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35</xdr:col>
      <xdr:colOff>565150</xdr:colOff>
      <xdr:row>46</xdr:row>
      <xdr:rowOff>152400</xdr:rowOff>
    </xdr:from>
    <xdr:ext cx="247650" cy="85725"/>
    <xdr:sp macro="" textlink="">
      <xdr:nvSpPr>
        <xdr:cNvPr id="17663" name="Text Box 1">
          <a:extLst>
            <a:ext uri="{FF2B5EF4-FFF2-40B4-BE49-F238E27FC236}">
              <a16:creationId xmlns:a16="http://schemas.microsoft.com/office/drawing/2014/main" id="{7843BA57-B1B2-4596-8ABE-75964094CAB8}"/>
            </a:ext>
          </a:extLst>
        </xdr:cNvPr>
        <xdr:cNvSpPr txBox="1">
          <a:spLocks noChangeArrowheads="1"/>
        </xdr:cNvSpPr>
      </xdr:nvSpPr>
      <xdr:spPr bwMode="auto">
        <a:xfrm>
          <a:off x="24593550" y="12001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36</xdr:col>
      <xdr:colOff>565150</xdr:colOff>
      <xdr:row>46</xdr:row>
      <xdr:rowOff>152400</xdr:rowOff>
    </xdr:from>
    <xdr:ext cx="247650" cy="85725"/>
    <xdr:sp macro="" textlink="">
      <xdr:nvSpPr>
        <xdr:cNvPr id="17664" name="Text Box 1">
          <a:extLst>
            <a:ext uri="{FF2B5EF4-FFF2-40B4-BE49-F238E27FC236}">
              <a16:creationId xmlns:a16="http://schemas.microsoft.com/office/drawing/2014/main" id="{0CBD44A1-4ED5-40A0-A4B9-D649ED2BB907}"/>
            </a:ext>
          </a:extLst>
        </xdr:cNvPr>
        <xdr:cNvSpPr txBox="1">
          <a:spLocks noChangeArrowheads="1"/>
        </xdr:cNvSpPr>
      </xdr:nvSpPr>
      <xdr:spPr bwMode="auto">
        <a:xfrm>
          <a:off x="25209500" y="12001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35</xdr:col>
      <xdr:colOff>565150</xdr:colOff>
      <xdr:row>46</xdr:row>
      <xdr:rowOff>152400</xdr:rowOff>
    </xdr:from>
    <xdr:ext cx="247650" cy="85725"/>
    <xdr:sp macro="" textlink="">
      <xdr:nvSpPr>
        <xdr:cNvPr id="17665" name="Text Box 1">
          <a:extLst>
            <a:ext uri="{FF2B5EF4-FFF2-40B4-BE49-F238E27FC236}">
              <a16:creationId xmlns:a16="http://schemas.microsoft.com/office/drawing/2014/main" id="{75B1D5F8-92BA-4FC3-8C6B-EDEFDDADC027}"/>
            </a:ext>
          </a:extLst>
        </xdr:cNvPr>
        <xdr:cNvSpPr txBox="1">
          <a:spLocks noChangeArrowheads="1"/>
        </xdr:cNvSpPr>
      </xdr:nvSpPr>
      <xdr:spPr bwMode="auto">
        <a:xfrm>
          <a:off x="24593550" y="12001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36</xdr:col>
      <xdr:colOff>565150</xdr:colOff>
      <xdr:row>46</xdr:row>
      <xdr:rowOff>152400</xdr:rowOff>
    </xdr:from>
    <xdr:ext cx="247650" cy="85725"/>
    <xdr:sp macro="" textlink="">
      <xdr:nvSpPr>
        <xdr:cNvPr id="17666" name="Text Box 1">
          <a:extLst>
            <a:ext uri="{FF2B5EF4-FFF2-40B4-BE49-F238E27FC236}">
              <a16:creationId xmlns:a16="http://schemas.microsoft.com/office/drawing/2014/main" id="{B605B605-F984-4A88-9AE6-A027BAED3D3F}"/>
            </a:ext>
          </a:extLst>
        </xdr:cNvPr>
        <xdr:cNvSpPr txBox="1">
          <a:spLocks noChangeArrowheads="1"/>
        </xdr:cNvSpPr>
      </xdr:nvSpPr>
      <xdr:spPr bwMode="auto">
        <a:xfrm>
          <a:off x="25209500" y="12001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35</xdr:col>
      <xdr:colOff>565150</xdr:colOff>
      <xdr:row>47</xdr:row>
      <xdr:rowOff>152400</xdr:rowOff>
    </xdr:from>
    <xdr:ext cx="247650" cy="85725"/>
    <xdr:sp macro="" textlink="">
      <xdr:nvSpPr>
        <xdr:cNvPr id="17667" name="Text Box 1">
          <a:extLst>
            <a:ext uri="{FF2B5EF4-FFF2-40B4-BE49-F238E27FC236}">
              <a16:creationId xmlns:a16="http://schemas.microsoft.com/office/drawing/2014/main" id="{540CA5A4-60F6-49AE-A2A4-B22445CA7C42}"/>
            </a:ext>
          </a:extLst>
        </xdr:cNvPr>
        <xdr:cNvSpPr txBox="1">
          <a:spLocks noChangeArrowheads="1"/>
        </xdr:cNvSpPr>
      </xdr:nvSpPr>
      <xdr:spPr bwMode="auto">
        <a:xfrm>
          <a:off x="24593550" y="13652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35</xdr:col>
      <xdr:colOff>565150</xdr:colOff>
      <xdr:row>47</xdr:row>
      <xdr:rowOff>152400</xdr:rowOff>
    </xdr:from>
    <xdr:ext cx="247650" cy="85725"/>
    <xdr:sp macro="" textlink="">
      <xdr:nvSpPr>
        <xdr:cNvPr id="17668" name="Text Box 1">
          <a:extLst>
            <a:ext uri="{FF2B5EF4-FFF2-40B4-BE49-F238E27FC236}">
              <a16:creationId xmlns:a16="http://schemas.microsoft.com/office/drawing/2014/main" id="{F9FD019B-59A7-4CDD-BF2F-54DCE5756201}"/>
            </a:ext>
          </a:extLst>
        </xdr:cNvPr>
        <xdr:cNvSpPr txBox="1">
          <a:spLocks noChangeArrowheads="1"/>
        </xdr:cNvSpPr>
      </xdr:nvSpPr>
      <xdr:spPr bwMode="auto">
        <a:xfrm>
          <a:off x="24593550" y="13652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36</xdr:col>
      <xdr:colOff>565150</xdr:colOff>
      <xdr:row>47</xdr:row>
      <xdr:rowOff>152400</xdr:rowOff>
    </xdr:from>
    <xdr:ext cx="247650" cy="85725"/>
    <xdr:sp macro="" textlink="">
      <xdr:nvSpPr>
        <xdr:cNvPr id="17669" name="Text Box 1">
          <a:extLst>
            <a:ext uri="{FF2B5EF4-FFF2-40B4-BE49-F238E27FC236}">
              <a16:creationId xmlns:a16="http://schemas.microsoft.com/office/drawing/2014/main" id="{29BF40A5-5F65-4796-8803-B5CDFEA36B5A}"/>
            </a:ext>
          </a:extLst>
        </xdr:cNvPr>
        <xdr:cNvSpPr txBox="1">
          <a:spLocks noChangeArrowheads="1"/>
        </xdr:cNvSpPr>
      </xdr:nvSpPr>
      <xdr:spPr bwMode="auto">
        <a:xfrm>
          <a:off x="25209500" y="13652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35</xdr:col>
      <xdr:colOff>565150</xdr:colOff>
      <xdr:row>47</xdr:row>
      <xdr:rowOff>152400</xdr:rowOff>
    </xdr:from>
    <xdr:ext cx="247650" cy="85725"/>
    <xdr:sp macro="" textlink="">
      <xdr:nvSpPr>
        <xdr:cNvPr id="17670" name="Text Box 1">
          <a:extLst>
            <a:ext uri="{FF2B5EF4-FFF2-40B4-BE49-F238E27FC236}">
              <a16:creationId xmlns:a16="http://schemas.microsoft.com/office/drawing/2014/main" id="{7913F36B-ECC4-4525-863B-69BCED497376}"/>
            </a:ext>
          </a:extLst>
        </xdr:cNvPr>
        <xdr:cNvSpPr txBox="1">
          <a:spLocks noChangeArrowheads="1"/>
        </xdr:cNvSpPr>
      </xdr:nvSpPr>
      <xdr:spPr bwMode="auto">
        <a:xfrm>
          <a:off x="24593550" y="13652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36</xdr:col>
      <xdr:colOff>565150</xdr:colOff>
      <xdr:row>47</xdr:row>
      <xdr:rowOff>152400</xdr:rowOff>
    </xdr:from>
    <xdr:ext cx="247650" cy="85725"/>
    <xdr:sp macro="" textlink="">
      <xdr:nvSpPr>
        <xdr:cNvPr id="17671" name="Text Box 1">
          <a:extLst>
            <a:ext uri="{FF2B5EF4-FFF2-40B4-BE49-F238E27FC236}">
              <a16:creationId xmlns:a16="http://schemas.microsoft.com/office/drawing/2014/main" id="{3AB6DB44-D95B-465A-8BA9-74B7E8B82E91}"/>
            </a:ext>
          </a:extLst>
        </xdr:cNvPr>
        <xdr:cNvSpPr txBox="1">
          <a:spLocks noChangeArrowheads="1"/>
        </xdr:cNvSpPr>
      </xdr:nvSpPr>
      <xdr:spPr bwMode="auto">
        <a:xfrm>
          <a:off x="25209500" y="13652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35</xdr:col>
      <xdr:colOff>565150</xdr:colOff>
      <xdr:row>47</xdr:row>
      <xdr:rowOff>152400</xdr:rowOff>
    </xdr:from>
    <xdr:ext cx="247650" cy="85725"/>
    <xdr:sp macro="" textlink="">
      <xdr:nvSpPr>
        <xdr:cNvPr id="17672" name="Text Box 1">
          <a:extLst>
            <a:ext uri="{FF2B5EF4-FFF2-40B4-BE49-F238E27FC236}">
              <a16:creationId xmlns:a16="http://schemas.microsoft.com/office/drawing/2014/main" id="{4608E789-C103-4ED1-88A9-E14240F5C257}"/>
            </a:ext>
          </a:extLst>
        </xdr:cNvPr>
        <xdr:cNvSpPr txBox="1">
          <a:spLocks noChangeArrowheads="1"/>
        </xdr:cNvSpPr>
      </xdr:nvSpPr>
      <xdr:spPr bwMode="auto">
        <a:xfrm>
          <a:off x="24593550" y="13652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35</xdr:col>
      <xdr:colOff>565150</xdr:colOff>
      <xdr:row>47</xdr:row>
      <xdr:rowOff>152400</xdr:rowOff>
    </xdr:from>
    <xdr:ext cx="247650" cy="85725"/>
    <xdr:sp macro="" textlink="">
      <xdr:nvSpPr>
        <xdr:cNvPr id="17673" name="Text Box 1">
          <a:extLst>
            <a:ext uri="{FF2B5EF4-FFF2-40B4-BE49-F238E27FC236}">
              <a16:creationId xmlns:a16="http://schemas.microsoft.com/office/drawing/2014/main" id="{5CFBB310-A8C9-4762-9A9D-3707FFACF87E}"/>
            </a:ext>
          </a:extLst>
        </xdr:cNvPr>
        <xdr:cNvSpPr txBox="1">
          <a:spLocks noChangeArrowheads="1"/>
        </xdr:cNvSpPr>
      </xdr:nvSpPr>
      <xdr:spPr bwMode="auto">
        <a:xfrm>
          <a:off x="24593550" y="13652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36</xdr:col>
      <xdr:colOff>565150</xdr:colOff>
      <xdr:row>47</xdr:row>
      <xdr:rowOff>152400</xdr:rowOff>
    </xdr:from>
    <xdr:ext cx="247650" cy="85725"/>
    <xdr:sp macro="" textlink="">
      <xdr:nvSpPr>
        <xdr:cNvPr id="17674" name="Text Box 1">
          <a:extLst>
            <a:ext uri="{FF2B5EF4-FFF2-40B4-BE49-F238E27FC236}">
              <a16:creationId xmlns:a16="http://schemas.microsoft.com/office/drawing/2014/main" id="{6C29D207-E8B4-4B0A-B2CE-F9A2D12C1077}"/>
            </a:ext>
          </a:extLst>
        </xdr:cNvPr>
        <xdr:cNvSpPr txBox="1">
          <a:spLocks noChangeArrowheads="1"/>
        </xdr:cNvSpPr>
      </xdr:nvSpPr>
      <xdr:spPr bwMode="auto">
        <a:xfrm>
          <a:off x="25209500" y="13652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35</xdr:col>
      <xdr:colOff>565150</xdr:colOff>
      <xdr:row>47</xdr:row>
      <xdr:rowOff>152400</xdr:rowOff>
    </xdr:from>
    <xdr:ext cx="247650" cy="85725"/>
    <xdr:sp macro="" textlink="">
      <xdr:nvSpPr>
        <xdr:cNvPr id="17675" name="Text Box 1">
          <a:extLst>
            <a:ext uri="{FF2B5EF4-FFF2-40B4-BE49-F238E27FC236}">
              <a16:creationId xmlns:a16="http://schemas.microsoft.com/office/drawing/2014/main" id="{5C818969-33AA-4614-944F-62CD15F7E781}"/>
            </a:ext>
          </a:extLst>
        </xdr:cNvPr>
        <xdr:cNvSpPr txBox="1">
          <a:spLocks noChangeArrowheads="1"/>
        </xdr:cNvSpPr>
      </xdr:nvSpPr>
      <xdr:spPr bwMode="auto">
        <a:xfrm>
          <a:off x="24593550" y="13652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36</xdr:col>
      <xdr:colOff>565150</xdr:colOff>
      <xdr:row>47</xdr:row>
      <xdr:rowOff>152400</xdr:rowOff>
    </xdr:from>
    <xdr:ext cx="247650" cy="85725"/>
    <xdr:sp macro="" textlink="">
      <xdr:nvSpPr>
        <xdr:cNvPr id="17676" name="Text Box 1">
          <a:extLst>
            <a:ext uri="{FF2B5EF4-FFF2-40B4-BE49-F238E27FC236}">
              <a16:creationId xmlns:a16="http://schemas.microsoft.com/office/drawing/2014/main" id="{E62AF6A9-8FB5-499B-9E97-796034C73C6E}"/>
            </a:ext>
          </a:extLst>
        </xdr:cNvPr>
        <xdr:cNvSpPr txBox="1">
          <a:spLocks noChangeArrowheads="1"/>
        </xdr:cNvSpPr>
      </xdr:nvSpPr>
      <xdr:spPr bwMode="auto">
        <a:xfrm>
          <a:off x="25209500" y="13652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565150</xdr:colOff>
      <xdr:row>48</xdr:row>
      <xdr:rowOff>152400</xdr:rowOff>
    </xdr:from>
    <xdr:ext cx="247650" cy="85725"/>
    <xdr:sp macro="" textlink="">
      <xdr:nvSpPr>
        <xdr:cNvPr id="17677" name="Text Box 1">
          <a:extLst>
            <a:ext uri="{FF2B5EF4-FFF2-40B4-BE49-F238E27FC236}">
              <a16:creationId xmlns:a16="http://schemas.microsoft.com/office/drawing/2014/main" id="{315C3492-9357-4815-80AF-A55138034E06}"/>
            </a:ext>
          </a:extLst>
        </xdr:cNvPr>
        <xdr:cNvSpPr txBox="1">
          <a:spLocks noChangeArrowheads="1"/>
        </xdr:cNvSpPr>
      </xdr:nvSpPr>
      <xdr:spPr bwMode="auto">
        <a:xfrm>
          <a:off x="24593550" y="15303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565150</xdr:colOff>
      <xdr:row>48</xdr:row>
      <xdr:rowOff>152400</xdr:rowOff>
    </xdr:from>
    <xdr:ext cx="247650" cy="85725"/>
    <xdr:sp macro="" textlink="">
      <xdr:nvSpPr>
        <xdr:cNvPr id="17678" name="Text Box 1">
          <a:extLst>
            <a:ext uri="{FF2B5EF4-FFF2-40B4-BE49-F238E27FC236}">
              <a16:creationId xmlns:a16="http://schemas.microsoft.com/office/drawing/2014/main" id="{D31C41FC-9168-4220-99F6-C5E0E470C861}"/>
            </a:ext>
          </a:extLst>
        </xdr:cNvPr>
        <xdr:cNvSpPr txBox="1">
          <a:spLocks noChangeArrowheads="1"/>
        </xdr:cNvSpPr>
      </xdr:nvSpPr>
      <xdr:spPr bwMode="auto">
        <a:xfrm>
          <a:off x="24593550" y="15303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36</xdr:col>
      <xdr:colOff>565150</xdr:colOff>
      <xdr:row>48</xdr:row>
      <xdr:rowOff>152400</xdr:rowOff>
    </xdr:from>
    <xdr:ext cx="247650" cy="85725"/>
    <xdr:sp macro="" textlink="">
      <xdr:nvSpPr>
        <xdr:cNvPr id="17679" name="Text Box 1">
          <a:extLst>
            <a:ext uri="{FF2B5EF4-FFF2-40B4-BE49-F238E27FC236}">
              <a16:creationId xmlns:a16="http://schemas.microsoft.com/office/drawing/2014/main" id="{28D38F40-6F9E-41FE-A044-4CCF0C981CF9}"/>
            </a:ext>
          </a:extLst>
        </xdr:cNvPr>
        <xdr:cNvSpPr txBox="1">
          <a:spLocks noChangeArrowheads="1"/>
        </xdr:cNvSpPr>
      </xdr:nvSpPr>
      <xdr:spPr bwMode="auto">
        <a:xfrm>
          <a:off x="25209500" y="15303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565150</xdr:colOff>
      <xdr:row>48</xdr:row>
      <xdr:rowOff>152400</xdr:rowOff>
    </xdr:from>
    <xdr:ext cx="247650" cy="85725"/>
    <xdr:sp macro="" textlink="">
      <xdr:nvSpPr>
        <xdr:cNvPr id="17680" name="Text Box 1">
          <a:extLst>
            <a:ext uri="{FF2B5EF4-FFF2-40B4-BE49-F238E27FC236}">
              <a16:creationId xmlns:a16="http://schemas.microsoft.com/office/drawing/2014/main" id="{379EB588-8B54-4D56-BA8F-DB6C087BD100}"/>
            </a:ext>
          </a:extLst>
        </xdr:cNvPr>
        <xdr:cNvSpPr txBox="1">
          <a:spLocks noChangeArrowheads="1"/>
        </xdr:cNvSpPr>
      </xdr:nvSpPr>
      <xdr:spPr bwMode="auto">
        <a:xfrm>
          <a:off x="24593550" y="15303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36</xdr:col>
      <xdr:colOff>565150</xdr:colOff>
      <xdr:row>48</xdr:row>
      <xdr:rowOff>152400</xdr:rowOff>
    </xdr:from>
    <xdr:ext cx="247650" cy="85725"/>
    <xdr:sp macro="" textlink="">
      <xdr:nvSpPr>
        <xdr:cNvPr id="17681" name="Text Box 1">
          <a:extLst>
            <a:ext uri="{FF2B5EF4-FFF2-40B4-BE49-F238E27FC236}">
              <a16:creationId xmlns:a16="http://schemas.microsoft.com/office/drawing/2014/main" id="{412A2997-70D7-4ACF-BFBD-D6200265CA43}"/>
            </a:ext>
          </a:extLst>
        </xdr:cNvPr>
        <xdr:cNvSpPr txBox="1">
          <a:spLocks noChangeArrowheads="1"/>
        </xdr:cNvSpPr>
      </xdr:nvSpPr>
      <xdr:spPr bwMode="auto">
        <a:xfrm>
          <a:off x="25209500" y="15303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565150</xdr:colOff>
      <xdr:row>48</xdr:row>
      <xdr:rowOff>152400</xdr:rowOff>
    </xdr:from>
    <xdr:ext cx="247650" cy="85725"/>
    <xdr:sp macro="" textlink="">
      <xdr:nvSpPr>
        <xdr:cNvPr id="17682" name="Text Box 1">
          <a:extLst>
            <a:ext uri="{FF2B5EF4-FFF2-40B4-BE49-F238E27FC236}">
              <a16:creationId xmlns:a16="http://schemas.microsoft.com/office/drawing/2014/main" id="{508ABD7B-6EE9-4202-B628-7EA02E7C2C15}"/>
            </a:ext>
          </a:extLst>
        </xdr:cNvPr>
        <xdr:cNvSpPr txBox="1">
          <a:spLocks noChangeArrowheads="1"/>
        </xdr:cNvSpPr>
      </xdr:nvSpPr>
      <xdr:spPr bwMode="auto">
        <a:xfrm>
          <a:off x="24593550" y="15303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565150</xdr:colOff>
      <xdr:row>48</xdr:row>
      <xdr:rowOff>152400</xdr:rowOff>
    </xdr:from>
    <xdr:ext cx="247650" cy="85725"/>
    <xdr:sp macro="" textlink="">
      <xdr:nvSpPr>
        <xdr:cNvPr id="17683" name="Text Box 1">
          <a:extLst>
            <a:ext uri="{FF2B5EF4-FFF2-40B4-BE49-F238E27FC236}">
              <a16:creationId xmlns:a16="http://schemas.microsoft.com/office/drawing/2014/main" id="{B869F09A-80FD-4FA7-B683-F87819A7CF7D}"/>
            </a:ext>
          </a:extLst>
        </xdr:cNvPr>
        <xdr:cNvSpPr txBox="1">
          <a:spLocks noChangeArrowheads="1"/>
        </xdr:cNvSpPr>
      </xdr:nvSpPr>
      <xdr:spPr bwMode="auto">
        <a:xfrm>
          <a:off x="24593550" y="15303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36</xdr:col>
      <xdr:colOff>565150</xdr:colOff>
      <xdr:row>48</xdr:row>
      <xdr:rowOff>152400</xdr:rowOff>
    </xdr:from>
    <xdr:ext cx="247650" cy="85725"/>
    <xdr:sp macro="" textlink="">
      <xdr:nvSpPr>
        <xdr:cNvPr id="17684" name="Text Box 1">
          <a:extLst>
            <a:ext uri="{FF2B5EF4-FFF2-40B4-BE49-F238E27FC236}">
              <a16:creationId xmlns:a16="http://schemas.microsoft.com/office/drawing/2014/main" id="{7DA2EE26-4984-430B-A69B-9D9D7D69F588}"/>
            </a:ext>
          </a:extLst>
        </xdr:cNvPr>
        <xdr:cNvSpPr txBox="1">
          <a:spLocks noChangeArrowheads="1"/>
        </xdr:cNvSpPr>
      </xdr:nvSpPr>
      <xdr:spPr bwMode="auto">
        <a:xfrm>
          <a:off x="25209500" y="15303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565150</xdr:colOff>
      <xdr:row>48</xdr:row>
      <xdr:rowOff>152400</xdr:rowOff>
    </xdr:from>
    <xdr:ext cx="247650" cy="85725"/>
    <xdr:sp macro="" textlink="">
      <xdr:nvSpPr>
        <xdr:cNvPr id="17685" name="Text Box 1">
          <a:extLst>
            <a:ext uri="{FF2B5EF4-FFF2-40B4-BE49-F238E27FC236}">
              <a16:creationId xmlns:a16="http://schemas.microsoft.com/office/drawing/2014/main" id="{0089543F-19B6-4373-A330-6ECE52691DD4}"/>
            </a:ext>
          </a:extLst>
        </xdr:cNvPr>
        <xdr:cNvSpPr txBox="1">
          <a:spLocks noChangeArrowheads="1"/>
        </xdr:cNvSpPr>
      </xdr:nvSpPr>
      <xdr:spPr bwMode="auto">
        <a:xfrm>
          <a:off x="24593550" y="15303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36</xdr:col>
      <xdr:colOff>565150</xdr:colOff>
      <xdr:row>48</xdr:row>
      <xdr:rowOff>152400</xdr:rowOff>
    </xdr:from>
    <xdr:ext cx="247650" cy="85725"/>
    <xdr:sp macro="" textlink="">
      <xdr:nvSpPr>
        <xdr:cNvPr id="17686" name="Text Box 1">
          <a:extLst>
            <a:ext uri="{FF2B5EF4-FFF2-40B4-BE49-F238E27FC236}">
              <a16:creationId xmlns:a16="http://schemas.microsoft.com/office/drawing/2014/main" id="{E0FDC72B-C90A-4DBC-AE74-ECBBD8A073C8}"/>
            </a:ext>
          </a:extLst>
        </xdr:cNvPr>
        <xdr:cNvSpPr txBox="1">
          <a:spLocks noChangeArrowheads="1"/>
        </xdr:cNvSpPr>
      </xdr:nvSpPr>
      <xdr:spPr bwMode="auto">
        <a:xfrm>
          <a:off x="25209500" y="15303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36</xdr:col>
      <xdr:colOff>565150</xdr:colOff>
      <xdr:row>48</xdr:row>
      <xdr:rowOff>152400</xdr:rowOff>
    </xdr:from>
    <xdr:ext cx="247650" cy="85725"/>
    <xdr:sp macro="" textlink="">
      <xdr:nvSpPr>
        <xdr:cNvPr id="17687" name="Text Box 1">
          <a:extLst>
            <a:ext uri="{FF2B5EF4-FFF2-40B4-BE49-F238E27FC236}">
              <a16:creationId xmlns:a16="http://schemas.microsoft.com/office/drawing/2014/main" id="{D65F1C06-674D-4AB0-9081-CD48AA593E17}"/>
            </a:ext>
          </a:extLst>
        </xdr:cNvPr>
        <xdr:cNvSpPr txBox="1">
          <a:spLocks noChangeArrowheads="1"/>
        </xdr:cNvSpPr>
      </xdr:nvSpPr>
      <xdr:spPr bwMode="auto">
        <a:xfrm>
          <a:off x="25209500" y="15303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37</xdr:col>
      <xdr:colOff>565150</xdr:colOff>
      <xdr:row>48</xdr:row>
      <xdr:rowOff>152400</xdr:rowOff>
    </xdr:from>
    <xdr:ext cx="247650" cy="85725"/>
    <xdr:sp macro="" textlink="">
      <xdr:nvSpPr>
        <xdr:cNvPr id="17688" name="Text Box 1">
          <a:extLst>
            <a:ext uri="{FF2B5EF4-FFF2-40B4-BE49-F238E27FC236}">
              <a16:creationId xmlns:a16="http://schemas.microsoft.com/office/drawing/2014/main" id="{A0BF5F20-E13E-471B-AA74-665EE4924072}"/>
            </a:ext>
          </a:extLst>
        </xdr:cNvPr>
        <xdr:cNvSpPr txBox="1">
          <a:spLocks noChangeArrowheads="1"/>
        </xdr:cNvSpPr>
      </xdr:nvSpPr>
      <xdr:spPr bwMode="auto">
        <a:xfrm>
          <a:off x="25825450" y="15303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36</xdr:col>
      <xdr:colOff>565150</xdr:colOff>
      <xdr:row>48</xdr:row>
      <xdr:rowOff>152400</xdr:rowOff>
    </xdr:from>
    <xdr:ext cx="247650" cy="85725"/>
    <xdr:sp macro="" textlink="">
      <xdr:nvSpPr>
        <xdr:cNvPr id="17689" name="Text Box 1">
          <a:extLst>
            <a:ext uri="{FF2B5EF4-FFF2-40B4-BE49-F238E27FC236}">
              <a16:creationId xmlns:a16="http://schemas.microsoft.com/office/drawing/2014/main" id="{1DD64F1A-DD3E-4E23-94B2-F4D77B3A2B71}"/>
            </a:ext>
          </a:extLst>
        </xdr:cNvPr>
        <xdr:cNvSpPr txBox="1">
          <a:spLocks noChangeArrowheads="1"/>
        </xdr:cNvSpPr>
      </xdr:nvSpPr>
      <xdr:spPr bwMode="auto">
        <a:xfrm>
          <a:off x="25209500" y="15303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37</xdr:col>
      <xdr:colOff>565150</xdr:colOff>
      <xdr:row>48</xdr:row>
      <xdr:rowOff>152400</xdr:rowOff>
    </xdr:from>
    <xdr:ext cx="247650" cy="85725"/>
    <xdr:sp macro="" textlink="">
      <xdr:nvSpPr>
        <xdr:cNvPr id="17690" name="Text Box 1">
          <a:extLst>
            <a:ext uri="{FF2B5EF4-FFF2-40B4-BE49-F238E27FC236}">
              <a16:creationId xmlns:a16="http://schemas.microsoft.com/office/drawing/2014/main" id="{EBF0238B-40BD-433A-B50F-1688BFE19152}"/>
            </a:ext>
          </a:extLst>
        </xdr:cNvPr>
        <xdr:cNvSpPr txBox="1">
          <a:spLocks noChangeArrowheads="1"/>
        </xdr:cNvSpPr>
      </xdr:nvSpPr>
      <xdr:spPr bwMode="auto">
        <a:xfrm>
          <a:off x="25825450" y="15303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36</xdr:col>
      <xdr:colOff>565150</xdr:colOff>
      <xdr:row>48</xdr:row>
      <xdr:rowOff>152400</xdr:rowOff>
    </xdr:from>
    <xdr:ext cx="247650" cy="85725"/>
    <xdr:sp macro="" textlink="">
      <xdr:nvSpPr>
        <xdr:cNvPr id="17691" name="Text Box 1">
          <a:extLst>
            <a:ext uri="{FF2B5EF4-FFF2-40B4-BE49-F238E27FC236}">
              <a16:creationId xmlns:a16="http://schemas.microsoft.com/office/drawing/2014/main" id="{82632683-15D5-4CBB-BF0D-05EC2CB438C7}"/>
            </a:ext>
          </a:extLst>
        </xdr:cNvPr>
        <xdr:cNvSpPr txBox="1">
          <a:spLocks noChangeArrowheads="1"/>
        </xdr:cNvSpPr>
      </xdr:nvSpPr>
      <xdr:spPr bwMode="auto">
        <a:xfrm>
          <a:off x="25209500" y="15303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36</xdr:col>
      <xdr:colOff>565150</xdr:colOff>
      <xdr:row>48</xdr:row>
      <xdr:rowOff>152400</xdr:rowOff>
    </xdr:from>
    <xdr:ext cx="247650" cy="85725"/>
    <xdr:sp macro="" textlink="">
      <xdr:nvSpPr>
        <xdr:cNvPr id="17692" name="Text Box 1">
          <a:extLst>
            <a:ext uri="{FF2B5EF4-FFF2-40B4-BE49-F238E27FC236}">
              <a16:creationId xmlns:a16="http://schemas.microsoft.com/office/drawing/2014/main" id="{E90D4611-7D6D-4879-A901-0B06F70857EC}"/>
            </a:ext>
          </a:extLst>
        </xdr:cNvPr>
        <xdr:cNvSpPr txBox="1">
          <a:spLocks noChangeArrowheads="1"/>
        </xdr:cNvSpPr>
      </xdr:nvSpPr>
      <xdr:spPr bwMode="auto">
        <a:xfrm>
          <a:off x="25209500" y="15303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37</xdr:col>
      <xdr:colOff>565150</xdr:colOff>
      <xdr:row>48</xdr:row>
      <xdr:rowOff>152400</xdr:rowOff>
    </xdr:from>
    <xdr:ext cx="247650" cy="85725"/>
    <xdr:sp macro="" textlink="">
      <xdr:nvSpPr>
        <xdr:cNvPr id="17693" name="Text Box 1">
          <a:extLst>
            <a:ext uri="{FF2B5EF4-FFF2-40B4-BE49-F238E27FC236}">
              <a16:creationId xmlns:a16="http://schemas.microsoft.com/office/drawing/2014/main" id="{469880B2-D106-47CA-A882-812CB088353D}"/>
            </a:ext>
          </a:extLst>
        </xdr:cNvPr>
        <xdr:cNvSpPr txBox="1">
          <a:spLocks noChangeArrowheads="1"/>
        </xdr:cNvSpPr>
      </xdr:nvSpPr>
      <xdr:spPr bwMode="auto">
        <a:xfrm>
          <a:off x="25825450" y="15303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36</xdr:col>
      <xdr:colOff>565150</xdr:colOff>
      <xdr:row>48</xdr:row>
      <xdr:rowOff>152400</xdr:rowOff>
    </xdr:from>
    <xdr:ext cx="247650" cy="85725"/>
    <xdr:sp macro="" textlink="">
      <xdr:nvSpPr>
        <xdr:cNvPr id="17694" name="Text Box 1">
          <a:extLst>
            <a:ext uri="{FF2B5EF4-FFF2-40B4-BE49-F238E27FC236}">
              <a16:creationId xmlns:a16="http://schemas.microsoft.com/office/drawing/2014/main" id="{34D03415-7A11-47DD-9F02-F74993E9F3DA}"/>
            </a:ext>
          </a:extLst>
        </xdr:cNvPr>
        <xdr:cNvSpPr txBox="1">
          <a:spLocks noChangeArrowheads="1"/>
        </xdr:cNvSpPr>
      </xdr:nvSpPr>
      <xdr:spPr bwMode="auto">
        <a:xfrm>
          <a:off x="25209500" y="15303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37</xdr:col>
      <xdr:colOff>565150</xdr:colOff>
      <xdr:row>48</xdr:row>
      <xdr:rowOff>152400</xdr:rowOff>
    </xdr:from>
    <xdr:ext cx="247650" cy="85725"/>
    <xdr:sp macro="" textlink="">
      <xdr:nvSpPr>
        <xdr:cNvPr id="17695" name="Text Box 1">
          <a:extLst>
            <a:ext uri="{FF2B5EF4-FFF2-40B4-BE49-F238E27FC236}">
              <a16:creationId xmlns:a16="http://schemas.microsoft.com/office/drawing/2014/main" id="{FAC44C60-FBFA-4856-BB9F-0047FB0760B9}"/>
            </a:ext>
          </a:extLst>
        </xdr:cNvPr>
        <xdr:cNvSpPr txBox="1">
          <a:spLocks noChangeArrowheads="1"/>
        </xdr:cNvSpPr>
      </xdr:nvSpPr>
      <xdr:spPr bwMode="auto">
        <a:xfrm>
          <a:off x="25825450" y="15303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36</xdr:col>
      <xdr:colOff>565150</xdr:colOff>
      <xdr:row>48</xdr:row>
      <xdr:rowOff>152400</xdr:rowOff>
    </xdr:from>
    <xdr:ext cx="247650" cy="85725"/>
    <xdr:sp macro="" textlink="">
      <xdr:nvSpPr>
        <xdr:cNvPr id="17696" name="Text Box 1">
          <a:extLst>
            <a:ext uri="{FF2B5EF4-FFF2-40B4-BE49-F238E27FC236}">
              <a16:creationId xmlns:a16="http://schemas.microsoft.com/office/drawing/2014/main" id="{31A02B36-B135-484B-A4E7-FB3DA9C3E52A}"/>
            </a:ext>
          </a:extLst>
        </xdr:cNvPr>
        <xdr:cNvSpPr txBox="1">
          <a:spLocks noChangeArrowheads="1"/>
        </xdr:cNvSpPr>
      </xdr:nvSpPr>
      <xdr:spPr bwMode="auto">
        <a:xfrm>
          <a:off x="25209500" y="15303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36</xdr:col>
      <xdr:colOff>565150</xdr:colOff>
      <xdr:row>48</xdr:row>
      <xdr:rowOff>152400</xdr:rowOff>
    </xdr:from>
    <xdr:ext cx="247650" cy="85725"/>
    <xdr:sp macro="" textlink="">
      <xdr:nvSpPr>
        <xdr:cNvPr id="17697" name="Text Box 1">
          <a:extLst>
            <a:ext uri="{FF2B5EF4-FFF2-40B4-BE49-F238E27FC236}">
              <a16:creationId xmlns:a16="http://schemas.microsoft.com/office/drawing/2014/main" id="{4D210CF3-A5FA-46EC-8888-6BA4EF197B24}"/>
            </a:ext>
          </a:extLst>
        </xdr:cNvPr>
        <xdr:cNvSpPr txBox="1">
          <a:spLocks noChangeArrowheads="1"/>
        </xdr:cNvSpPr>
      </xdr:nvSpPr>
      <xdr:spPr bwMode="auto">
        <a:xfrm>
          <a:off x="25209500" y="15303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37</xdr:col>
      <xdr:colOff>565150</xdr:colOff>
      <xdr:row>48</xdr:row>
      <xdr:rowOff>152400</xdr:rowOff>
    </xdr:from>
    <xdr:ext cx="247650" cy="85725"/>
    <xdr:sp macro="" textlink="">
      <xdr:nvSpPr>
        <xdr:cNvPr id="17698" name="Text Box 1">
          <a:extLst>
            <a:ext uri="{FF2B5EF4-FFF2-40B4-BE49-F238E27FC236}">
              <a16:creationId xmlns:a16="http://schemas.microsoft.com/office/drawing/2014/main" id="{E0D37322-C53E-4E46-8358-576A2744D277}"/>
            </a:ext>
          </a:extLst>
        </xdr:cNvPr>
        <xdr:cNvSpPr txBox="1">
          <a:spLocks noChangeArrowheads="1"/>
        </xdr:cNvSpPr>
      </xdr:nvSpPr>
      <xdr:spPr bwMode="auto">
        <a:xfrm>
          <a:off x="25825450" y="15303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36</xdr:col>
      <xdr:colOff>565150</xdr:colOff>
      <xdr:row>48</xdr:row>
      <xdr:rowOff>152400</xdr:rowOff>
    </xdr:from>
    <xdr:ext cx="247650" cy="85725"/>
    <xdr:sp macro="" textlink="">
      <xdr:nvSpPr>
        <xdr:cNvPr id="17699" name="Text Box 1">
          <a:extLst>
            <a:ext uri="{FF2B5EF4-FFF2-40B4-BE49-F238E27FC236}">
              <a16:creationId xmlns:a16="http://schemas.microsoft.com/office/drawing/2014/main" id="{4628160F-D3A9-4AEF-85BA-6124C7C6DC57}"/>
            </a:ext>
          </a:extLst>
        </xdr:cNvPr>
        <xdr:cNvSpPr txBox="1">
          <a:spLocks noChangeArrowheads="1"/>
        </xdr:cNvSpPr>
      </xdr:nvSpPr>
      <xdr:spPr bwMode="auto">
        <a:xfrm>
          <a:off x="25209500" y="15303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37</xdr:col>
      <xdr:colOff>565150</xdr:colOff>
      <xdr:row>48</xdr:row>
      <xdr:rowOff>152400</xdr:rowOff>
    </xdr:from>
    <xdr:ext cx="247650" cy="85725"/>
    <xdr:sp macro="" textlink="">
      <xdr:nvSpPr>
        <xdr:cNvPr id="17700" name="Text Box 1">
          <a:extLst>
            <a:ext uri="{FF2B5EF4-FFF2-40B4-BE49-F238E27FC236}">
              <a16:creationId xmlns:a16="http://schemas.microsoft.com/office/drawing/2014/main" id="{690EE6F4-EC46-49AA-95DB-476F24DD8C5F}"/>
            </a:ext>
          </a:extLst>
        </xdr:cNvPr>
        <xdr:cNvSpPr txBox="1">
          <a:spLocks noChangeArrowheads="1"/>
        </xdr:cNvSpPr>
      </xdr:nvSpPr>
      <xdr:spPr bwMode="auto">
        <a:xfrm>
          <a:off x="25825450" y="1530350"/>
          <a:ext cx="2476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Employee%20Diteals/Gemshine%20Employee%20Master%20File..xlsx" TargetMode="External"/><Relationship Id="rId2" Type="http://schemas.openxmlformats.org/officeDocument/2006/relationships/externalLinkPath" Target="file:///C:\Company%20Data\DC&amp;T\Employee%20Diteals\Gemshine%20Employee%20Master%20File..xlsx" TargetMode="External"/><Relationship Id="rId1" Type="http://schemas.openxmlformats.org/officeDocument/2006/relationships/externalLinkPath" Target="/Company%20Data/DC&amp;T/Employee%20Diteals/Gemshine%20Employee%20Master%20File.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Company%20Data\DC&amp;T\Gemshine%20Aug%2026%20Attendance%20,Bill%20,Invoice\Aug%20%2026%20Attendance%20Gemshine.xlsx" TargetMode="External"/><Relationship Id="rId1" Type="http://schemas.openxmlformats.org/officeDocument/2006/relationships/externalLinkPath" Target="Aug%20%2026%20Attendance%20Gemshine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CFS/MCFS%20Aug-2026/MCFS%20-%20Aug-26%20-%20Attendance.xlsx" TargetMode="External"/><Relationship Id="rId2" Type="http://schemas.openxmlformats.org/officeDocument/2006/relationships/externalLinkPath" Target="file:///C:\Company%20Data\MCFS\MCFS%20Aug-2026\MCFS%20-%20Aug-26%20-%20Attendance.xlsx" TargetMode="External"/><Relationship Id="rId1" Type="http://schemas.openxmlformats.org/officeDocument/2006/relationships/externalLinkPath" Target="/Company%20Data/MCFS/MCFS%20Aug-2026/MCFS%20-%20Aug-26%20-%20Attend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emshine Manpower DC&amp;T "/>
      <sheetName val="MCFS"/>
      <sheetName val="Sheet3"/>
    </sheetNames>
    <sheetDataSet>
      <sheetData sheetId="0">
        <row r="3">
          <cell r="B3" t="str">
            <v>001</v>
          </cell>
          <cell r="C3" t="str">
            <v>Active</v>
          </cell>
          <cell r="D3" t="str">
            <v>DC&amp;T</v>
          </cell>
          <cell r="E3" t="str">
            <v xml:space="preserve">SEMI-SKILLED Washroom Cleaner </v>
          </cell>
          <cell r="F3" t="str">
            <v xml:space="preserve">Rupali Mohan Padwal </v>
          </cell>
          <cell r="G3" t="str">
            <v xml:space="preserve">Mohan Padwal </v>
          </cell>
          <cell r="H3">
            <v>9552672093</v>
          </cell>
          <cell r="I3">
            <v>34113</v>
          </cell>
          <cell r="J3">
            <v>46143</v>
          </cell>
          <cell r="K3" t="str">
            <v xml:space="preserve">Housekeeping </v>
          </cell>
          <cell r="L3" t="str">
            <v>A/P Kanersar ,Gosasi , Tal  - Khed ,Dist -Pune ,410505</v>
          </cell>
          <cell r="M3">
            <v>989836781968</v>
          </cell>
        </row>
        <row r="4">
          <cell r="B4" t="str">
            <v>002</v>
          </cell>
          <cell r="C4" t="str">
            <v>Active</v>
          </cell>
          <cell r="D4" t="str">
            <v>DC&amp;T</v>
          </cell>
          <cell r="E4" t="str">
            <v xml:space="preserve">SEMI-SKILLED Machine Operator </v>
          </cell>
          <cell r="F4" t="str">
            <v xml:space="preserve">Nitin Gangaram Jadhav </v>
          </cell>
          <cell r="G4" t="str">
            <v xml:space="preserve">Gangaram Jadhav </v>
          </cell>
          <cell r="H4">
            <v>8855928030</v>
          </cell>
          <cell r="I4">
            <v>38392</v>
          </cell>
          <cell r="J4">
            <v>46143</v>
          </cell>
          <cell r="K4" t="str">
            <v xml:space="preserve">Housekeeping </v>
          </cell>
          <cell r="L4" t="str">
            <v>A/P Nimgaon , Thakarwadi ,Tal  - Khed ,Dist -Pune ,410505</v>
          </cell>
          <cell r="M4">
            <v>583864218285</v>
          </cell>
        </row>
        <row r="5">
          <cell r="B5" t="str">
            <v>003</v>
          </cell>
          <cell r="C5" t="str">
            <v>Active</v>
          </cell>
          <cell r="D5" t="str">
            <v>DC&amp;T</v>
          </cell>
          <cell r="E5" t="str">
            <v xml:space="preserve">UNSKILLED </v>
          </cell>
          <cell r="F5" t="str">
            <v xml:space="preserve">Satyawan Bapu Jadahv </v>
          </cell>
          <cell r="G5" t="str">
            <v xml:space="preserve">Bapu Jadhav </v>
          </cell>
          <cell r="H5">
            <v>9022361503</v>
          </cell>
          <cell r="I5">
            <v>34828</v>
          </cell>
          <cell r="J5">
            <v>46143</v>
          </cell>
          <cell r="K5" t="str">
            <v xml:space="preserve">Housekeeping </v>
          </cell>
          <cell r="L5" t="str">
            <v>A/P Nimgaon , Thakarwadi ,Tal  - Khed ,Dist -Pune ,410505</v>
          </cell>
          <cell r="M5">
            <v>291706834900</v>
          </cell>
        </row>
        <row r="6">
          <cell r="B6" t="str">
            <v>004</v>
          </cell>
          <cell r="C6" t="str">
            <v>Active</v>
          </cell>
          <cell r="D6" t="str">
            <v>DC&amp;T</v>
          </cell>
          <cell r="E6" t="str">
            <v xml:space="preserve">SEMI-SKILLED Machine Operator </v>
          </cell>
          <cell r="F6" t="str">
            <v xml:space="preserve">Santosh Pandurang Shinde </v>
          </cell>
          <cell r="G6" t="str">
            <v xml:space="preserve">Pandurang Shinde </v>
          </cell>
          <cell r="H6">
            <v>8010974054</v>
          </cell>
          <cell r="I6">
            <v>33824</v>
          </cell>
          <cell r="J6">
            <v>46143</v>
          </cell>
          <cell r="K6" t="str">
            <v xml:space="preserve">Housekeeping </v>
          </cell>
          <cell r="L6" t="str">
            <v>A/P ,Gosasi ,Kanersaer, Tal  - Khed ,Dist -Pune ,410505</v>
          </cell>
          <cell r="M6">
            <v>349535231497</v>
          </cell>
        </row>
        <row r="7">
          <cell r="B7" t="str">
            <v>005</v>
          </cell>
          <cell r="C7" t="str">
            <v>Active</v>
          </cell>
          <cell r="D7" t="str">
            <v>DC&amp;T</v>
          </cell>
          <cell r="E7" t="str">
            <v>UNSKILLED</v>
          </cell>
          <cell r="F7" t="str">
            <v xml:space="preserve">Yougesh Shubhash Jadhav </v>
          </cell>
          <cell r="G7" t="str">
            <v xml:space="preserve">Shubhash Jadhav </v>
          </cell>
          <cell r="H7">
            <v>9699328565</v>
          </cell>
          <cell r="I7">
            <v>35582</v>
          </cell>
          <cell r="J7">
            <v>46143</v>
          </cell>
          <cell r="K7" t="str">
            <v xml:space="preserve">Housekeeping </v>
          </cell>
          <cell r="L7" t="str">
            <v>A/P Nimgaon , Thakarwadi ,Tal  - Khed ,Dist -Pune ,410505</v>
          </cell>
          <cell r="M7">
            <v>411856181818</v>
          </cell>
        </row>
        <row r="8">
          <cell r="B8" t="str">
            <v>006</v>
          </cell>
          <cell r="C8" t="str">
            <v>Left</v>
          </cell>
          <cell r="D8" t="str">
            <v>DC&amp;T</v>
          </cell>
          <cell r="E8" t="str">
            <v xml:space="preserve">UNSKILLED </v>
          </cell>
          <cell r="F8" t="str">
            <v xml:space="preserve">Amar Kakaji  Shinde </v>
          </cell>
          <cell r="G8" t="str">
            <v xml:space="preserve">Kakaji Shinde </v>
          </cell>
          <cell r="H8">
            <v>7447742162</v>
          </cell>
          <cell r="I8">
            <v>38786</v>
          </cell>
          <cell r="J8">
            <v>46158</v>
          </cell>
          <cell r="K8" t="str">
            <v xml:space="preserve">Housekeeping </v>
          </cell>
          <cell r="L8" t="str">
            <v>A/P Kanersar ,Gosasi , Tal  - Khed ,Dist -Pune ,410505</v>
          </cell>
          <cell r="M8">
            <v>475530367364</v>
          </cell>
        </row>
        <row r="9">
          <cell r="B9" t="str">
            <v>007</v>
          </cell>
          <cell r="C9" t="str">
            <v>Active</v>
          </cell>
          <cell r="D9" t="str">
            <v>DC&amp;T</v>
          </cell>
          <cell r="E9" t="str">
            <v xml:space="preserve">UNSKILLED </v>
          </cell>
          <cell r="F9" t="str">
            <v xml:space="preserve">Sagar Rajaram  Shinde </v>
          </cell>
          <cell r="G9" t="str">
            <v xml:space="preserve">Rajaram Shinde </v>
          </cell>
          <cell r="H9">
            <v>7709338472</v>
          </cell>
          <cell r="I9">
            <v>39479</v>
          </cell>
          <cell r="J9">
            <v>46164</v>
          </cell>
          <cell r="K9" t="str">
            <v xml:space="preserve">Housekeeping </v>
          </cell>
          <cell r="L9" t="str">
            <v>A/P Nimgaon , Thakarwadi ,Tal  - Khed ,Dist -Pune ,410505</v>
          </cell>
          <cell r="M9">
            <v>793715214497</v>
          </cell>
        </row>
        <row r="10">
          <cell r="B10" t="str">
            <v>008</v>
          </cell>
          <cell r="C10" t="str">
            <v>Active</v>
          </cell>
          <cell r="D10" t="str">
            <v>DC&amp;T</v>
          </cell>
          <cell r="E10" t="str">
            <v xml:space="preserve">UNSKILLED </v>
          </cell>
          <cell r="F10" t="str">
            <v xml:space="preserve">Janardan Sopan Gaikwad </v>
          </cell>
          <cell r="G10" t="str">
            <v xml:space="preserve">Sopan Gaikwad </v>
          </cell>
          <cell r="H10">
            <v>9730030293</v>
          </cell>
          <cell r="I10">
            <v>27289</v>
          </cell>
          <cell r="J10">
            <v>46164</v>
          </cell>
          <cell r="K10" t="str">
            <v xml:space="preserve">Housekeeping </v>
          </cell>
          <cell r="L10" t="str">
            <v>A/p Kharpudi ,Nudruk, Tal-Kheh, Dist Pune ,410505</v>
          </cell>
          <cell r="M10">
            <v>479839519209</v>
          </cell>
        </row>
        <row r="11">
          <cell r="B11" t="str">
            <v>009</v>
          </cell>
          <cell r="C11" t="str">
            <v>Active</v>
          </cell>
          <cell r="D11" t="str">
            <v>DC&amp;T</v>
          </cell>
          <cell r="E11" t="str">
            <v xml:space="preserve">SEMI-SKILLED </v>
          </cell>
          <cell r="F11" t="str">
            <v xml:space="preserve">Madhav Madhukar Puyed </v>
          </cell>
          <cell r="G11" t="str">
            <v>Madhukar Gangadhar Puyed</v>
          </cell>
          <cell r="H11">
            <v>9623552766</v>
          </cell>
          <cell r="I11">
            <v>36340</v>
          </cell>
          <cell r="J11">
            <v>46162</v>
          </cell>
          <cell r="K11" t="str">
            <v xml:space="preserve">Office Boy </v>
          </cell>
          <cell r="L11" t="str">
            <v>A/P Kamtha , Tel/Dist - Nanded ,431605.</v>
          </cell>
          <cell r="M11">
            <v>412238259115</v>
          </cell>
        </row>
        <row r="12">
          <cell r="B12" t="str">
            <v>010</v>
          </cell>
          <cell r="C12" t="str">
            <v>Active</v>
          </cell>
          <cell r="D12" t="str">
            <v>DC&amp;T</v>
          </cell>
          <cell r="E12" t="str">
            <v xml:space="preserve">HIGH-SKILLED </v>
          </cell>
          <cell r="F12" t="str">
            <v xml:space="preserve">Pankaj Chandrakant Gurav </v>
          </cell>
          <cell r="G12" t="str">
            <v xml:space="preserve">Chandrakant Gurav </v>
          </cell>
          <cell r="H12">
            <v>7448174109</v>
          </cell>
          <cell r="I12">
            <v>35172</v>
          </cell>
          <cell r="J12">
            <v>46168</v>
          </cell>
          <cell r="K12" t="str">
            <v xml:space="preserve">Production </v>
          </cell>
          <cell r="L12" t="str">
            <v>A/p Hardkhale , Ratnagiri 416701</v>
          </cell>
          <cell r="M12">
            <v>913862949225</v>
          </cell>
        </row>
        <row r="13">
          <cell r="B13" t="str">
            <v>011</v>
          </cell>
          <cell r="C13" t="str">
            <v>Active</v>
          </cell>
          <cell r="D13" t="str">
            <v>DC&amp;T</v>
          </cell>
          <cell r="E13" t="str">
            <v xml:space="preserve">HIGH-SKILLED </v>
          </cell>
          <cell r="F13" t="str">
            <v>Rohit Sardar Chougale</v>
          </cell>
          <cell r="G13" t="str">
            <v>Sarkar Chaugale</v>
          </cell>
          <cell r="H13">
            <v>9970992824</v>
          </cell>
          <cell r="I13">
            <v>36040</v>
          </cell>
          <cell r="J13">
            <v>46168</v>
          </cell>
          <cell r="K13" t="str">
            <v xml:space="preserve">Electrical Plant Maintenance </v>
          </cell>
          <cell r="L13" t="str">
            <v>A/p Kupire , tal- karvier , Dist -Pune , 416205</v>
          </cell>
          <cell r="M13">
            <v>983582966387</v>
          </cell>
        </row>
        <row r="14">
          <cell r="B14" t="str">
            <v>012</v>
          </cell>
          <cell r="C14" t="str">
            <v>Left</v>
          </cell>
          <cell r="D14" t="str">
            <v>DC&amp;T</v>
          </cell>
          <cell r="E14" t="str">
            <v xml:space="preserve">HIGH-SKILLED </v>
          </cell>
          <cell r="F14" t="str">
            <v xml:space="preserve">Dinesh Nago Patil </v>
          </cell>
          <cell r="G14" t="str">
            <v xml:space="preserve">Nago Patil </v>
          </cell>
          <cell r="H14">
            <v>7030035166</v>
          </cell>
          <cell r="I14">
            <v>31386</v>
          </cell>
          <cell r="J14">
            <v>46168</v>
          </cell>
          <cell r="K14" t="str">
            <v xml:space="preserve">Electrical Plant Maintenance </v>
          </cell>
          <cell r="L14" t="str">
            <v>A/p Tisi , Nandurbar , tal /Dist Nandurbar , 425412</v>
          </cell>
          <cell r="M14">
            <v>504608366820</v>
          </cell>
        </row>
        <row r="15">
          <cell r="B15" t="str">
            <v>013</v>
          </cell>
          <cell r="C15" t="str">
            <v>Active</v>
          </cell>
          <cell r="D15" t="str">
            <v>DC&amp;T</v>
          </cell>
          <cell r="E15" t="str">
            <v xml:space="preserve">HIGH-SKILLED </v>
          </cell>
          <cell r="F15" t="str">
            <v xml:space="preserve">Dipak Ashok Waghole </v>
          </cell>
          <cell r="G15" t="str">
            <v xml:space="preserve">Ashok Raghunath Wagole </v>
          </cell>
          <cell r="H15">
            <v>9096454397</v>
          </cell>
          <cell r="I15">
            <v>34285</v>
          </cell>
          <cell r="J15">
            <v>46171</v>
          </cell>
          <cell r="K15" t="str">
            <v xml:space="preserve">Forklift Opertor </v>
          </cell>
          <cell r="L15" t="str">
            <v>A/p Varude , Tal- Khed , Dist - Pune , 410505</v>
          </cell>
          <cell r="M15">
            <v>396659714743</v>
          </cell>
        </row>
        <row r="16">
          <cell r="B16" t="str">
            <v>014</v>
          </cell>
          <cell r="C16" t="str">
            <v>Active</v>
          </cell>
          <cell r="D16" t="str">
            <v>DC&amp;T</v>
          </cell>
          <cell r="E16" t="str">
            <v xml:space="preserve">HIGH-SKILLED </v>
          </cell>
          <cell r="F16" t="str">
            <v xml:space="preserve">Aniket Kumar </v>
          </cell>
          <cell r="G16" t="str">
            <v xml:space="preserve">Nirmal Kumar Nirala </v>
          </cell>
          <cell r="H16">
            <v>9608187043</v>
          </cell>
          <cell r="I16">
            <v>37707</v>
          </cell>
          <cell r="J16">
            <v>46168</v>
          </cell>
          <cell r="K16" t="str">
            <v xml:space="preserve">Production </v>
          </cell>
          <cell r="L16" t="str">
            <v>A/p Launa , Munger , Bihar , 813321</v>
          </cell>
          <cell r="M16">
            <v>908212834736</v>
          </cell>
        </row>
        <row r="17">
          <cell r="B17" t="str">
            <v>015</v>
          </cell>
          <cell r="C17" t="str">
            <v>Active</v>
          </cell>
          <cell r="D17" t="str">
            <v>DC&amp;T</v>
          </cell>
          <cell r="E17" t="str">
            <v xml:space="preserve">HIGH-SKILLED </v>
          </cell>
          <cell r="F17" t="str">
            <v xml:space="preserve">Jitendra Sanju Thakur </v>
          </cell>
          <cell r="G17" t="str">
            <v xml:space="preserve">Sanju Narayan Thakur </v>
          </cell>
          <cell r="H17">
            <v>8390600105</v>
          </cell>
          <cell r="I17">
            <v>35031</v>
          </cell>
          <cell r="J17">
            <v>46172</v>
          </cell>
          <cell r="K17" t="str">
            <v xml:space="preserve">Electrical Plant Maintenance </v>
          </cell>
          <cell r="L17" t="str">
            <v>A/p Fashipull police line block no 51, room no 542 ,Dhule , 424001</v>
          </cell>
          <cell r="M17">
            <v>343802255687</v>
          </cell>
        </row>
        <row r="18">
          <cell r="B18" t="str">
            <v>016</v>
          </cell>
          <cell r="C18" t="str">
            <v>Active</v>
          </cell>
          <cell r="D18" t="str">
            <v>DC&amp;T</v>
          </cell>
          <cell r="E18" t="str">
            <v xml:space="preserve">HIGH-SKILLED </v>
          </cell>
          <cell r="F18" t="str">
            <v xml:space="preserve">Mayur Dnyashwer Patole </v>
          </cell>
          <cell r="G18" t="str">
            <v xml:space="preserve">Dnyeshwer Patole </v>
          </cell>
          <cell r="H18">
            <v>9405507292</v>
          </cell>
          <cell r="I18">
            <v>38515</v>
          </cell>
          <cell r="J18">
            <v>46172</v>
          </cell>
          <cell r="K18" t="str">
            <v xml:space="preserve">Electrical Plant Maintenance </v>
          </cell>
          <cell r="L18" t="str">
            <v>A/p Vadgaon Patole , Tal -Khed,Dist -pune , 410505</v>
          </cell>
          <cell r="M18">
            <v>388024755742</v>
          </cell>
        </row>
        <row r="19">
          <cell r="B19" t="str">
            <v>017</v>
          </cell>
          <cell r="C19" t="str">
            <v>Active</v>
          </cell>
          <cell r="D19" t="str">
            <v>DC&amp;T</v>
          </cell>
          <cell r="E19" t="str">
            <v xml:space="preserve">HIGH-SKILLED </v>
          </cell>
          <cell r="F19" t="str">
            <v>Shriyog Maruti Bhagwat</v>
          </cell>
          <cell r="G19" t="str">
            <v xml:space="preserve">Maruti Bhagwat </v>
          </cell>
          <cell r="H19">
            <v>8262827387</v>
          </cell>
          <cell r="I19">
            <v>38034</v>
          </cell>
          <cell r="J19">
            <v>46172</v>
          </cell>
          <cell r="K19" t="str">
            <v xml:space="preserve">Electrical Plant Maintenance </v>
          </cell>
          <cell r="L19" t="str">
            <v xml:space="preserve">A- Mohkal ,P- Kadadhe,Tal-Khed, Dist - Pune ,412404 </v>
          </cell>
          <cell r="M19">
            <v>303837085970</v>
          </cell>
        </row>
        <row r="20">
          <cell r="B20" t="str">
            <v>018</v>
          </cell>
          <cell r="C20" t="str">
            <v>Active</v>
          </cell>
          <cell r="D20" t="str">
            <v>DC&amp;T</v>
          </cell>
          <cell r="E20" t="str">
            <v xml:space="preserve">HIGH-SKILLED </v>
          </cell>
          <cell r="F20" t="str">
            <v>Pravin savkar Chaudhari</v>
          </cell>
          <cell r="G20" t="str">
            <v>Savkar Chaudhari</v>
          </cell>
          <cell r="H20">
            <v>7028502525</v>
          </cell>
          <cell r="I20">
            <v>33966</v>
          </cell>
          <cell r="J20">
            <v>46181</v>
          </cell>
          <cell r="K20" t="str">
            <v xml:space="preserve">Electrical Plant Maintenance </v>
          </cell>
          <cell r="L20" t="str">
            <v>A/p Varude , Tal- Khed , Dist - Pune , 410505</v>
          </cell>
          <cell r="M20">
            <v>930405557841</v>
          </cell>
        </row>
        <row r="21">
          <cell r="B21" t="str">
            <v>019</v>
          </cell>
          <cell r="C21" t="str">
            <v>Active</v>
          </cell>
          <cell r="D21" t="str">
            <v>DC&amp;T</v>
          </cell>
          <cell r="E21" t="str">
            <v xml:space="preserve">SUPERVISOR SKILLED </v>
          </cell>
          <cell r="F21" t="str">
            <v xml:space="preserve">Akshay Shubhash Jadhav </v>
          </cell>
          <cell r="G21" t="str">
            <v xml:space="preserve">Shubhash Jadhav </v>
          </cell>
          <cell r="H21">
            <v>7410743546</v>
          </cell>
          <cell r="I21">
            <v>35255</v>
          </cell>
          <cell r="J21">
            <v>46175</v>
          </cell>
          <cell r="K21" t="str">
            <v xml:space="preserve">Supervisor -Housekeeping </v>
          </cell>
          <cell r="L21" t="str">
            <v>A/P Nimgaon , Thakarwadi ,Tal  - Khed ,Dist -Pune ,410505</v>
          </cell>
          <cell r="M21">
            <v>401365044870</v>
          </cell>
        </row>
        <row r="22">
          <cell r="B22" t="str">
            <v>020</v>
          </cell>
          <cell r="C22" t="str">
            <v>Active</v>
          </cell>
          <cell r="D22" t="str">
            <v>DC&amp;T</v>
          </cell>
          <cell r="E22" t="str">
            <v xml:space="preserve">SEMI-SKILLED Washroom Cleaner </v>
          </cell>
          <cell r="F22" t="str">
            <v>Rhaul Balu Koli</v>
          </cell>
          <cell r="G22" t="str">
            <v>Balu Koli</v>
          </cell>
          <cell r="H22">
            <v>9075548457</v>
          </cell>
          <cell r="I22">
            <v>31361</v>
          </cell>
          <cell r="J22">
            <v>46175</v>
          </cell>
          <cell r="K22" t="str">
            <v xml:space="preserve">Housekeeping </v>
          </cell>
          <cell r="L22" t="str">
            <v>A/p Rajgurunagar , Tal-khed,Dist-pune , 410505</v>
          </cell>
          <cell r="M22">
            <v>731374939084</v>
          </cell>
        </row>
        <row r="23">
          <cell r="B23" t="str">
            <v>021</v>
          </cell>
          <cell r="C23" t="str">
            <v>Active</v>
          </cell>
          <cell r="D23" t="str">
            <v>DC&amp;T</v>
          </cell>
          <cell r="E23" t="str">
            <v xml:space="preserve">UNSKILLED </v>
          </cell>
          <cell r="F23" t="str">
            <v xml:space="preserve">Pravin Rajaram Thite </v>
          </cell>
          <cell r="G23" t="str">
            <v xml:space="preserve">Rajaram Thite </v>
          </cell>
          <cell r="H23">
            <v>7499648761</v>
          </cell>
          <cell r="I23">
            <v>32856</v>
          </cell>
          <cell r="J23">
            <v>46183</v>
          </cell>
          <cell r="K23" t="str">
            <v xml:space="preserve">Housekeeping </v>
          </cell>
          <cell r="L23" t="str">
            <v>A/p Thitewadi ,Kendur, Tal-khed , Dist pune ,412403</v>
          </cell>
          <cell r="M23">
            <v>612810567388</v>
          </cell>
        </row>
        <row r="24">
          <cell r="B24" t="str">
            <v>022</v>
          </cell>
          <cell r="C24" t="str">
            <v>Active</v>
          </cell>
          <cell r="D24" t="str">
            <v>DC&amp;T</v>
          </cell>
          <cell r="E24" t="str">
            <v xml:space="preserve">HIGH-SKILLED </v>
          </cell>
          <cell r="F24" t="str">
            <v>Mangesh Mohan Bahirat</v>
          </cell>
          <cell r="G24" t="str">
            <v xml:space="preserve">Mohan Maruti Bahirat </v>
          </cell>
          <cell r="H24">
            <v>7709959990</v>
          </cell>
          <cell r="I24">
            <v>34660</v>
          </cell>
          <cell r="J24">
            <v>46192</v>
          </cell>
          <cell r="K24" t="str">
            <v xml:space="preserve">MST </v>
          </cell>
          <cell r="L24" t="str">
            <v>A/p wafgaon , Tal-khed , Dist-pune , 410505</v>
          </cell>
          <cell r="M24">
            <v>560240178208</v>
          </cell>
        </row>
        <row r="25">
          <cell r="B25" t="str">
            <v>023</v>
          </cell>
          <cell r="C25" t="str">
            <v>Active</v>
          </cell>
          <cell r="D25" t="str">
            <v>DC&amp;T</v>
          </cell>
          <cell r="E25" t="str">
            <v xml:space="preserve">HIGH-SKILLED </v>
          </cell>
          <cell r="F25" t="str">
            <v xml:space="preserve">Sagar Vitthal Dhumal </v>
          </cell>
          <cell r="G25" t="str">
            <v xml:space="preserve">Vithal Baban Dhumal </v>
          </cell>
          <cell r="H25">
            <v>8888035597</v>
          </cell>
          <cell r="I25">
            <v>33812</v>
          </cell>
          <cell r="J25">
            <v>46192</v>
          </cell>
          <cell r="K25" t="str">
            <v xml:space="preserve">MST </v>
          </cell>
          <cell r="L25" t="str">
            <v>A/p Khadkwadi , tal-ambegaon ,Dist-pune ,410510</v>
          </cell>
          <cell r="M25">
            <v>546030494087</v>
          </cell>
        </row>
        <row r="26">
          <cell r="B26" t="str">
            <v>024</v>
          </cell>
          <cell r="C26" t="str">
            <v>Active</v>
          </cell>
          <cell r="D26" t="str">
            <v>DC&amp;T</v>
          </cell>
          <cell r="E26" t="str">
            <v xml:space="preserve">UNSKILLED </v>
          </cell>
          <cell r="F26" t="str">
            <v xml:space="preserve">Sachin Suresh Takalkar </v>
          </cell>
          <cell r="G26" t="str">
            <v xml:space="preserve">Suresh Santu Takalkar </v>
          </cell>
          <cell r="H26">
            <v>9579393288</v>
          </cell>
          <cell r="I26">
            <v>31267</v>
          </cell>
          <cell r="J26">
            <v>46192</v>
          </cell>
          <cell r="K26" t="str">
            <v xml:space="preserve">Housekeeping </v>
          </cell>
          <cell r="L26" t="str">
            <v>A/p Takalkarwadi , Tal-khed ,Dist - pune , 410505</v>
          </cell>
          <cell r="M26">
            <v>931633006688</v>
          </cell>
        </row>
        <row r="27">
          <cell r="B27" t="str">
            <v>025</v>
          </cell>
          <cell r="C27" t="str">
            <v>Active</v>
          </cell>
          <cell r="D27" t="str">
            <v>DC&amp;T</v>
          </cell>
          <cell r="E27" t="str">
            <v xml:space="preserve">SEMI-SKILLED Washroom Cleaner </v>
          </cell>
          <cell r="F27" t="str">
            <v xml:space="preserve">Tai Vilas Jadhav </v>
          </cell>
          <cell r="G27" t="str">
            <v xml:space="preserve">Vilas Maruti Jadhav </v>
          </cell>
          <cell r="H27">
            <v>9356824034</v>
          </cell>
          <cell r="I27">
            <v>31787</v>
          </cell>
          <cell r="J27">
            <v>46192</v>
          </cell>
          <cell r="K27" t="str">
            <v xml:space="preserve">Housekeeping </v>
          </cell>
          <cell r="L27" t="str">
            <v>A/P Nimgaon , Thakarwadi ,Tal  - Khed ,Dist -Pune ,410505</v>
          </cell>
          <cell r="M27">
            <v>228418174388</v>
          </cell>
        </row>
        <row r="28">
          <cell r="B28" t="str">
            <v>026</v>
          </cell>
          <cell r="C28" t="str">
            <v>Active</v>
          </cell>
          <cell r="D28" t="str">
            <v>DC&amp;T</v>
          </cell>
          <cell r="E28" t="str">
            <v xml:space="preserve">UNSKILLED </v>
          </cell>
          <cell r="F28" t="str">
            <v xml:space="preserve">Ajay Balu Jadhav </v>
          </cell>
          <cell r="G28" t="str">
            <v xml:space="preserve">Balu Maruti Jadhav </v>
          </cell>
          <cell r="H28">
            <v>9373315143</v>
          </cell>
          <cell r="I28">
            <v>36813</v>
          </cell>
          <cell r="J28">
            <v>46192</v>
          </cell>
          <cell r="K28" t="str">
            <v xml:space="preserve">Housekeeping </v>
          </cell>
          <cell r="L28" t="str">
            <v>A/P Nimgaon , Thakarwadi ,Tal  - Khed ,Dist -Pune ,410505</v>
          </cell>
          <cell r="M28">
            <v>432842782943</v>
          </cell>
        </row>
        <row r="29">
          <cell r="B29" t="str">
            <v>027</v>
          </cell>
          <cell r="C29" t="str">
            <v>Active</v>
          </cell>
          <cell r="D29" t="str">
            <v>DC&amp;T</v>
          </cell>
          <cell r="E29" t="str">
            <v xml:space="preserve">UNSKILLED </v>
          </cell>
          <cell r="F29" t="str">
            <v xml:space="preserve">Vijay Kisan Gavade </v>
          </cell>
          <cell r="G29" t="str">
            <v xml:space="preserve">Kisan Baburav Gavade </v>
          </cell>
          <cell r="H29">
            <v>8767421435</v>
          </cell>
          <cell r="I29">
            <v>30438</v>
          </cell>
          <cell r="J29">
            <v>46196</v>
          </cell>
          <cell r="K29" t="str">
            <v xml:space="preserve">Housekeeping </v>
          </cell>
          <cell r="L29" t="str">
            <v>A/P Kanersar ,Pur , Tal  - Khed ,Dist -Pune ,410505</v>
          </cell>
          <cell r="M29">
            <v>603408165856</v>
          </cell>
        </row>
        <row r="30">
          <cell r="B30" t="str">
            <v>028</v>
          </cell>
          <cell r="C30" t="str">
            <v>Active</v>
          </cell>
          <cell r="D30" t="str">
            <v>DC&amp;T</v>
          </cell>
          <cell r="E30" t="str">
            <v xml:space="preserve">UNSKILLED </v>
          </cell>
          <cell r="F30" t="str">
            <v xml:space="preserve">Santosh Bhima Bhambure </v>
          </cell>
          <cell r="G30" t="str">
            <v xml:space="preserve">Bhima Bhambure </v>
          </cell>
          <cell r="H30">
            <v>8484036964</v>
          </cell>
          <cell r="I30">
            <v>29738</v>
          </cell>
          <cell r="J30">
            <v>46197</v>
          </cell>
          <cell r="K30" t="str">
            <v xml:space="preserve">Housekeeping </v>
          </cell>
          <cell r="L30" t="str">
            <v>A/p Dhore Bhamburwadi , Tal-khed Dist pune , 410505</v>
          </cell>
          <cell r="M30">
            <v>623883908468</v>
          </cell>
        </row>
        <row r="31">
          <cell r="B31" t="str">
            <v>029</v>
          </cell>
          <cell r="C31" t="str">
            <v>Active</v>
          </cell>
          <cell r="D31" t="str">
            <v>DC&amp;T</v>
          </cell>
          <cell r="E31" t="str">
            <v xml:space="preserve">UNSKILLED </v>
          </cell>
          <cell r="F31" t="str">
            <v xml:space="preserve">Mohan Sahebrav Bhalekar </v>
          </cell>
          <cell r="G31" t="str">
            <v xml:space="preserve">Sahebrav Bhalekar </v>
          </cell>
          <cell r="H31">
            <v>9325738908</v>
          </cell>
          <cell r="I31">
            <v>32340</v>
          </cell>
          <cell r="J31">
            <v>46197</v>
          </cell>
          <cell r="K31" t="str">
            <v xml:space="preserve">Garden </v>
          </cell>
          <cell r="L31" t="str">
            <v>A/p Retwadi , Tal khed , Dist -Pune , 410505</v>
          </cell>
          <cell r="M31">
            <v>661292011092</v>
          </cell>
        </row>
        <row r="32">
          <cell r="B32" t="str">
            <v>030</v>
          </cell>
          <cell r="C32" t="str">
            <v>Active</v>
          </cell>
          <cell r="D32" t="str">
            <v>DC&amp;T</v>
          </cell>
          <cell r="E32" t="str">
            <v xml:space="preserve">UNSKILLED </v>
          </cell>
          <cell r="F32" t="str">
            <v xml:space="preserve">Sachin Suresh Netke </v>
          </cell>
          <cell r="G32" t="str">
            <v xml:space="preserve">Suresh Rambhau Netke </v>
          </cell>
          <cell r="H32">
            <v>7057690825</v>
          </cell>
          <cell r="I32">
            <v>32790</v>
          </cell>
          <cell r="J32">
            <v>46198</v>
          </cell>
          <cell r="K32" t="str">
            <v xml:space="preserve">Housekeeping </v>
          </cell>
          <cell r="L32" t="str">
            <v>A/p Dawadi , tal-khed,Dist-pune ,410505</v>
          </cell>
          <cell r="M32">
            <v>430095671307</v>
          </cell>
        </row>
        <row r="33">
          <cell r="B33" t="str">
            <v>031</v>
          </cell>
          <cell r="C33" t="str">
            <v>Left</v>
          </cell>
          <cell r="D33" t="str">
            <v>DC&amp;T</v>
          </cell>
          <cell r="E33" t="str">
            <v xml:space="preserve">SEMI-SKILLED </v>
          </cell>
          <cell r="F33" t="str">
            <v xml:space="preserve">Shubham Rama Jadhav </v>
          </cell>
          <cell r="G33" t="str">
            <v xml:space="preserve">Rama Mahadev Jadhav </v>
          </cell>
          <cell r="H33">
            <v>7666696748</v>
          </cell>
          <cell r="I33">
            <v>38904</v>
          </cell>
          <cell r="J33">
            <v>46199</v>
          </cell>
          <cell r="K33" t="str">
            <v xml:space="preserve">Office Boy </v>
          </cell>
          <cell r="L33" t="str">
            <v>A/P Kamtha , Tel/Dist - Nanded ,431605.</v>
          </cell>
          <cell r="M33">
            <v>955857749318</v>
          </cell>
        </row>
        <row r="34">
          <cell r="B34" t="str">
            <v>032</v>
          </cell>
          <cell r="C34" t="str">
            <v>Active</v>
          </cell>
          <cell r="D34" t="str">
            <v>Office</v>
          </cell>
          <cell r="E34" t="str">
            <v xml:space="preserve">HIGH-SKILLED </v>
          </cell>
          <cell r="F34" t="str">
            <v xml:space="preserve">Parshuram Rajaram Kale </v>
          </cell>
          <cell r="G34" t="str">
            <v xml:space="preserve">Rajaram Laxman Kale </v>
          </cell>
          <cell r="H34">
            <v>9503295153</v>
          </cell>
          <cell r="I34">
            <v>33646</v>
          </cell>
          <cell r="J34">
            <v>46113</v>
          </cell>
          <cell r="K34" t="str">
            <v xml:space="preserve">Operations  Manager </v>
          </cell>
          <cell r="L34" t="str">
            <v>A/p Dawadi , tal-khed,Dist-pune ,410505</v>
          </cell>
          <cell r="M34">
            <v>857144495740</v>
          </cell>
        </row>
        <row r="35">
          <cell r="B35" t="str">
            <v>033</v>
          </cell>
          <cell r="C35" t="str">
            <v>Active</v>
          </cell>
          <cell r="D35" t="str">
            <v>DC&amp;T</v>
          </cell>
          <cell r="E35" t="str">
            <v xml:space="preserve">HIGH-SKILLED </v>
          </cell>
          <cell r="F35" t="str">
            <v xml:space="preserve">Sachin Manohar Kokate </v>
          </cell>
          <cell r="G35" t="str">
            <v>Manohar Baburav Kokate</v>
          </cell>
          <cell r="H35">
            <v>7499300342</v>
          </cell>
          <cell r="I35">
            <v>37054</v>
          </cell>
          <cell r="J35">
            <v>46113</v>
          </cell>
          <cell r="K35" t="str">
            <v xml:space="preserve">Supervisor </v>
          </cell>
          <cell r="L35" t="str">
            <v>A/P Nimgaon , Thakarwadi ,Tal  - Khed ,Dist -Pune ,410505</v>
          </cell>
          <cell r="M35">
            <v>411941476071</v>
          </cell>
        </row>
        <row r="36">
          <cell r="B36" t="str">
            <v>034</v>
          </cell>
          <cell r="C36" t="str">
            <v>Active</v>
          </cell>
          <cell r="D36" t="str">
            <v>DC&amp;T</v>
          </cell>
          <cell r="E36" t="str">
            <v xml:space="preserve">SEMI-SKILLED </v>
          </cell>
          <cell r="F36" t="str">
            <v>Tulshiram Shitaram Walunj</v>
          </cell>
          <cell r="G36" t="str">
            <v>Sitaram Sahadu walunj</v>
          </cell>
          <cell r="H36">
            <v>7021873746</v>
          </cell>
          <cell r="I36">
            <v>34585</v>
          </cell>
          <cell r="J36">
            <v>46205</v>
          </cell>
          <cell r="K36" t="str">
            <v xml:space="preserve">Office Boy </v>
          </cell>
          <cell r="L36" t="str">
            <v>A/p Awhat , tal-khed, dist -pune , 412402</v>
          </cell>
          <cell r="M36">
            <v>746266493157</v>
          </cell>
        </row>
        <row r="37">
          <cell r="B37" t="str">
            <v>035</v>
          </cell>
          <cell r="C37" t="str">
            <v>Left</v>
          </cell>
          <cell r="D37" t="str">
            <v>DC&amp;T</v>
          </cell>
          <cell r="E37" t="str">
            <v xml:space="preserve">HIGH-SKILLED </v>
          </cell>
          <cell r="F37" t="str">
            <v xml:space="preserve">Darshan Shankar Shinde </v>
          </cell>
          <cell r="G37" t="str">
            <v xml:space="preserve">Shankar Ramchandra Shinde </v>
          </cell>
          <cell r="H37">
            <v>7620266125</v>
          </cell>
          <cell r="I37">
            <v>37825</v>
          </cell>
          <cell r="J37">
            <v>46206</v>
          </cell>
          <cell r="K37" t="str">
            <v>MST ( Production )</v>
          </cell>
          <cell r="L37" t="str">
            <v>A/P Nimgaon , Thakarwadi ,Tal  - Khed ,Dist -Pune ,410505</v>
          </cell>
          <cell r="M37">
            <v>363073480465</v>
          </cell>
        </row>
        <row r="38">
          <cell r="B38" t="str">
            <v>036</v>
          </cell>
          <cell r="C38" t="str">
            <v>Active</v>
          </cell>
          <cell r="D38" t="str">
            <v>DC&amp;T</v>
          </cell>
          <cell r="E38" t="str">
            <v>HIGH-SKILLED</v>
          </cell>
          <cell r="F38" t="str">
            <v>Shivam Shivkumar Dwivedi</v>
          </cell>
          <cell r="G38" t="str">
            <v>Shivkumar Dwivedi</v>
          </cell>
          <cell r="H38">
            <v>8087985188</v>
          </cell>
          <cell r="I38">
            <v>37666</v>
          </cell>
          <cell r="J38">
            <v>46214</v>
          </cell>
          <cell r="K38" t="str">
            <v>Production ( Store )</v>
          </cell>
          <cell r="L38" t="str">
            <v>A/P Chakan tal-khed,Dist -pune ,</v>
          </cell>
          <cell r="M38">
            <v>260456833570</v>
          </cell>
        </row>
        <row r="39">
          <cell r="B39" t="str">
            <v>037</v>
          </cell>
          <cell r="C39" t="str">
            <v>Active</v>
          </cell>
          <cell r="D39" t="str">
            <v>DC&amp;T</v>
          </cell>
          <cell r="E39" t="str">
            <v>UNSKILLED</v>
          </cell>
          <cell r="F39" t="str">
            <v>Vikas Vilas Jadhav</v>
          </cell>
          <cell r="G39" t="str">
            <v>Vilas Maruti Jadhav</v>
          </cell>
          <cell r="H39">
            <v>8767355594</v>
          </cell>
          <cell r="I39">
            <v>38398</v>
          </cell>
          <cell r="J39">
            <v>46218</v>
          </cell>
          <cell r="K39" t="str">
            <v>Housekeeping</v>
          </cell>
          <cell r="L39" t="str">
            <v>A/p Nimgaon , Tal-khed ,Dist-pune , 410505</v>
          </cell>
          <cell r="M39">
            <v>523092057891</v>
          </cell>
        </row>
        <row r="40">
          <cell r="B40" t="str">
            <v>038</v>
          </cell>
          <cell r="C40" t="str">
            <v>Active</v>
          </cell>
          <cell r="D40" t="str">
            <v>DC&amp;T</v>
          </cell>
          <cell r="E40" t="str">
            <v xml:space="preserve">SEMI-SKILLED Washroom Cleaner </v>
          </cell>
          <cell r="F40" t="str">
            <v>Prakash Bhagvan Waje</v>
          </cell>
          <cell r="G40" t="str">
            <v>Bhagvan Savleram Waje</v>
          </cell>
          <cell r="H40">
            <v>9370393861</v>
          </cell>
          <cell r="I40">
            <v>32213</v>
          </cell>
          <cell r="J40">
            <v>46218</v>
          </cell>
          <cell r="K40" t="str">
            <v>Associate- Housekeeping</v>
          </cell>
          <cell r="L40" t="str">
            <v>A/p Rajgurunagar , tal -khed , Dist-pune , 410505</v>
          </cell>
          <cell r="M40">
            <v>605371491418</v>
          </cell>
        </row>
        <row r="41">
          <cell r="B41" t="str">
            <v>039</v>
          </cell>
          <cell r="C41" t="str">
            <v>Active</v>
          </cell>
          <cell r="D41" t="str">
            <v>METAFIN</v>
          </cell>
          <cell r="E41" t="str">
            <v>HIGH-SKILLED</v>
          </cell>
          <cell r="F41" t="str">
            <v>Ramakant Surybhan Yadav</v>
          </cell>
          <cell r="G41" t="str">
            <v>Surybhan Yadav</v>
          </cell>
          <cell r="H41">
            <v>8459680694</v>
          </cell>
          <cell r="I41">
            <v>37457</v>
          </cell>
          <cell r="J41">
            <v>46235</v>
          </cell>
          <cell r="K41" t="str">
            <v>Welder</v>
          </cell>
          <cell r="L41" t="str">
            <v>A/p Dhaman Tek, Khed,Pune,Maharashtra,410505</v>
          </cell>
          <cell r="M41">
            <v>266639180533</v>
          </cell>
        </row>
        <row r="42">
          <cell r="B42" t="str">
            <v>040</v>
          </cell>
          <cell r="C42" t="str">
            <v>Active</v>
          </cell>
          <cell r="D42" t="str">
            <v>METAFIN</v>
          </cell>
          <cell r="E42" t="str">
            <v>HIGH-SKILLED</v>
          </cell>
          <cell r="F42" t="str">
            <v>Rohit Anil Jadhav</v>
          </cell>
          <cell r="G42" t="str">
            <v>Anil Jadhav</v>
          </cell>
          <cell r="H42">
            <v>7769051164</v>
          </cell>
          <cell r="I42">
            <v>36772</v>
          </cell>
          <cell r="J42">
            <v>46235</v>
          </cell>
          <cell r="K42" t="str">
            <v>Welder</v>
          </cell>
          <cell r="L42" t="str">
            <v>A/p Dhamari ,Tal-Shirur,Dist-Pune,410505</v>
          </cell>
          <cell r="M42">
            <v>218366413425</v>
          </cell>
        </row>
        <row r="43">
          <cell r="B43" t="str">
            <v>041</v>
          </cell>
          <cell r="C43" t="str">
            <v>Active</v>
          </cell>
          <cell r="D43" t="str">
            <v>DC&amp;T</v>
          </cell>
          <cell r="E43" t="str">
            <v>UNSKILLED</v>
          </cell>
          <cell r="F43" t="str">
            <v>Jayshri Vilas Dudhawade</v>
          </cell>
          <cell r="G43" t="str">
            <v>Vilas Dudhawade</v>
          </cell>
          <cell r="H43">
            <v>9067924160</v>
          </cell>
          <cell r="I43">
            <v>37921</v>
          </cell>
          <cell r="J43">
            <v>46235</v>
          </cell>
          <cell r="K43" t="str">
            <v>House Keeping</v>
          </cell>
          <cell r="L43" t="str">
            <v>A/p Dawadi , tal-khed,Dist-pune ,410505</v>
          </cell>
          <cell r="M43">
            <v>207762991178</v>
          </cell>
        </row>
        <row r="44">
          <cell r="B44" t="str">
            <v>042</v>
          </cell>
          <cell r="C44" t="str">
            <v>Active</v>
          </cell>
          <cell r="D44" t="str">
            <v>DC&amp;T</v>
          </cell>
          <cell r="E44" t="str">
            <v>UNSKILLED</v>
          </cell>
          <cell r="F44" t="str">
            <v>Vimal Kisan Paradhi</v>
          </cell>
          <cell r="G44" t="str">
            <v>Kisan Paradhi</v>
          </cell>
          <cell r="H44">
            <v>8856014232</v>
          </cell>
          <cell r="I44">
            <v>27395</v>
          </cell>
          <cell r="J44">
            <v>46235</v>
          </cell>
          <cell r="K44" t="str">
            <v>House Keeping</v>
          </cell>
          <cell r="L44" t="str">
            <v>A/p Nimgaon, Thakarwadi,Tal-Khed,Pune,Maharashtra,410505</v>
          </cell>
          <cell r="M44">
            <v>369360610035</v>
          </cell>
        </row>
        <row r="45">
          <cell r="B45" t="str">
            <v>043</v>
          </cell>
          <cell r="C45" t="str">
            <v>Active</v>
          </cell>
          <cell r="D45" t="str">
            <v>DC&amp;T</v>
          </cell>
          <cell r="E45" t="str">
            <v>UNSKILLED</v>
          </cell>
          <cell r="F45" t="str">
            <v>Sunita Santosh Padwal</v>
          </cell>
          <cell r="G45" t="str">
            <v>Santosh Padwal</v>
          </cell>
          <cell r="H45">
            <v>9767968942</v>
          </cell>
          <cell r="I45">
            <v>33618</v>
          </cell>
          <cell r="J45">
            <v>46235</v>
          </cell>
          <cell r="K45" t="str">
            <v>House Keeping</v>
          </cell>
          <cell r="L45" t="str">
            <v>A/p Gosasi,Thakarwadi,Tal-Khed,Dist-Pune,410505</v>
          </cell>
          <cell r="M45">
            <v>590269596565</v>
          </cell>
        </row>
        <row r="46">
          <cell r="B46" t="str">
            <v>044</v>
          </cell>
          <cell r="C46" t="str">
            <v>Active</v>
          </cell>
          <cell r="D46" t="str">
            <v>DC&amp;T</v>
          </cell>
          <cell r="E46" t="str">
            <v>UNSKILLED</v>
          </cell>
          <cell r="F46" t="str">
            <v>Ajay Namdev Abhyankar</v>
          </cell>
          <cell r="G46" t="str">
            <v>Namdev Abhyankar</v>
          </cell>
          <cell r="H46">
            <v>7720817238</v>
          </cell>
          <cell r="I46">
            <v>31234</v>
          </cell>
          <cell r="J46">
            <v>46235</v>
          </cell>
          <cell r="K46" t="str">
            <v>House Keeping</v>
          </cell>
          <cell r="L46" t="str">
            <v>A/p Tokewadi,Kadus,Tal-Khed,Dist-Pune,410505</v>
          </cell>
          <cell r="M46">
            <v>867712177345</v>
          </cell>
        </row>
        <row r="47">
          <cell r="B47" t="str">
            <v>045</v>
          </cell>
          <cell r="C47" t="str">
            <v>Active</v>
          </cell>
          <cell r="D47" t="str">
            <v>DC&amp;T</v>
          </cell>
          <cell r="E47" t="str">
            <v>UNSKILLED</v>
          </cell>
          <cell r="F47" t="str">
            <v>Sambhaji Dattatray Toke</v>
          </cell>
          <cell r="G47" t="str">
            <v>Dattatray Toke</v>
          </cell>
          <cell r="H47">
            <v>8380837515</v>
          </cell>
          <cell r="I47">
            <v>29448</v>
          </cell>
          <cell r="J47">
            <v>46235</v>
          </cell>
          <cell r="K47" t="str">
            <v>House Keeping</v>
          </cell>
          <cell r="L47" t="str">
            <v>A/p Kadus,Tokewadi,Tal-Khed,Pune-410505</v>
          </cell>
          <cell r="M47">
            <v>331811499148</v>
          </cell>
        </row>
        <row r="48">
          <cell r="B48" t="str">
            <v>046</v>
          </cell>
          <cell r="C48" t="str">
            <v>Active</v>
          </cell>
          <cell r="D48" t="str">
            <v>DC&amp;T</v>
          </cell>
          <cell r="E48" t="str">
            <v>UNSKILLED</v>
          </cell>
          <cell r="F48" t="str">
            <v>Machindra Baban Takalkar</v>
          </cell>
          <cell r="G48" t="str">
            <v>Baban Takalkar</v>
          </cell>
          <cell r="H48">
            <v>9702907598</v>
          </cell>
          <cell r="I48">
            <v>24473</v>
          </cell>
          <cell r="J48">
            <v>46235</v>
          </cell>
          <cell r="K48" t="str">
            <v>House Keeping</v>
          </cell>
          <cell r="L48" t="str">
            <v>A/p Rajgurunagar,Khed,Pune-410505</v>
          </cell>
          <cell r="M48">
            <v>349781524594</v>
          </cell>
        </row>
        <row r="49">
          <cell r="B49" t="str">
            <v>047</v>
          </cell>
          <cell r="C49" t="str">
            <v>Active</v>
          </cell>
          <cell r="D49" t="str">
            <v>DC&amp;T</v>
          </cell>
          <cell r="E49" t="str">
            <v>UNSKILLED</v>
          </cell>
          <cell r="F49" t="str">
            <v>Shbana Salim Pathan</v>
          </cell>
          <cell r="G49" t="str">
            <v>Salim Pathan</v>
          </cell>
          <cell r="H49">
            <v>8767343213</v>
          </cell>
          <cell r="I49">
            <v>33533</v>
          </cell>
          <cell r="J49">
            <v>46238</v>
          </cell>
          <cell r="K49" t="str">
            <v>House Keeping</v>
          </cell>
          <cell r="L49" t="str">
            <v>A/p Nimgoan,Khed,Pune-410505</v>
          </cell>
          <cell r="M49">
            <v>444159549264</v>
          </cell>
        </row>
        <row r="50">
          <cell r="B50" t="str">
            <v>048</v>
          </cell>
          <cell r="C50" t="str">
            <v>Left</v>
          </cell>
          <cell r="D50" t="str">
            <v>METAFIN</v>
          </cell>
          <cell r="E50" t="str">
            <v>HIGH-SKILLED</v>
          </cell>
          <cell r="F50" t="str">
            <v>Mahendra Ramchandra Limgude</v>
          </cell>
          <cell r="G50" t="str">
            <v>Ramchandra Limgude</v>
          </cell>
          <cell r="H50">
            <v>8446438715</v>
          </cell>
          <cell r="I50">
            <v>31509</v>
          </cell>
          <cell r="J50">
            <v>46239</v>
          </cell>
          <cell r="K50" t="str">
            <v>Welder</v>
          </cell>
          <cell r="L50" t="str">
            <v>A/p Kendur, Kanersar Road,Pune,412403</v>
          </cell>
          <cell r="M50">
            <v>781515444111</v>
          </cell>
        </row>
        <row r="51">
          <cell r="B51" t="str">
            <v>049</v>
          </cell>
          <cell r="C51" t="str">
            <v>Active</v>
          </cell>
          <cell r="D51" t="str">
            <v>METAFIN</v>
          </cell>
          <cell r="E51" t="str">
            <v>HIGH-SKILLED</v>
          </cell>
          <cell r="F51" t="str">
            <v>Ankush Ramchandra Thokal</v>
          </cell>
          <cell r="G51" t="str">
            <v>Ramchandra Thokal</v>
          </cell>
          <cell r="H51">
            <v>9637476172</v>
          </cell>
          <cell r="I51">
            <v>35845</v>
          </cell>
          <cell r="J51">
            <v>46239</v>
          </cell>
          <cell r="K51" t="str">
            <v>Welder</v>
          </cell>
          <cell r="L51" t="str">
            <v>A/p Sarewadi,Naiphad,Pune-412402</v>
          </cell>
          <cell r="M51">
            <v>991323467883</v>
          </cell>
        </row>
        <row r="52">
          <cell r="B52" t="str">
            <v>050</v>
          </cell>
          <cell r="C52" t="str">
            <v>Active</v>
          </cell>
          <cell r="D52" t="str">
            <v>DC&amp;T</v>
          </cell>
          <cell r="E52" t="str">
            <v>HIGH-SKILLED</v>
          </cell>
          <cell r="F52" t="str">
            <v xml:space="preserve">Sanjay Balu Pawale </v>
          </cell>
          <cell r="G52" t="str">
            <v xml:space="preserve">Balu Pawale </v>
          </cell>
          <cell r="H52">
            <v>7769027179</v>
          </cell>
          <cell r="I52">
            <v>29011</v>
          </cell>
          <cell r="J52">
            <v>46247</v>
          </cell>
          <cell r="K52" t="str">
            <v xml:space="preserve">STP Opertore </v>
          </cell>
          <cell r="L52" t="str">
            <v>A/p Kanersar , Pabal road , Khed, Pune ,410505</v>
          </cell>
          <cell r="M52">
            <v>986483261984</v>
          </cell>
        </row>
        <row r="53">
          <cell r="B53" t="str">
            <v>051</v>
          </cell>
          <cell r="C53" t="str">
            <v>Active</v>
          </cell>
          <cell r="D53" t="str">
            <v>METAFIN</v>
          </cell>
          <cell r="E53" t="str">
            <v>HIGH-SKILLED</v>
          </cell>
          <cell r="F53" t="str">
            <v xml:space="preserve">Shamu Prasad Saroj </v>
          </cell>
          <cell r="G53" t="str">
            <v xml:space="preserve">Tejbali Saroj </v>
          </cell>
          <cell r="H53">
            <v>8237528684</v>
          </cell>
          <cell r="I53">
            <v>33239</v>
          </cell>
          <cell r="J53">
            <v>46245</v>
          </cell>
          <cell r="K53" t="str">
            <v>Welder</v>
          </cell>
          <cell r="L53" t="str">
            <v>A/p Thana , Pandhri ,Aksauli,Tahil ,Mirjapur , UP-231001</v>
          </cell>
          <cell r="M53">
            <v>552776653368</v>
          </cell>
        </row>
        <row r="54">
          <cell r="B54" t="str">
            <v>052</v>
          </cell>
          <cell r="C54" t="str">
            <v>Active</v>
          </cell>
          <cell r="D54" t="str">
            <v>DC&amp;T</v>
          </cell>
          <cell r="E54" t="str">
            <v>SEMI-SKILLED</v>
          </cell>
          <cell r="F54" t="str">
            <v>Hitesh Baban Dube</v>
          </cell>
          <cell r="G54" t="str">
            <v>Baban Dube</v>
          </cell>
          <cell r="H54">
            <v>8668569155</v>
          </cell>
          <cell r="I54">
            <v>38895</v>
          </cell>
          <cell r="J54">
            <v>46237</v>
          </cell>
          <cell r="K54" t="str">
            <v>Accountant</v>
          </cell>
          <cell r="L54" t="str">
            <v>A/P Retwadi , Tal khed , Dist -Pune , 410505</v>
          </cell>
          <cell r="M54" t="str">
            <v>921943178594</v>
          </cell>
        </row>
        <row r="55">
          <cell r="B55" t="str">
            <v>053</v>
          </cell>
          <cell r="C55" t="str">
            <v>Active</v>
          </cell>
          <cell r="D55" t="str">
            <v>DC&amp;T</v>
          </cell>
        </row>
        <row r="56">
          <cell r="B56" t="str">
            <v>054</v>
          </cell>
          <cell r="C56" t="str">
            <v>Active</v>
          </cell>
          <cell r="D56" t="str">
            <v>DC&amp;T</v>
          </cell>
        </row>
        <row r="57">
          <cell r="B57" t="str">
            <v>055</v>
          </cell>
          <cell r="C57" t="str">
            <v>Active</v>
          </cell>
          <cell r="D57" t="str">
            <v>DC&amp;T</v>
          </cell>
        </row>
        <row r="58">
          <cell r="B58" t="str">
            <v>056</v>
          </cell>
          <cell r="C58" t="str">
            <v>Active</v>
          </cell>
          <cell r="D58" t="str">
            <v>DC&amp;T</v>
          </cell>
        </row>
        <row r="59">
          <cell r="B59" t="str">
            <v>057</v>
          </cell>
          <cell r="C59" t="str">
            <v>Active</v>
          </cell>
          <cell r="D59" t="str">
            <v>DC&amp;T</v>
          </cell>
        </row>
        <row r="60">
          <cell r="B60" t="str">
            <v>058</v>
          </cell>
          <cell r="C60" t="str">
            <v>Active</v>
          </cell>
          <cell r="D60" t="str">
            <v>DC&amp;T</v>
          </cell>
        </row>
        <row r="61">
          <cell r="B61" t="str">
            <v>059</v>
          </cell>
          <cell r="C61" t="str">
            <v>Active</v>
          </cell>
          <cell r="D61" t="str">
            <v>DC&amp;T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ug 26"/>
    </sheetNames>
    <sheetDataSet>
      <sheetData sheetId="0">
        <row r="4">
          <cell r="B4" t="str">
            <v>001</v>
          </cell>
          <cell r="C4" t="str">
            <v xml:space="preserve">Rupali Mohan Padwal </v>
          </cell>
          <cell r="D4" t="str">
            <v xml:space="preserve">UNSKILLED </v>
          </cell>
          <cell r="E4" t="str">
            <v>Present</v>
          </cell>
          <cell r="F4" t="str">
            <v>P</v>
          </cell>
          <cell r="G4" t="str">
            <v>WO</v>
          </cell>
          <cell r="H4" t="str">
            <v>P</v>
          </cell>
          <cell r="I4" t="str">
            <v>P</v>
          </cell>
          <cell r="J4" t="str">
            <v>P</v>
          </cell>
          <cell r="K4" t="str">
            <v>P</v>
          </cell>
          <cell r="L4" t="str">
            <v>P</v>
          </cell>
          <cell r="M4" t="str">
            <v>P</v>
          </cell>
          <cell r="N4" t="str">
            <v>WO</v>
          </cell>
          <cell r="O4" t="str">
            <v>A</v>
          </cell>
          <cell r="P4" t="str">
            <v>P</v>
          </cell>
          <cell r="Q4" t="str">
            <v>P</v>
          </cell>
          <cell r="R4" t="str">
            <v>P</v>
          </cell>
          <cell r="S4" t="str">
            <v>P</v>
          </cell>
          <cell r="T4" t="str">
            <v>PH</v>
          </cell>
          <cell r="U4" t="str">
            <v>WO</v>
          </cell>
          <cell r="V4" t="str">
            <v>P</v>
          </cell>
          <cell r="W4" t="str">
            <v>P</v>
          </cell>
          <cell r="X4" t="str">
            <v>P</v>
          </cell>
          <cell r="Y4" t="str">
            <v>P</v>
          </cell>
          <cell r="Z4" t="str">
            <v>P</v>
          </cell>
          <cell r="AA4" t="str">
            <v>P</v>
          </cell>
          <cell r="AB4" t="str">
            <v>WO</v>
          </cell>
          <cell r="AC4" t="str">
            <v>P</v>
          </cell>
          <cell r="AD4" t="str">
            <v>P</v>
          </cell>
          <cell r="AE4" t="str">
            <v>P</v>
          </cell>
          <cell r="AF4" t="str">
            <v>P</v>
          </cell>
          <cell r="AG4" t="str">
            <v>P</v>
          </cell>
          <cell r="AH4" t="str">
            <v>P</v>
          </cell>
          <cell r="AI4" t="str">
            <v>WO</v>
          </cell>
          <cell r="AJ4" t="str">
            <v>A</v>
          </cell>
          <cell r="AK4">
            <v>23</v>
          </cell>
          <cell r="AL4">
            <v>1</v>
          </cell>
          <cell r="AM4">
            <v>24</v>
          </cell>
          <cell r="AN4">
            <v>2</v>
          </cell>
          <cell r="AO4">
            <v>0</v>
          </cell>
        </row>
        <row r="5">
          <cell r="B5"/>
          <cell r="C5"/>
          <cell r="D5"/>
          <cell r="E5" t="str">
            <v>OT</v>
          </cell>
          <cell r="F5"/>
          <cell r="G5"/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  <cell r="AB5"/>
          <cell r="AC5"/>
          <cell r="AD5"/>
          <cell r="AE5"/>
          <cell r="AF5"/>
          <cell r="AG5"/>
          <cell r="AH5"/>
          <cell r="AI5"/>
          <cell r="AJ5"/>
          <cell r="AK5"/>
          <cell r="AL5"/>
          <cell r="AM5"/>
          <cell r="AN5"/>
          <cell r="AO5"/>
        </row>
        <row r="6">
          <cell r="B6" t="str">
            <v>002</v>
          </cell>
          <cell r="C6" t="str">
            <v xml:space="preserve">Nitin Gangaram Jadhav </v>
          </cell>
          <cell r="D6"/>
          <cell r="E6" t="str">
            <v>Present</v>
          </cell>
          <cell r="F6" t="str">
            <v>P</v>
          </cell>
          <cell r="G6" t="str">
            <v>WO</v>
          </cell>
          <cell r="H6" t="str">
            <v>P</v>
          </cell>
          <cell r="I6" t="str">
            <v>P</v>
          </cell>
          <cell r="J6" t="str">
            <v>P</v>
          </cell>
          <cell r="K6" t="str">
            <v>P</v>
          </cell>
          <cell r="L6" t="str">
            <v>P</v>
          </cell>
          <cell r="M6" t="str">
            <v>P</v>
          </cell>
          <cell r="N6" t="str">
            <v>WO</v>
          </cell>
          <cell r="O6" t="str">
            <v>P</v>
          </cell>
          <cell r="P6" t="str">
            <v>A</v>
          </cell>
          <cell r="Q6" t="str">
            <v>A</v>
          </cell>
          <cell r="R6" t="str">
            <v>P</v>
          </cell>
          <cell r="S6" t="str">
            <v>P</v>
          </cell>
          <cell r="T6" t="str">
            <v>PH</v>
          </cell>
          <cell r="U6" t="str">
            <v>WO</v>
          </cell>
          <cell r="V6" t="str">
            <v>P</v>
          </cell>
          <cell r="W6" t="str">
            <v>P</v>
          </cell>
          <cell r="X6" t="str">
            <v>P</v>
          </cell>
          <cell r="Y6" t="str">
            <v>P</v>
          </cell>
          <cell r="Z6" t="str">
            <v>P</v>
          </cell>
          <cell r="AA6" t="str">
            <v>P</v>
          </cell>
          <cell r="AB6" t="str">
            <v>WO</v>
          </cell>
          <cell r="AC6" t="str">
            <v>P</v>
          </cell>
          <cell r="AD6" t="str">
            <v>P</v>
          </cell>
          <cell r="AE6" t="str">
            <v>P</v>
          </cell>
          <cell r="AF6" t="str">
            <v>P</v>
          </cell>
          <cell r="AG6" t="str">
            <v>P</v>
          </cell>
          <cell r="AH6" t="str">
            <v>P</v>
          </cell>
          <cell r="AI6" t="str">
            <v>WO</v>
          </cell>
          <cell r="AJ6" t="str">
            <v>P</v>
          </cell>
          <cell r="AK6">
            <v>23</v>
          </cell>
          <cell r="AL6">
            <v>1</v>
          </cell>
          <cell r="AM6">
            <v>24</v>
          </cell>
          <cell r="AN6">
            <v>2</v>
          </cell>
          <cell r="AO6">
            <v>0</v>
          </cell>
        </row>
        <row r="7">
          <cell r="B7"/>
          <cell r="C7"/>
          <cell r="D7"/>
          <cell r="E7" t="str">
            <v>OT</v>
          </cell>
          <cell r="F7"/>
          <cell r="G7"/>
          <cell r="H7"/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  <cell r="T7"/>
          <cell r="U7"/>
          <cell r="V7"/>
          <cell r="W7"/>
          <cell r="X7"/>
          <cell r="Y7"/>
          <cell r="Z7"/>
          <cell r="AA7"/>
          <cell r="AB7"/>
          <cell r="AC7"/>
          <cell r="AD7"/>
          <cell r="AE7"/>
          <cell r="AF7"/>
          <cell r="AG7"/>
          <cell r="AH7"/>
          <cell r="AI7"/>
          <cell r="AJ7"/>
          <cell r="AK7"/>
          <cell r="AL7"/>
          <cell r="AM7"/>
          <cell r="AN7"/>
          <cell r="AO7"/>
        </row>
        <row r="8">
          <cell r="B8" t="str">
            <v>003</v>
          </cell>
          <cell r="C8" t="str">
            <v xml:space="preserve">Satyawan Bapu Jadahv </v>
          </cell>
          <cell r="D8"/>
          <cell r="E8" t="str">
            <v>Present</v>
          </cell>
          <cell r="F8" t="str">
            <v>P</v>
          </cell>
          <cell r="G8" t="str">
            <v>WO</v>
          </cell>
          <cell r="H8" t="str">
            <v>P</v>
          </cell>
          <cell r="I8" t="str">
            <v>P</v>
          </cell>
          <cell r="J8" t="str">
            <v>P</v>
          </cell>
          <cell r="K8" t="str">
            <v>P</v>
          </cell>
          <cell r="L8" t="str">
            <v>P</v>
          </cell>
          <cell r="M8" t="str">
            <v>P</v>
          </cell>
          <cell r="N8" t="str">
            <v>WO</v>
          </cell>
          <cell r="O8" t="str">
            <v>P</v>
          </cell>
          <cell r="P8" t="str">
            <v>P</v>
          </cell>
          <cell r="Q8" t="str">
            <v>P</v>
          </cell>
          <cell r="R8" t="str">
            <v>P</v>
          </cell>
          <cell r="S8" t="str">
            <v>A</v>
          </cell>
          <cell r="T8" t="str">
            <v>PH</v>
          </cell>
          <cell r="U8" t="str">
            <v>WO</v>
          </cell>
          <cell r="V8" t="str">
            <v>P</v>
          </cell>
          <cell r="W8" t="str">
            <v>P</v>
          </cell>
          <cell r="X8" t="str">
            <v>P</v>
          </cell>
          <cell r="Y8" t="str">
            <v>P</v>
          </cell>
          <cell r="Z8" t="str">
            <v>P</v>
          </cell>
          <cell r="AA8" t="str">
            <v>P</v>
          </cell>
          <cell r="AB8" t="str">
            <v>WO</v>
          </cell>
          <cell r="AC8" t="str">
            <v>A</v>
          </cell>
          <cell r="AD8" t="str">
            <v>P</v>
          </cell>
          <cell r="AE8" t="str">
            <v>P</v>
          </cell>
          <cell r="AF8" t="str">
            <v>P</v>
          </cell>
          <cell r="AG8" t="str">
            <v>P</v>
          </cell>
          <cell r="AH8" t="str">
            <v>P</v>
          </cell>
          <cell r="AI8" t="str">
            <v>WO</v>
          </cell>
          <cell r="AJ8" t="str">
            <v>P</v>
          </cell>
          <cell r="AK8">
            <v>23</v>
          </cell>
          <cell r="AL8">
            <v>1</v>
          </cell>
          <cell r="AM8">
            <v>24</v>
          </cell>
          <cell r="AN8">
            <v>2</v>
          </cell>
          <cell r="AO8">
            <v>0</v>
          </cell>
        </row>
        <row r="9">
          <cell r="B9"/>
          <cell r="C9"/>
          <cell r="D9"/>
          <cell r="E9" t="str">
            <v>OT</v>
          </cell>
          <cell r="F9"/>
          <cell r="G9"/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/>
          <cell r="T9"/>
          <cell r="U9"/>
          <cell r="V9"/>
          <cell r="W9"/>
          <cell r="X9"/>
          <cell r="Y9"/>
          <cell r="Z9"/>
          <cell r="AA9"/>
          <cell r="AB9"/>
          <cell r="AC9"/>
          <cell r="AD9"/>
          <cell r="AE9"/>
          <cell r="AF9"/>
          <cell r="AG9"/>
          <cell r="AH9"/>
          <cell r="AI9"/>
          <cell r="AJ9"/>
          <cell r="AK9"/>
          <cell r="AL9"/>
          <cell r="AM9"/>
          <cell r="AN9"/>
          <cell r="AO9"/>
        </row>
        <row r="10">
          <cell r="B10" t="str">
            <v>004</v>
          </cell>
          <cell r="C10" t="str">
            <v xml:space="preserve">Santosh Pandurang Shinde </v>
          </cell>
          <cell r="D10"/>
          <cell r="E10" t="str">
            <v>Present</v>
          </cell>
          <cell r="F10" t="str">
            <v>P</v>
          </cell>
          <cell r="G10" t="str">
            <v>WO</v>
          </cell>
          <cell r="H10" t="str">
            <v>P</v>
          </cell>
          <cell r="I10" t="str">
            <v>P</v>
          </cell>
          <cell r="J10" t="str">
            <v>P</v>
          </cell>
          <cell r="K10" t="str">
            <v>P</v>
          </cell>
          <cell r="L10" t="str">
            <v>P</v>
          </cell>
          <cell r="M10" t="str">
            <v>P</v>
          </cell>
          <cell r="N10" t="str">
            <v>WO</v>
          </cell>
          <cell r="O10" t="str">
            <v>P</v>
          </cell>
          <cell r="P10" t="str">
            <v>P</v>
          </cell>
          <cell r="Q10" t="str">
            <v>P</v>
          </cell>
          <cell r="R10" t="str">
            <v>P</v>
          </cell>
          <cell r="S10" t="str">
            <v>P</v>
          </cell>
          <cell r="T10" t="str">
            <v>PH</v>
          </cell>
          <cell r="U10" t="str">
            <v>WO</v>
          </cell>
          <cell r="V10" t="str">
            <v>P</v>
          </cell>
          <cell r="W10" t="str">
            <v>P</v>
          </cell>
          <cell r="X10" t="str">
            <v>P</v>
          </cell>
          <cell r="Y10" t="str">
            <v>P</v>
          </cell>
          <cell r="Z10" t="str">
            <v>P</v>
          </cell>
          <cell r="AA10" t="str">
            <v>P</v>
          </cell>
          <cell r="AB10" t="str">
            <v>WO</v>
          </cell>
          <cell r="AC10" t="str">
            <v>P</v>
          </cell>
          <cell r="AD10" t="str">
            <v>P</v>
          </cell>
          <cell r="AE10" t="str">
            <v>P</v>
          </cell>
          <cell r="AF10" t="str">
            <v>P</v>
          </cell>
          <cell r="AG10" t="str">
            <v>P</v>
          </cell>
          <cell r="AH10" t="str">
            <v>P</v>
          </cell>
          <cell r="AI10" t="str">
            <v>WO</v>
          </cell>
          <cell r="AJ10" t="str">
            <v>P</v>
          </cell>
          <cell r="AK10">
            <v>25</v>
          </cell>
          <cell r="AL10">
            <v>1</v>
          </cell>
          <cell r="AM10">
            <v>26</v>
          </cell>
          <cell r="AN10">
            <v>0</v>
          </cell>
          <cell r="AO10">
            <v>3</v>
          </cell>
        </row>
        <row r="11">
          <cell r="B11"/>
          <cell r="C11"/>
          <cell r="D11"/>
          <cell r="E11" t="str">
            <v>OT</v>
          </cell>
          <cell r="F11"/>
          <cell r="G11"/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  <cell r="T11"/>
          <cell r="U11"/>
          <cell r="V11"/>
          <cell r="W11"/>
          <cell r="X11"/>
          <cell r="Y11"/>
          <cell r="Z11">
            <v>3</v>
          </cell>
          <cell r="AA11"/>
          <cell r="AB11"/>
          <cell r="AC11"/>
          <cell r="AD11"/>
          <cell r="AE11"/>
          <cell r="AF11"/>
          <cell r="AG11"/>
          <cell r="AH11"/>
          <cell r="AI11"/>
          <cell r="AJ11"/>
          <cell r="AK11"/>
          <cell r="AL11"/>
          <cell r="AM11"/>
          <cell r="AN11"/>
          <cell r="AO11"/>
        </row>
        <row r="12">
          <cell r="B12" t="str">
            <v>005</v>
          </cell>
          <cell r="C12" t="str">
            <v xml:space="preserve">Yougesh Shubhash Jadhav </v>
          </cell>
          <cell r="D12"/>
          <cell r="E12" t="str">
            <v>Present</v>
          </cell>
          <cell r="F12" t="str">
            <v>P</v>
          </cell>
          <cell r="G12" t="str">
            <v>P</v>
          </cell>
          <cell r="H12" t="str">
            <v>P</v>
          </cell>
          <cell r="I12" t="str">
            <v>P</v>
          </cell>
          <cell r="J12" t="str">
            <v>WO</v>
          </cell>
          <cell r="K12" t="str">
            <v>P</v>
          </cell>
          <cell r="L12" t="str">
            <v>P</v>
          </cell>
          <cell r="M12" t="str">
            <v>P</v>
          </cell>
          <cell r="N12" t="str">
            <v>P</v>
          </cell>
          <cell r="O12" t="str">
            <v>P</v>
          </cell>
          <cell r="P12" t="str">
            <v>P</v>
          </cell>
          <cell r="Q12" t="str">
            <v>P</v>
          </cell>
          <cell r="R12" t="str">
            <v>WO</v>
          </cell>
          <cell r="S12" t="str">
            <v>P</v>
          </cell>
          <cell r="T12" t="str">
            <v>PH</v>
          </cell>
          <cell r="U12" t="str">
            <v>P</v>
          </cell>
          <cell r="V12" t="str">
            <v>P</v>
          </cell>
          <cell r="W12" t="str">
            <v>P</v>
          </cell>
          <cell r="X12" t="str">
            <v>A</v>
          </cell>
          <cell r="Y12" t="str">
            <v>WO</v>
          </cell>
          <cell r="Z12" t="str">
            <v>P</v>
          </cell>
          <cell r="AA12" t="str">
            <v>P</v>
          </cell>
          <cell r="AB12" t="str">
            <v>P</v>
          </cell>
          <cell r="AC12" t="str">
            <v>A</v>
          </cell>
          <cell r="AD12" t="str">
            <v>A</v>
          </cell>
          <cell r="AE12" t="str">
            <v>A</v>
          </cell>
          <cell r="AF12" t="str">
            <v>WO</v>
          </cell>
          <cell r="AG12" t="str">
            <v>P</v>
          </cell>
          <cell r="AH12" t="str">
            <v>P</v>
          </cell>
          <cell r="AI12" t="str">
            <v>P</v>
          </cell>
          <cell r="AJ12" t="str">
            <v>P</v>
          </cell>
          <cell r="AK12">
            <v>22</v>
          </cell>
          <cell r="AL12">
            <v>1</v>
          </cell>
          <cell r="AM12">
            <v>23</v>
          </cell>
          <cell r="AN12">
            <v>4</v>
          </cell>
          <cell r="AO12">
            <v>0</v>
          </cell>
        </row>
        <row r="13">
          <cell r="B13"/>
          <cell r="C13"/>
          <cell r="D13"/>
          <cell r="E13" t="str">
            <v>OT</v>
          </cell>
          <cell r="F13"/>
          <cell r="G13"/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B13"/>
          <cell r="AC13"/>
          <cell r="AD13"/>
          <cell r="AE13"/>
          <cell r="AF13"/>
          <cell r="AG13"/>
          <cell r="AH13"/>
          <cell r="AI13"/>
          <cell r="AJ13"/>
          <cell r="AK13"/>
          <cell r="AL13"/>
          <cell r="AM13"/>
          <cell r="AN13"/>
          <cell r="AO13"/>
        </row>
        <row r="14">
          <cell r="B14" t="str">
            <v>007</v>
          </cell>
          <cell r="C14" t="str">
            <v xml:space="preserve">Sagar Rajaram  Shinde </v>
          </cell>
          <cell r="D14"/>
          <cell r="E14" t="str">
            <v>Present</v>
          </cell>
          <cell r="F14" t="str">
            <v>A</v>
          </cell>
          <cell r="G14" t="str">
            <v>WO</v>
          </cell>
          <cell r="H14" t="str">
            <v>A</v>
          </cell>
          <cell r="I14" t="str">
            <v>P</v>
          </cell>
          <cell r="J14" t="str">
            <v>P</v>
          </cell>
          <cell r="K14" t="str">
            <v>P</v>
          </cell>
          <cell r="L14" t="str">
            <v>P</v>
          </cell>
          <cell r="M14" t="str">
            <v>A</v>
          </cell>
          <cell r="N14" t="str">
            <v>WO</v>
          </cell>
          <cell r="O14" t="str">
            <v>P</v>
          </cell>
          <cell r="P14" t="str">
            <v>P</v>
          </cell>
          <cell r="Q14" t="str">
            <v>P</v>
          </cell>
          <cell r="R14" t="str">
            <v>A</v>
          </cell>
          <cell r="S14" t="str">
            <v>A</v>
          </cell>
          <cell r="T14" t="str">
            <v>PH</v>
          </cell>
          <cell r="U14" t="str">
            <v>WO</v>
          </cell>
          <cell r="V14" t="str">
            <v>P</v>
          </cell>
          <cell r="W14" t="str">
            <v>P</v>
          </cell>
          <cell r="X14" t="str">
            <v>A</v>
          </cell>
          <cell r="Y14" t="str">
            <v>A</v>
          </cell>
          <cell r="Z14" t="str">
            <v>A</v>
          </cell>
          <cell r="AA14" t="str">
            <v>A</v>
          </cell>
          <cell r="AB14" t="str">
            <v>WO</v>
          </cell>
          <cell r="AC14" t="str">
            <v>A</v>
          </cell>
          <cell r="AD14" t="str">
            <v>P</v>
          </cell>
          <cell r="AE14" t="str">
            <v>P</v>
          </cell>
          <cell r="AF14" t="str">
            <v>P</v>
          </cell>
          <cell r="AG14" t="str">
            <v>A</v>
          </cell>
          <cell r="AH14" t="str">
            <v>P</v>
          </cell>
          <cell r="AI14" t="str">
            <v>WO</v>
          </cell>
          <cell r="AJ14" t="str">
            <v>P</v>
          </cell>
          <cell r="AK14">
            <v>14</v>
          </cell>
          <cell r="AL14">
            <v>1</v>
          </cell>
          <cell r="AM14">
            <v>15</v>
          </cell>
          <cell r="AN14">
            <v>11</v>
          </cell>
          <cell r="AO14">
            <v>0</v>
          </cell>
        </row>
        <row r="15">
          <cell r="B15"/>
          <cell r="C15"/>
          <cell r="D15"/>
          <cell r="E15" t="str">
            <v>OT</v>
          </cell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  <cell r="T15"/>
          <cell r="U15"/>
          <cell r="V15"/>
          <cell r="W15"/>
          <cell r="X15"/>
          <cell r="Y15"/>
          <cell r="Z15"/>
          <cell r="AA15"/>
          <cell r="AB15"/>
          <cell r="AC15"/>
          <cell r="AD15"/>
          <cell r="AE15"/>
          <cell r="AF15"/>
          <cell r="AG15"/>
          <cell r="AH15"/>
          <cell r="AI15"/>
          <cell r="AJ15"/>
          <cell r="AK15"/>
          <cell r="AL15"/>
          <cell r="AM15"/>
          <cell r="AN15"/>
          <cell r="AO15"/>
        </row>
        <row r="16">
          <cell r="B16" t="str">
            <v>008</v>
          </cell>
          <cell r="C16" t="str">
            <v xml:space="preserve">Janardan Sopan Gaikwad </v>
          </cell>
          <cell r="D16"/>
          <cell r="E16" t="str">
            <v>Present</v>
          </cell>
          <cell r="F16" t="str">
            <v>P</v>
          </cell>
          <cell r="G16" t="str">
            <v>WO</v>
          </cell>
          <cell r="H16" t="str">
            <v>P</v>
          </cell>
          <cell r="I16" t="str">
            <v>P</v>
          </cell>
          <cell r="J16" t="str">
            <v>P</v>
          </cell>
          <cell r="K16" t="str">
            <v>P</v>
          </cell>
          <cell r="L16" t="str">
            <v>P</v>
          </cell>
          <cell r="M16" t="str">
            <v>P</v>
          </cell>
          <cell r="N16" t="str">
            <v>WO</v>
          </cell>
          <cell r="O16" t="str">
            <v>P</v>
          </cell>
          <cell r="P16" t="str">
            <v>P</v>
          </cell>
          <cell r="Q16" t="str">
            <v>P</v>
          </cell>
          <cell r="R16" t="str">
            <v>P</v>
          </cell>
          <cell r="S16" t="str">
            <v>P</v>
          </cell>
          <cell r="T16" t="str">
            <v>PH</v>
          </cell>
          <cell r="U16" t="str">
            <v>WO</v>
          </cell>
          <cell r="V16" t="str">
            <v>P</v>
          </cell>
          <cell r="W16" t="str">
            <v>P</v>
          </cell>
          <cell r="X16" t="str">
            <v>P</v>
          </cell>
          <cell r="Y16" t="str">
            <v>P</v>
          </cell>
          <cell r="Z16" t="str">
            <v>P</v>
          </cell>
          <cell r="AA16" t="str">
            <v>P</v>
          </cell>
          <cell r="AB16" t="str">
            <v>WO</v>
          </cell>
          <cell r="AC16" t="str">
            <v>P</v>
          </cell>
          <cell r="AD16" t="str">
            <v>P</v>
          </cell>
          <cell r="AE16" t="str">
            <v>P</v>
          </cell>
          <cell r="AF16" t="str">
            <v>P</v>
          </cell>
          <cell r="AG16" t="str">
            <v>P</v>
          </cell>
          <cell r="AH16" t="str">
            <v>P</v>
          </cell>
          <cell r="AI16" t="str">
            <v>WO</v>
          </cell>
          <cell r="AJ16" t="str">
            <v>P</v>
          </cell>
          <cell r="AK16">
            <v>25</v>
          </cell>
          <cell r="AL16">
            <v>1</v>
          </cell>
          <cell r="AM16">
            <v>26</v>
          </cell>
          <cell r="AN16">
            <v>0</v>
          </cell>
          <cell r="AO16">
            <v>0</v>
          </cell>
        </row>
        <row r="17">
          <cell r="B17"/>
          <cell r="C17"/>
          <cell r="D17"/>
          <cell r="E17" t="str">
            <v>OT</v>
          </cell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  <cell r="T17"/>
          <cell r="U17"/>
          <cell r="V17"/>
          <cell r="W17"/>
          <cell r="X17"/>
          <cell r="Y17"/>
          <cell r="Z17"/>
          <cell r="AA17"/>
          <cell r="AB17"/>
          <cell r="AC17"/>
          <cell r="AD17"/>
          <cell r="AE17"/>
          <cell r="AF17"/>
          <cell r="AG17"/>
          <cell r="AH17"/>
          <cell r="AI17"/>
          <cell r="AJ17"/>
          <cell r="AK17"/>
          <cell r="AL17"/>
          <cell r="AM17"/>
          <cell r="AN17"/>
          <cell r="AO17"/>
        </row>
        <row r="18">
          <cell r="B18" t="str">
            <v>009</v>
          </cell>
          <cell r="C18" t="str">
            <v xml:space="preserve">Madhav Madhukar Puyed </v>
          </cell>
          <cell r="D18"/>
          <cell r="E18" t="str">
            <v>Present</v>
          </cell>
          <cell r="F18" t="str">
            <v>P</v>
          </cell>
          <cell r="G18" t="str">
            <v>WO</v>
          </cell>
          <cell r="H18" t="str">
            <v>A</v>
          </cell>
          <cell r="I18" t="str">
            <v>P</v>
          </cell>
          <cell r="J18" t="str">
            <v>P</v>
          </cell>
          <cell r="K18" t="str">
            <v>P</v>
          </cell>
          <cell r="L18" t="str">
            <v>P</v>
          </cell>
          <cell r="M18" t="str">
            <v>P</v>
          </cell>
          <cell r="N18" t="str">
            <v>WO</v>
          </cell>
          <cell r="O18" t="str">
            <v>P</v>
          </cell>
          <cell r="P18" t="str">
            <v>P</v>
          </cell>
          <cell r="Q18" t="str">
            <v>P</v>
          </cell>
          <cell r="R18" t="str">
            <v>P</v>
          </cell>
          <cell r="S18" t="str">
            <v>P</v>
          </cell>
          <cell r="T18" t="str">
            <v>PH</v>
          </cell>
          <cell r="U18" t="str">
            <v>WO</v>
          </cell>
          <cell r="V18" t="str">
            <v>P</v>
          </cell>
          <cell r="W18" t="str">
            <v>P</v>
          </cell>
          <cell r="X18" t="str">
            <v>P</v>
          </cell>
          <cell r="Y18" t="str">
            <v>P</v>
          </cell>
          <cell r="Z18" t="str">
            <v>P</v>
          </cell>
          <cell r="AA18" t="str">
            <v>P</v>
          </cell>
          <cell r="AB18" t="str">
            <v>WO</v>
          </cell>
          <cell r="AC18" t="str">
            <v>P</v>
          </cell>
          <cell r="AD18" t="str">
            <v>P</v>
          </cell>
          <cell r="AE18" t="str">
            <v>P</v>
          </cell>
          <cell r="AF18" t="str">
            <v>P</v>
          </cell>
          <cell r="AG18" t="str">
            <v>P</v>
          </cell>
          <cell r="AH18" t="str">
            <v>A</v>
          </cell>
          <cell r="AI18" t="str">
            <v>WO</v>
          </cell>
          <cell r="AJ18" t="str">
            <v>P</v>
          </cell>
          <cell r="AK18">
            <v>23</v>
          </cell>
          <cell r="AL18">
            <v>1</v>
          </cell>
          <cell r="AM18">
            <v>24</v>
          </cell>
          <cell r="AN18">
            <v>2</v>
          </cell>
          <cell r="AO18">
            <v>19</v>
          </cell>
        </row>
        <row r="19">
          <cell r="B19"/>
          <cell r="C19"/>
          <cell r="D19"/>
          <cell r="E19" t="str">
            <v>OT</v>
          </cell>
          <cell r="F19"/>
          <cell r="G19"/>
          <cell r="H19"/>
          <cell r="I19">
            <v>1</v>
          </cell>
          <cell r="J19">
            <v>2</v>
          </cell>
          <cell r="K19"/>
          <cell r="L19"/>
          <cell r="M19"/>
          <cell r="N19"/>
          <cell r="O19">
            <v>4</v>
          </cell>
          <cell r="P19"/>
          <cell r="Q19"/>
          <cell r="R19"/>
          <cell r="S19">
            <v>1</v>
          </cell>
          <cell r="T19"/>
          <cell r="U19"/>
          <cell r="V19">
            <v>3</v>
          </cell>
          <cell r="W19"/>
          <cell r="X19">
            <v>1</v>
          </cell>
          <cell r="Y19">
            <v>2</v>
          </cell>
          <cell r="Z19"/>
          <cell r="AA19">
            <v>4</v>
          </cell>
          <cell r="AB19"/>
          <cell r="AC19"/>
          <cell r="AD19">
            <v>1</v>
          </cell>
          <cell r="AE19"/>
          <cell r="AF19"/>
          <cell r="AG19"/>
          <cell r="AH19"/>
          <cell r="AI19"/>
          <cell r="AJ19"/>
          <cell r="AK19"/>
          <cell r="AL19"/>
          <cell r="AM19"/>
          <cell r="AN19"/>
          <cell r="AO19"/>
        </row>
        <row r="20">
          <cell r="B20" t="str">
            <v>010</v>
          </cell>
          <cell r="C20" t="str">
            <v xml:space="preserve">Pankaj Chandrakant Gurav </v>
          </cell>
          <cell r="D20"/>
          <cell r="E20" t="str">
            <v>Present</v>
          </cell>
          <cell r="F20" t="str">
            <v>P</v>
          </cell>
          <cell r="G20" t="str">
            <v>WO</v>
          </cell>
          <cell r="H20" t="str">
            <v>P</v>
          </cell>
          <cell r="I20" t="str">
            <v>P</v>
          </cell>
          <cell r="J20" t="str">
            <v>P</v>
          </cell>
          <cell r="K20" t="str">
            <v>P</v>
          </cell>
          <cell r="L20" t="str">
            <v>P</v>
          </cell>
          <cell r="M20" t="str">
            <v>P</v>
          </cell>
          <cell r="N20" t="str">
            <v>WO</v>
          </cell>
          <cell r="O20" t="str">
            <v>P</v>
          </cell>
          <cell r="P20" t="str">
            <v>P</v>
          </cell>
          <cell r="Q20" t="str">
            <v>P</v>
          </cell>
          <cell r="R20" t="str">
            <v>P</v>
          </cell>
          <cell r="S20" t="str">
            <v>A</v>
          </cell>
          <cell r="T20" t="str">
            <v>PH</v>
          </cell>
          <cell r="U20" t="str">
            <v>WO</v>
          </cell>
          <cell r="V20" t="str">
            <v>P</v>
          </cell>
          <cell r="W20" t="str">
            <v>P</v>
          </cell>
          <cell r="X20" t="str">
            <v>P</v>
          </cell>
          <cell r="Y20" t="str">
            <v>P</v>
          </cell>
          <cell r="Z20" t="str">
            <v>P</v>
          </cell>
          <cell r="AA20" t="str">
            <v>P</v>
          </cell>
          <cell r="AB20" t="str">
            <v>WO</v>
          </cell>
          <cell r="AC20" t="str">
            <v>P</v>
          </cell>
          <cell r="AD20" t="str">
            <v>P</v>
          </cell>
          <cell r="AE20" t="str">
            <v>P</v>
          </cell>
          <cell r="AF20" t="str">
            <v>P</v>
          </cell>
          <cell r="AG20" t="str">
            <v>P</v>
          </cell>
          <cell r="AH20" t="str">
            <v>P</v>
          </cell>
          <cell r="AI20" t="str">
            <v>WO</v>
          </cell>
          <cell r="AJ20" t="str">
            <v>P</v>
          </cell>
          <cell r="AK20">
            <v>24</v>
          </cell>
          <cell r="AL20">
            <v>1</v>
          </cell>
          <cell r="AM20">
            <v>25</v>
          </cell>
          <cell r="AN20">
            <v>1</v>
          </cell>
          <cell r="AO20">
            <v>4</v>
          </cell>
        </row>
        <row r="21">
          <cell r="B21"/>
          <cell r="C21"/>
          <cell r="D21"/>
          <cell r="E21" t="str">
            <v>OT</v>
          </cell>
          <cell r="F21"/>
          <cell r="G21"/>
          <cell r="H21"/>
          <cell r="I21"/>
          <cell r="J21"/>
          <cell r="K21">
            <v>1</v>
          </cell>
          <cell r="L21">
            <v>1</v>
          </cell>
          <cell r="M21"/>
          <cell r="N21"/>
          <cell r="O21"/>
          <cell r="P21">
            <v>1</v>
          </cell>
          <cell r="Q21"/>
          <cell r="R21">
            <v>1</v>
          </cell>
          <cell r="S21"/>
          <cell r="T21"/>
          <cell r="U21"/>
          <cell r="V21"/>
          <cell r="W21"/>
          <cell r="X21"/>
          <cell r="Y21"/>
          <cell r="Z21"/>
          <cell r="AA21"/>
          <cell r="AB21"/>
          <cell r="AC21"/>
          <cell r="AD21"/>
          <cell r="AE21"/>
          <cell r="AF21"/>
          <cell r="AG21"/>
          <cell r="AH21"/>
          <cell r="AI21"/>
          <cell r="AJ21"/>
          <cell r="AK21"/>
          <cell r="AL21"/>
          <cell r="AM21"/>
          <cell r="AN21"/>
          <cell r="AO21"/>
        </row>
        <row r="22">
          <cell r="B22" t="str">
            <v>011</v>
          </cell>
          <cell r="C22" t="str">
            <v>Rohit Sardar Chougale</v>
          </cell>
          <cell r="D22"/>
          <cell r="E22" t="str">
            <v>Present</v>
          </cell>
          <cell r="F22" t="str">
            <v>P</v>
          </cell>
          <cell r="G22" t="str">
            <v>P</v>
          </cell>
          <cell r="H22" t="str">
            <v>P</v>
          </cell>
          <cell r="I22" t="str">
            <v>P</v>
          </cell>
          <cell r="J22" t="str">
            <v>WO</v>
          </cell>
          <cell r="K22" t="str">
            <v>P</v>
          </cell>
          <cell r="L22" t="str">
            <v>P</v>
          </cell>
          <cell r="M22" t="str">
            <v>P</v>
          </cell>
          <cell r="N22" t="str">
            <v>P</v>
          </cell>
          <cell r="O22" t="str">
            <v>P</v>
          </cell>
          <cell r="P22" t="str">
            <v>P</v>
          </cell>
          <cell r="Q22" t="str">
            <v>WO</v>
          </cell>
          <cell r="R22" t="str">
            <v>P</v>
          </cell>
          <cell r="S22" t="str">
            <v>P</v>
          </cell>
          <cell r="T22" t="str">
            <v>P</v>
          </cell>
          <cell r="U22" t="str">
            <v>P</v>
          </cell>
          <cell r="V22" t="str">
            <v>P</v>
          </cell>
          <cell r="W22" t="str">
            <v>P</v>
          </cell>
          <cell r="X22" t="str">
            <v>WO</v>
          </cell>
          <cell r="Y22" t="str">
            <v>P</v>
          </cell>
          <cell r="Z22" t="str">
            <v>P</v>
          </cell>
          <cell r="AA22" t="str">
            <v>P</v>
          </cell>
          <cell r="AB22" t="str">
            <v>P</v>
          </cell>
          <cell r="AC22" t="str">
            <v>P</v>
          </cell>
          <cell r="AD22" t="str">
            <v>P</v>
          </cell>
          <cell r="AE22" t="str">
            <v>WO</v>
          </cell>
          <cell r="AF22" t="str">
            <v>P</v>
          </cell>
          <cell r="AG22" t="str">
            <v>P</v>
          </cell>
          <cell r="AH22" t="str">
            <v>P</v>
          </cell>
          <cell r="AI22" t="str">
            <v>P</v>
          </cell>
          <cell r="AJ22" t="str">
            <v>P</v>
          </cell>
          <cell r="AK22">
            <v>27</v>
          </cell>
          <cell r="AL22">
            <v>0</v>
          </cell>
          <cell r="AM22">
            <v>27</v>
          </cell>
          <cell r="AN22">
            <v>0</v>
          </cell>
          <cell r="AO22">
            <v>17</v>
          </cell>
        </row>
        <row r="23">
          <cell r="B23"/>
          <cell r="C23"/>
          <cell r="D23"/>
          <cell r="E23" t="str">
            <v>OT</v>
          </cell>
          <cell r="F23"/>
          <cell r="G23"/>
          <cell r="H23"/>
          <cell r="I23">
            <v>8</v>
          </cell>
          <cell r="J23"/>
          <cell r="K23"/>
          <cell r="L23"/>
          <cell r="M23"/>
          <cell r="N23"/>
          <cell r="O23"/>
          <cell r="P23"/>
          <cell r="Q23"/>
          <cell r="R23"/>
          <cell r="S23"/>
          <cell r="T23">
            <v>8</v>
          </cell>
          <cell r="U23"/>
          <cell r="V23"/>
          <cell r="W23"/>
          <cell r="X23"/>
          <cell r="Y23"/>
          <cell r="Z23"/>
          <cell r="AA23"/>
          <cell r="AB23">
            <v>1</v>
          </cell>
          <cell r="AC23"/>
          <cell r="AD23"/>
          <cell r="AE23"/>
          <cell r="AF23"/>
          <cell r="AG23"/>
          <cell r="AH23"/>
          <cell r="AI23"/>
          <cell r="AJ23"/>
          <cell r="AK23"/>
          <cell r="AL23"/>
          <cell r="AM23"/>
          <cell r="AN23"/>
          <cell r="AO23"/>
        </row>
        <row r="24">
          <cell r="B24" t="str">
            <v>013</v>
          </cell>
          <cell r="C24" t="str">
            <v xml:space="preserve">Dipak Ashok Waghole </v>
          </cell>
          <cell r="D24"/>
          <cell r="E24" t="str">
            <v>Present</v>
          </cell>
          <cell r="F24" t="str">
            <v>P</v>
          </cell>
          <cell r="G24" t="str">
            <v>WO</v>
          </cell>
          <cell r="H24" t="str">
            <v>P</v>
          </cell>
          <cell r="I24" t="str">
            <v>P</v>
          </cell>
          <cell r="J24" t="str">
            <v>P</v>
          </cell>
          <cell r="K24" t="str">
            <v>P</v>
          </cell>
          <cell r="L24" t="str">
            <v>P</v>
          </cell>
          <cell r="M24" t="str">
            <v>P</v>
          </cell>
          <cell r="N24" t="str">
            <v>WO</v>
          </cell>
          <cell r="O24" t="str">
            <v>P</v>
          </cell>
          <cell r="P24" t="str">
            <v>P</v>
          </cell>
          <cell r="Q24" t="str">
            <v>P</v>
          </cell>
          <cell r="R24" t="str">
            <v>P</v>
          </cell>
          <cell r="S24" t="str">
            <v>P</v>
          </cell>
          <cell r="T24" t="str">
            <v>PH</v>
          </cell>
          <cell r="U24" t="str">
            <v>WO</v>
          </cell>
          <cell r="V24" t="str">
            <v>P</v>
          </cell>
          <cell r="W24" t="str">
            <v>P</v>
          </cell>
          <cell r="X24" t="str">
            <v>P</v>
          </cell>
          <cell r="Y24" t="str">
            <v>P</v>
          </cell>
          <cell r="Z24" t="str">
            <v>P</v>
          </cell>
          <cell r="AA24" t="str">
            <v>P</v>
          </cell>
          <cell r="AB24" t="str">
            <v>WO</v>
          </cell>
          <cell r="AC24" t="str">
            <v>P</v>
          </cell>
          <cell r="AD24" t="str">
            <v>P</v>
          </cell>
          <cell r="AE24" t="str">
            <v>P</v>
          </cell>
          <cell r="AF24" t="str">
            <v>A</v>
          </cell>
          <cell r="AG24" t="str">
            <v>P</v>
          </cell>
          <cell r="AH24" t="str">
            <v>P</v>
          </cell>
          <cell r="AI24" t="str">
            <v>WO</v>
          </cell>
          <cell r="AJ24" t="str">
            <v>P</v>
          </cell>
          <cell r="AK24">
            <v>24</v>
          </cell>
          <cell r="AL24">
            <v>1</v>
          </cell>
          <cell r="AM24">
            <v>25</v>
          </cell>
          <cell r="AN24">
            <v>1</v>
          </cell>
          <cell r="AO24">
            <v>5</v>
          </cell>
        </row>
        <row r="25">
          <cell r="B25"/>
          <cell r="C25"/>
          <cell r="D25"/>
          <cell r="E25" t="str">
            <v>OT</v>
          </cell>
          <cell r="F25"/>
          <cell r="G25"/>
          <cell r="H25"/>
          <cell r="I25"/>
          <cell r="J25"/>
          <cell r="K25"/>
          <cell r="L25"/>
          <cell r="M25"/>
          <cell r="N25"/>
          <cell r="O25">
            <v>1</v>
          </cell>
          <cell r="P25"/>
          <cell r="Q25"/>
          <cell r="R25"/>
          <cell r="S25">
            <v>1</v>
          </cell>
          <cell r="T25"/>
          <cell r="U25"/>
          <cell r="V25"/>
          <cell r="W25"/>
          <cell r="X25"/>
          <cell r="Y25"/>
          <cell r="Z25"/>
          <cell r="AA25">
            <v>3</v>
          </cell>
          <cell r="AB25"/>
          <cell r="AC25"/>
          <cell r="AD25"/>
          <cell r="AE25"/>
          <cell r="AF25"/>
          <cell r="AG25"/>
          <cell r="AH25"/>
          <cell r="AI25"/>
          <cell r="AJ25"/>
          <cell r="AK25"/>
          <cell r="AL25"/>
          <cell r="AM25"/>
          <cell r="AN25"/>
          <cell r="AO25"/>
        </row>
        <row r="26">
          <cell r="B26" t="str">
            <v>014</v>
          </cell>
          <cell r="C26" t="str">
            <v xml:space="preserve">Aniket Kumar </v>
          </cell>
          <cell r="D26"/>
          <cell r="E26" t="str">
            <v>Present</v>
          </cell>
          <cell r="F26" t="str">
            <v>P</v>
          </cell>
          <cell r="G26" t="str">
            <v>WO</v>
          </cell>
          <cell r="H26" t="str">
            <v>P</v>
          </cell>
          <cell r="I26" t="str">
            <v>P</v>
          </cell>
          <cell r="J26" t="str">
            <v>P</v>
          </cell>
          <cell r="K26" t="str">
            <v>P</v>
          </cell>
          <cell r="L26" t="str">
            <v>P</v>
          </cell>
          <cell r="M26" t="str">
            <v>P</v>
          </cell>
          <cell r="N26" t="str">
            <v>WO</v>
          </cell>
          <cell r="O26" t="str">
            <v>P</v>
          </cell>
          <cell r="P26" t="str">
            <v>P</v>
          </cell>
          <cell r="Q26" t="str">
            <v>P</v>
          </cell>
          <cell r="R26" t="str">
            <v>P</v>
          </cell>
          <cell r="S26" t="str">
            <v>P</v>
          </cell>
          <cell r="T26" t="str">
            <v>PH</v>
          </cell>
          <cell r="U26" t="str">
            <v>WO</v>
          </cell>
          <cell r="V26" t="str">
            <v>P</v>
          </cell>
          <cell r="W26" t="str">
            <v>P</v>
          </cell>
          <cell r="X26" t="str">
            <v>P</v>
          </cell>
          <cell r="Y26" t="str">
            <v>P</v>
          </cell>
          <cell r="Z26" t="str">
            <v>P</v>
          </cell>
          <cell r="AA26" t="str">
            <v>P</v>
          </cell>
          <cell r="AB26" t="str">
            <v>WO</v>
          </cell>
          <cell r="AC26" t="str">
            <v>P</v>
          </cell>
          <cell r="AD26" t="str">
            <v>P</v>
          </cell>
          <cell r="AE26" t="str">
            <v>P</v>
          </cell>
          <cell r="AF26" t="str">
            <v>P</v>
          </cell>
          <cell r="AG26" t="str">
            <v>P</v>
          </cell>
          <cell r="AH26" t="str">
            <v>P</v>
          </cell>
          <cell r="AI26" t="str">
            <v>WO</v>
          </cell>
          <cell r="AJ26" t="str">
            <v>P</v>
          </cell>
          <cell r="AK26">
            <v>25</v>
          </cell>
          <cell r="AL26">
            <v>1</v>
          </cell>
          <cell r="AM26">
            <v>26</v>
          </cell>
          <cell r="AN26">
            <v>0</v>
          </cell>
          <cell r="AO26">
            <v>4</v>
          </cell>
        </row>
        <row r="27">
          <cell r="B27"/>
          <cell r="C27"/>
          <cell r="D27"/>
          <cell r="E27" t="str">
            <v>OT</v>
          </cell>
          <cell r="F27"/>
          <cell r="G27"/>
          <cell r="H27"/>
          <cell r="I27"/>
          <cell r="J27">
            <v>1</v>
          </cell>
          <cell r="K27"/>
          <cell r="L27"/>
          <cell r="M27">
            <v>1</v>
          </cell>
          <cell r="N27"/>
          <cell r="O27">
            <v>1</v>
          </cell>
          <cell r="P27"/>
          <cell r="Q27">
            <v>1</v>
          </cell>
          <cell r="R27"/>
          <cell r="S27"/>
          <cell r="T27"/>
          <cell r="U27"/>
          <cell r="V27"/>
          <cell r="W27"/>
          <cell r="X27"/>
          <cell r="Y27"/>
          <cell r="Z27"/>
          <cell r="AA27"/>
          <cell r="AB27"/>
          <cell r="AC27"/>
          <cell r="AD27"/>
          <cell r="AE27"/>
          <cell r="AF27"/>
          <cell r="AG27"/>
          <cell r="AH27"/>
          <cell r="AI27"/>
          <cell r="AJ27"/>
          <cell r="AK27"/>
          <cell r="AL27"/>
          <cell r="AM27"/>
          <cell r="AN27"/>
          <cell r="AO27"/>
        </row>
        <row r="28">
          <cell r="B28" t="str">
            <v>015</v>
          </cell>
          <cell r="C28" t="str">
            <v xml:space="preserve">Jitendra Sanju Thakur </v>
          </cell>
          <cell r="D28"/>
          <cell r="E28" t="str">
            <v>Present</v>
          </cell>
          <cell r="F28" t="str">
            <v>P</v>
          </cell>
          <cell r="G28" t="str">
            <v>P</v>
          </cell>
          <cell r="H28" t="str">
            <v>WO</v>
          </cell>
          <cell r="I28" t="str">
            <v>P</v>
          </cell>
          <cell r="J28" t="str">
            <v>P</v>
          </cell>
          <cell r="K28" t="str">
            <v>P</v>
          </cell>
          <cell r="L28" t="str">
            <v>P</v>
          </cell>
          <cell r="M28" t="str">
            <v>P</v>
          </cell>
          <cell r="N28" t="str">
            <v>P</v>
          </cell>
          <cell r="O28" t="str">
            <v>WO</v>
          </cell>
          <cell r="P28" t="str">
            <v>P</v>
          </cell>
          <cell r="Q28" t="str">
            <v>P</v>
          </cell>
          <cell r="R28" t="str">
            <v>P</v>
          </cell>
          <cell r="S28" t="str">
            <v>P</v>
          </cell>
          <cell r="T28" t="str">
            <v>PH</v>
          </cell>
          <cell r="U28" t="str">
            <v>A</v>
          </cell>
          <cell r="V28" t="str">
            <v>WO</v>
          </cell>
          <cell r="W28" t="str">
            <v>P</v>
          </cell>
          <cell r="X28" t="str">
            <v>P</v>
          </cell>
          <cell r="Y28" t="str">
            <v>P</v>
          </cell>
          <cell r="Z28" t="str">
            <v>P</v>
          </cell>
          <cell r="AA28" t="str">
            <v>P</v>
          </cell>
          <cell r="AB28" t="str">
            <v>P</v>
          </cell>
          <cell r="AC28" t="str">
            <v>WO</v>
          </cell>
          <cell r="AD28" t="str">
            <v>P</v>
          </cell>
          <cell r="AE28" t="str">
            <v>P</v>
          </cell>
          <cell r="AF28" t="str">
            <v>P</v>
          </cell>
          <cell r="AG28" t="str">
            <v>P</v>
          </cell>
          <cell r="AH28" t="str">
            <v>P</v>
          </cell>
          <cell r="AI28" t="str">
            <v>P</v>
          </cell>
          <cell r="AJ28" t="str">
            <v>WO</v>
          </cell>
          <cell r="AK28">
            <v>24</v>
          </cell>
          <cell r="AL28">
            <v>1</v>
          </cell>
          <cell r="AM28">
            <v>25</v>
          </cell>
          <cell r="AN28">
            <v>1</v>
          </cell>
          <cell r="AO28">
            <v>8</v>
          </cell>
        </row>
        <row r="29">
          <cell r="B29"/>
          <cell r="C29"/>
          <cell r="D29"/>
          <cell r="E29" t="str">
            <v>OT</v>
          </cell>
          <cell r="F29"/>
          <cell r="G29"/>
          <cell r="H29"/>
          <cell r="I29">
            <v>8</v>
          </cell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</row>
        <row r="30">
          <cell r="B30" t="str">
            <v>016</v>
          </cell>
          <cell r="C30" t="str">
            <v xml:space="preserve">Mayur Dnyashwer Patole </v>
          </cell>
          <cell r="D30"/>
          <cell r="E30" t="str">
            <v>Present</v>
          </cell>
          <cell r="F30" t="str">
            <v>P</v>
          </cell>
          <cell r="G30" t="str">
            <v>P</v>
          </cell>
          <cell r="H30" t="str">
            <v>P</v>
          </cell>
          <cell r="I30" t="str">
            <v>P</v>
          </cell>
          <cell r="J30" t="str">
            <v>P</v>
          </cell>
          <cell r="K30" t="str">
            <v>P</v>
          </cell>
          <cell r="L30" t="str">
            <v>WO</v>
          </cell>
          <cell r="M30" t="str">
            <v>P</v>
          </cell>
          <cell r="N30" t="str">
            <v>P</v>
          </cell>
          <cell r="O30" t="str">
            <v>P</v>
          </cell>
          <cell r="P30" t="str">
            <v>P</v>
          </cell>
          <cell r="Q30" t="str">
            <v>P</v>
          </cell>
          <cell r="R30" t="str">
            <v>P</v>
          </cell>
          <cell r="S30" t="str">
            <v>WO</v>
          </cell>
          <cell r="T30" t="str">
            <v>P</v>
          </cell>
          <cell r="U30" t="str">
            <v>P</v>
          </cell>
          <cell r="V30" t="str">
            <v>P</v>
          </cell>
          <cell r="W30" t="str">
            <v>P</v>
          </cell>
          <cell r="X30" t="str">
            <v>P</v>
          </cell>
          <cell r="Y30" t="str">
            <v>P</v>
          </cell>
          <cell r="Z30" t="str">
            <v>WO</v>
          </cell>
          <cell r="AA30" t="str">
            <v>P</v>
          </cell>
          <cell r="AB30" t="str">
            <v>P</v>
          </cell>
          <cell r="AC30" t="str">
            <v>P</v>
          </cell>
          <cell r="AD30" t="str">
            <v>P</v>
          </cell>
          <cell r="AE30" t="str">
            <v>P</v>
          </cell>
          <cell r="AF30" t="str">
            <v>P</v>
          </cell>
          <cell r="AG30" t="str">
            <v>WO</v>
          </cell>
          <cell r="AH30" t="str">
            <v>P</v>
          </cell>
          <cell r="AI30" t="str">
            <v>P</v>
          </cell>
          <cell r="AJ30" t="str">
            <v>P</v>
          </cell>
          <cell r="AK30">
            <v>27</v>
          </cell>
          <cell r="AL30">
            <v>0</v>
          </cell>
          <cell r="AM30">
            <v>27</v>
          </cell>
          <cell r="AN30">
            <v>0</v>
          </cell>
          <cell r="AO30">
            <v>12</v>
          </cell>
        </row>
        <row r="31">
          <cell r="B31"/>
          <cell r="C31"/>
          <cell r="D31"/>
          <cell r="E31" t="str">
            <v>OT</v>
          </cell>
          <cell r="F31"/>
          <cell r="G31"/>
          <cell r="H31"/>
          <cell r="I31"/>
          <cell r="J31"/>
          <cell r="K31">
            <v>1</v>
          </cell>
          <cell r="L31"/>
          <cell r="M31"/>
          <cell r="N31"/>
          <cell r="O31"/>
          <cell r="P31"/>
          <cell r="Q31"/>
          <cell r="R31"/>
          <cell r="S31"/>
          <cell r="T31">
            <v>8</v>
          </cell>
          <cell r="U31"/>
          <cell r="V31"/>
          <cell r="W31"/>
          <cell r="X31"/>
          <cell r="Y31"/>
          <cell r="Z31"/>
          <cell r="AA31"/>
          <cell r="AB31">
            <v>3</v>
          </cell>
          <cell r="AC31"/>
          <cell r="AD31"/>
          <cell r="AE31"/>
          <cell r="AF31"/>
          <cell r="AG31"/>
          <cell r="AH31"/>
          <cell r="AI31"/>
          <cell r="AJ31"/>
          <cell r="AK31"/>
          <cell r="AL31"/>
          <cell r="AM31"/>
          <cell r="AN31"/>
          <cell r="AO31"/>
        </row>
        <row r="32">
          <cell r="B32" t="str">
            <v>017</v>
          </cell>
          <cell r="C32" t="str">
            <v>Shriyog Maruti Bhagwat</v>
          </cell>
          <cell r="D32"/>
          <cell r="E32" t="str">
            <v>Present</v>
          </cell>
          <cell r="F32" t="str">
            <v>P</v>
          </cell>
          <cell r="G32" t="str">
            <v>P</v>
          </cell>
          <cell r="H32" t="str">
            <v>P</v>
          </cell>
          <cell r="I32" t="str">
            <v>P</v>
          </cell>
          <cell r="J32" t="str">
            <v>P</v>
          </cell>
          <cell r="K32" t="str">
            <v>WO</v>
          </cell>
          <cell r="L32" t="str">
            <v>P</v>
          </cell>
          <cell r="M32" t="str">
            <v>P</v>
          </cell>
          <cell r="N32" t="str">
            <v>P</v>
          </cell>
          <cell r="O32" t="str">
            <v>P</v>
          </cell>
          <cell r="P32" t="str">
            <v>P</v>
          </cell>
          <cell r="Q32" t="str">
            <v>P</v>
          </cell>
          <cell r="R32" t="str">
            <v>WO</v>
          </cell>
          <cell r="S32" t="str">
            <v>P</v>
          </cell>
          <cell r="T32" t="str">
            <v>PH</v>
          </cell>
          <cell r="U32" t="str">
            <v>P</v>
          </cell>
          <cell r="V32" t="str">
            <v>P</v>
          </cell>
          <cell r="W32" t="str">
            <v>P</v>
          </cell>
          <cell r="X32" t="str">
            <v>P</v>
          </cell>
          <cell r="Y32" t="str">
            <v>WO</v>
          </cell>
          <cell r="Z32" t="str">
            <v>P</v>
          </cell>
          <cell r="AA32" t="str">
            <v>P</v>
          </cell>
          <cell r="AB32" t="str">
            <v>P</v>
          </cell>
          <cell r="AC32" t="str">
            <v>P</v>
          </cell>
          <cell r="AD32" t="str">
            <v>P</v>
          </cell>
          <cell r="AE32" t="str">
            <v>P</v>
          </cell>
          <cell r="AF32" t="str">
            <v>P</v>
          </cell>
          <cell r="AG32" t="str">
            <v>P</v>
          </cell>
          <cell r="AH32" t="str">
            <v>P</v>
          </cell>
          <cell r="AI32" t="str">
            <v>WO</v>
          </cell>
          <cell r="AJ32" t="str">
            <v>P</v>
          </cell>
          <cell r="AK32">
            <v>26</v>
          </cell>
          <cell r="AL32">
            <v>1</v>
          </cell>
          <cell r="AM32">
            <v>27</v>
          </cell>
          <cell r="AN32">
            <v>0</v>
          </cell>
          <cell r="AO32">
            <v>0</v>
          </cell>
        </row>
        <row r="33">
          <cell r="B33"/>
          <cell r="C33"/>
          <cell r="D33"/>
          <cell r="E33" t="str">
            <v>OT</v>
          </cell>
          <cell r="F33"/>
          <cell r="G33"/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C33"/>
          <cell r="AD33"/>
          <cell r="AE33"/>
          <cell r="AF33"/>
          <cell r="AG33"/>
          <cell r="AH33"/>
          <cell r="AI33"/>
          <cell r="AJ33"/>
          <cell r="AK33"/>
          <cell r="AL33"/>
          <cell r="AM33"/>
          <cell r="AN33"/>
          <cell r="AO33"/>
        </row>
        <row r="34">
          <cell r="B34" t="str">
            <v>018</v>
          </cell>
          <cell r="C34" t="str">
            <v>Pravin savkar Chaudhari</v>
          </cell>
          <cell r="D34"/>
          <cell r="E34" t="str">
            <v>Present</v>
          </cell>
          <cell r="F34" t="str">
            <v>P</v>
          </cell>
          <cell r="G34" t="str">
            <v>P</v>
          </cell>
          <cell r="H34" t="str">
            <v>P</v>
          </cell>
          <cell r="I34" t="str">
            <v>WO</v>
          </cell>
          <cell r="J34" t="str">
            <v>P</v>
          </cell>
          <cell r="K34" t="str">
            <v>P</v>
          </cell>
          <cell r="L34" t="str">
            <v>P</v>
          </cell>
          <cell r="M34" t="str">
            <v>P</v>
          </cell>
          <cell r="N34" t="str">
            <v>P</v>
          </cell>
          <cell r="O34" t="str">
            <v>P</v>
          </cell>
          <cell r="P34" t="str">
            <v>WO</v>
          </cell>
          <cell r="Q34" t="str">
            <v>P</v>
          </cell>
          <cell r="R34" t="str">
            <v>P</v>
          </cell>
          <cell r="S34" t="str">
            <v>P</v>
          </cell>
          <cell r="T34" t="str">
            <v>PH</v>
          </cell>
          <cell r="U34" t="str">
            <v>P</v>
          </cell>
          <cell r="V34" t="str">
            <v>P</v>
          </cell>
          <cell r="W34" t="str">
            <v>WO</v>
          </cell>
          <cell r="X34" t="str">
            <v>P</v>
          </cell>
          <cell r="Y34" t="str">
            <v>P</v>
          </cell>
          <cell r="Z34" t="str">
            <v>P</v>
          </cell>
          <cell r="AA34" t="str">
            <v>P</v>
          </cell>
          <cell r="AB34" t="str">
            <v>P</v>
          </cell>
          <cell r="AC34" t="str">
            <v>P</v>
          </cell>
          <cell r="AD34" t="str">
            <v>WO</v>
          </cell>
          <cell r="AE34" t="str">
            <v>P</v>
          </cell>
          <cell r="AF34" t="str">
            <v>P</v>
          </cell>
          <cell r="AG34" t="str">
            <v>P</v>
          </cell>
          <cell r="AH34" t="str">
            <v>P</v>
          </cell>
          <cell r="AI34" t="str">
            <v>P</v>
          </cell>
          <cell r="AJ34" t="str">
            <v>P</v>
          </cell>
          <cell r="AK34">
            <v>26</v>
          </cell>
          <cell r="AL34">
            <v>1</v>
          </cell>
          <cell r="AM34">
            <v>27</v>
          </cell>
          <cell r="AN34">
            <v>0</v>
          </cell>
          <cell r="AO34">
            <v>3</v>
          </cell>
        </row>
        <row r="35">
          <cell r="B35"/>
          <cell r="C35"/>
          <cell r="D35"/>
          <cell r="E35" t="str">
            <v>OT</v>
          </cell>
          <cell r="F35"/>
          <cell r="G35"/>
          <cell r="H35"/>
          <cell r="I35"/>
          <cell r="J35"/>
          <cell r="K35"/>
          <cell r="L35"/>
          <cell r="M35"/>
          <cell r="N35"/>
          <cell r="O35"/>
          <cell r="P35"/>
          <cell r="Q35"/>
          <cell r="R35"/>
          <cell r="S35"/>
          <cell r="T35"/>
          <cell r="U35"/>
          <cell r="V35"/>
          <cell r="W35"/>
          <cell r="X35"/>
          <cell r="Y35"/>
          <cell r="Z35"/>
          <cell r="AA35"/>
          <cell r="AB35">
            <v>3</v>
          </cell>
          <cell r="AC35"/>
          <cell r="AD35"/>
          <cell r="AE35"/>
          <cell r="AF35"/>
          <cell r="AG35"/>
          <cell r="AH35"/>
          <cell r="AI35"/>
          <cell r="AJ35"/>
          <cell r="AK35"/>
          <cell r="AL35"/>
          <cell r="AM35"/>
          <cell r="AN35"/>
          <cell r="AO35"/>
        </row>
        <row r="36">
          <cell r="B36" t="str">
            <v>019</v>
          </cell>
          <cell r="C36" t="str">
            <v xml:space="preserve">Akshay Shubhash Jadhav </v>
          </cell>
          <cell r="D36"/>
          <cell r="E36" t="str">
            <v>Present</v>
          </cell>
          <cell r="F36" t="str">
            <v>P</v>
          </cell>
          <cell r="G36" t="str">
            <v>WO</v>
          </cell>
          <cell r="H36" t="str">
            <v>P</v>
          </cell>
          <cell r="I36" t="str">
            <v>P</v>
          </cell>
          <cell r="J36" t="str">
            <v>P</v>
          </cell>
          <cell r="K36" t="str">
            <v>P</v>
          </cell>
          <cell r="L36" t="str">
            <v>P</v>
          </cell>
          <cell r="M36" t="str">
            <v>P</v>
          </cell>
          <cell r="N36" t="str">
            <v>WO</v>
          </cell>
          <cell r="O36" t="str">
            <v>P</v>
          </cell>
          <cell r="P36" t="str">
            <v>P</v>
          </cell>
          <cell r="Q36" t="str">
            <v>P</v>
          </cell>
          <cell r="R36" t="str">
            <v>P</v>
          </cell>
          <cell r="S36" t="str">
            <v>P</v>
          </cell>
          <cell r="T36" t="str">
            <v>PH</v>
          </cell>
          <cell r="U36" t="str">
            <v>WO</v>
          </cell>
          <cell r="V36" t="str">
            <v>P</v>
          </cell>
          <cell r="W36" t="str">
            <v>P</v>
          </cell>
          <cell r="X36" t="str">
            <v>P</v>
          </cell>
          <cell r="Y36" t="str">
            <v>P</v>
          </cell>
          <cell r="Z36" t="str">
            <v>A</v>
          </cell>
          <cell r="AA36" t="str">
            <v>P</v>
          </cell>
          <cell r="AB36" t="str">
            <v>WO</v>
          </cell>
          <cell r="AC36" t="str">
            <v>P</v>
          </cell>
          <cell r="AD36" t="str">
            <v>P</v>
          </cell>
          <cell r="AE36" t="str">
            <v>P</v>
          </cell>
          <cell r="AF36" t="str">
            <v>P</v>
          </cell>
          <cell r="AG36" t="str">
            <v>P</v>
          </cell>
          <cell r="AH36" t="str">
            <v>P</v>
          </cell>
          <cell r="AI36" t="str">
            <v>WO</v>
          </cell>
          <cell r="AJ36" t="str">
            <v>P</v>
          </cell>
          <cell r="AK36">
            <v>24</v>
          </cell>
          <cell r="AL36">
            <v>1</v>
          </cell>
          <cell r="AM36">
            <v>25</v>
          </cell>
          <cell r="AN36">
            <v>1</v>
          </cell>
          <cell r="AO36">
            <v>0</v>
          </cell>
        </row>
        <row r="37">
          <cell r="B37"/>
          <cell r="C37"/>
          <cell r="D37"/>
          <cell r="E37" t="str">
            <v>OT</v>
          </cell>
          <cell r="F37"/>
          <cell r="G37"/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Z37"/>
          <cell r="AA37"/>
          <cell r="AB37"/>
          <cell r="AC37"/>
          <cell r="AD37"/>
          <cell r="AE37"/>
          <cell r="AF37"/>
          <cell r="AG37"/>
          <cell r="AH37"/>
          <cell r="AI37"/>
          <cell r="AJ37"/>
          <cell r="AK37"/>
          <cell r="AL37"/>
          <cell r="AM37"/>
          <cell r="AN37"/>
          <cell r="AO37"/>
        </row>
        <row r="38">
          <cell r="B38" t="str">
            <v>020</v>
          </cell>
          <cell r="C38" t="str">
            <v>Rhaul Balu Koli</v>
          </cell>
          <cell r="D38"/>
          <cell r="E38" t="str">
            <v>Present</v>
          </cell>
          <cell r="F38" t="str">
            <v>P</v>
          </cell>
          <cell r="G38" t="str">
            <v>WO</v>
          </cell>
          <cell r="H38" t="str">
            <v>P</v>
          </cell>
          <cell r="I38" t="str">
            <v>P</v>
          </cell>
          <cell r="J38" t="str">
            <v>P</v>
          </cell>
          <cell r="K38" t="str">
            <v>P</v>
          </cell>
          <cell r="L38" t="str">
            <v>P</v>
          </cell>
          <cell r="M38" t="str">
            <v>P</v>
          </cell>
          <cell r="N38" t="str">
            <v>WO</v>
          </cell>
          <cell r="O38" t="str">
            <v>P</v>
          </cell>
          <cell r="P38" t="str">
            <v>P</v>
          </cell>
          <cell r="Q38" t="str">
            <v>P</v>
          </cell>
          <cell r="R38" t="str">
            <v>P</v>
          </cell>
          <cell r="S38" t="str">
            <v>P</v>
          </cell>
          <cell r="T38" t="str">
            <v>PH</v>
          </cell>
          <cell r="U38" t="str">
            <v>WO</v>
          </cell>
          <cell r="V38" t="str">
            <v>P</v>
          </cell>
          <cell r="W38" t="str">
            <v>P</v>
          </cell>
          <cell r="X38" t="str">
            <v>P</v>
          </cell>
          <cell r="Y38" t="str">
            <v>P</v>
          </cell>
          <cell r="Z38" t="str">
            <v>P</v>
          </cell>
          <cell r="AA38" t="str">
            <v>P</v>
          </cell>
          <cell r="AB38" t="str">
            <v>WO</v>
          </cell>
          <cell r="AC38" t="str">
            <v>P</v>
          </cell>
          <cell r="AD38" t="str">
            <v>P</v>
          </cell>
          <cell r="AE38" t="str">
            <v>P</v>
          </cell>
          <cell r="AF38" t="str">
            <v>P</v>
          </cell>
          <cell r="AG38" t="str">
            <v>A</v>
          </cell>
          <cell r="AH38" t="str">
            <v>P</v>
          </cell>
          <cell r="AI38" t="str">
            <v>WO</v>
          </cell>
          <cell r="AJ38" t="str">
            <v>P</v>
          </cell>
          <cell r="AK38">
            <v>24</v>
          </cell>
          <cell r="AL38">
            <v>1</v>
          </cell>
          <cell r="AM38">
            <v>25</v>
          </cell>
          <cell r="AN38">
            <v>1</v>
          </cell>
          <cell r="AO38">
            <v>0</v>
          </cell>
        </row>
        <row r="39">
          <cell r="B39"/>
          <cell r="C39"/>
          <cell r="D39"/>
          <cell r="E39" t="str">
            <v>OT</v>
          </cell>
          <cell r="F39"/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C39"/>
          <cell r="AD39"/>
          <cell r="AE39"/>
          <cell r="AF39"/>
          <cell r="AG39"/>
          <cell r="AH39"/>
          <cell r="AI39"/>
          <cell r="AJ39"/>
          <cell r="AK39"/>
          <cell r="AL39"/>
          <cell r="AM39"/>
          <cell r="AN39"/>
          <cell r="AO39"/>
        </row>
        <row r="40">
          <cell r="B40" t="str">
            <v>021</v>
          </cell>
          <cell r="C40" t="str">
            <v xml:space="preserve">Pravin Rajaram Thite </v>
          </cell>
          <cell r="D40"/>
          <cell r="E40" t="str">
            <v>Present</v>
          </cell>
          <cell r="F40" t="str">
            <v>A</v>
          </cell>
          <cell r="G40" t="str">
            <v>A</v>
          </cell>
          <cell r="H40" t="str">
            <v>A</v>
          </cell>
          <cell r="I40" t="str">
            <v>A</v>
          </cell>
          <cell r="J40" t="str">
            <v>A</v>
          </cell>
          <cell r="K40" t="str">
            <v>A</v>
          </cell>
          <cell r="L40" t="str">
            <v>A</v>
          </cell>
          <cell r="M40" t="str">
            <v>A</v>
          </cell>
          <cell r="N40" t="str">
            <v>A</v>
          </cell>
          <cell r="O40" t="str">
            <v>A</v>
          </cell>
          <cell r="P40" t="str">
            <v>A</v>
          </cell>
          <cell r="Q40" t="str">
            <v>A</v>
          </cell>
          <cell r="R40" t="str">
            <v>A</v>
          </cell>
          <cell r="S40" t="str">
            <v>A</v>
          </cell>
          <cell r="T40" t="str">
            <v>PH</v>
          </cell>
          <cell r="U40" t="str">
            <v>WO</v>
          </cell>
          <cell r="V40" t="str">
            <v>P</v>
          </cell>
          <cell r="W40" t="str">
            <v>P</v>
          </cell>
          <cell r="X40" t="str">
            <v>P</v>
          </cell>
          <cell r="Y40" t="str">
            <v>P</v>
          </cell>
          <cell r="Z40" t="str">
            <v>P</v>
          </cell>
          <cell r="AA40" t="str">
            <v>P</v>
          </cell>
          <cell r="AB40" t="str">
            <v>WO</v>
          </cell>
          <cell r="AC40" t="str">
            <v>P</v>
          </cell>
          <cell r="AD40" t="str">
            <v>P</v>
          </cell>
          <cell r="AE40" t="str">
            <v>P</v>
          </cell>
          <cell r="AF40" t="str">
            <v>P</v>
          </cell>
          <cell r="AG40" t="str">
            <v>A</v>
          </cell>
          <cell r="AH40" t="str">
            <v>P</v>
          </cell>
          <cell r="AI40" t="str">
            <v>WO</v>
          </cell>
          <cell r="AJ40" t="str">
            <v>P</v>
          </cell>
          <cell r="AK40">
            <v>12</v>
          </cell>
          <cell r="AL40">
            <v>1</v>
          </cell>
          <cell r="AM40">
            <v>13</v>
          </cell>
          <cell r="AN40">
            <v>15</v>
          </cell>
          <cell r="AO40">
            <v>0</v>
          </cell>
        </row>
        <row r="41">
          <cell r="B41"/>
          <cell r="C41"/>
          <cell r="D41"/>
          <cell r="E41" t="str">
            <v>OT</v>
          </cell>
          <cell r="F41"/>
          <cell r="G41"/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  <cell r="T41"/>
          <cell r="U41"/>
          <cell r="V41"/>
          <cell r="W41"/>
          <cell r="X41"/>
          <cell r="Y41"/>
          <cell r="Z41"/>
          <cell r="AA41"/>
          <cell r="AB41"/>
          <cell r="AC41"/>
          <cell r="AD41"/>
          <cell r="AE41"/>
          <cell r="AF41"/>
          <cell r="AG41"/>
          <cell r="AH41"/>
          <cell r="AI41"/>
          <cell r="AJ41"/>
          <cell r="AK41"/>
          <cell r="AL41"/>
          <cell r="AM41"/>
          <cell r="AN41"/>
          <cell r="AO41"/>
        </row>
        <row r="42">
          <cell r="B42" t="str">
            <v>022</v>
          </cell>
          <cell r="C42" t="str">
            <v>Mangesh Mohan Bahirat</v>
          </cell>
          <cell r="D42"/>
          <cell r="E42" t="str">
            <v>Present</v>
          </cell>
          <cell r="F42" t="str">
            <v>WO</v>
          </cell>
          <cell r="G42" t="str">
            <v>P</v>
          </cell>
          <cell r="H42" t="str">
            <v>P</v>
          </cell>
          <cell r="I42" t="str">
            <v>P</v>
          </cell>
          <cell r="J42" t="str">
            <v>P</v>
          </cell>
          <cell r="K42" t="str">
            <v>P</v>
          </cell>
          <cell r="L42" t="str">
            <v>P</v>
          </cell>
          <cell r="M42" t="str">
            <v>WO</v>
          </cell>
          <cell r="N42" t="str">
            <v>P</v>
          </cell>
          <cell r="O42" t="str">
            <v>P</v>
          </cell>
          <cell r="P42" t="str">
            <v>P</v>
          </cell>
          <cell r="Q42" t="str">
            <v>P</v>
          </cell>
          <cell r="R42" t="str">
            <v>P</v>
          </cell>
          <cell r="S42" t="str">
            <v>P</v>
          </cell>
          <cell r="T42" t="str">
            <v>PH</v>
          </cell>
          <cell r="U42" t="str">
            <v>P</v>
          </cell>
          <cell r="V42" t="str">
            <v>P</v>
          </cell>
          <cell r="W42" t="str">
            <v>P</v>
          </cell>
          <cell r="X42" t="str">
            <v>P</v>
          </cell>
          <cell r="Y42" t="str">
            <v>P</v>
          </cell>
          <cell r="Z42" t="str">
            <v>P</v>
          </cell>
          <cell r="AA42" t="str">
            <v>P</v>
          </cell>
          <cell r="AB42" t="str">
            <v>WO</v>
          </cell>
          <cell r="AC42" t="str">
            <v>P</v>
          </cell>
          <cell r="AD42" t="str">
            <v>P</v>
          </cell>
          <cell r="AE42" t="str">
            <v>P</v>
          </cell>
          <cell r="AF42" t="str">
            <v>P</v>
          </cell>
          <cell r="AG42" t="str">
            <v>P</v>
          </cell>
          <cell r="AH42" t="str">
            <v>WO</v>
          </cell>
          <cell r="AI42" t="str">
            <v>P</v>
          </cell>
          <cell r="AJ42" t="str">
            <v>P</v>
          </cell>
          <cell r="AK42">
            <v>26</v>
          </cell>
          <cell r="AL42">
            <v>1</v>
          </cell>
          <cell r="AM42">
            <v>27</v>
          </cell>
          <cell r="AN42">
            <v>0</v>
          </cell>
          <cell r="AO42">
            <v>0</v>
          </cell>
        </row>
        <row r="43">
          <cell r="B43"/>
          <cell r="C43"/>
          <cell r="D43"/>
          <cell r="E43" t="str">
            <v>OT</v>
          </cell>
          <cell r="F43"/>
          <cell r="G43"/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  <cell r="T43"/>
          <cell r="U43"/>
          <cell r="V43"/>
          <cell r="W43"/>
          <cell r="X43"/>
          <cell r="Y43"/>
          <cell r="Z43"/>
          <cell r="AA43"/>
          <cell r="AB43"/>
          <cell r="AC43"/>
          <cell r="AD43"/>
          <cell r="AE43"/>
          <cell r="AF43"/>
          <cell r="AG43"/>
          <cell r="AH43"/>
          <cell r="AI43"/>
          <cell r="AJ43"/>
          <cell r="AK43"/>
          <cell r="AL43"/>
          <cell r="AM43"/>
          <cell r="AN43"/>
          <cell r="AO43"/>
        </row>
        <row r="44">
          <cell r="B44" t="str">
            <v>023</v>
          </cell>
          <cell r="C44" t="str">
            <v xml:space="preserve">Sagar Vitthal Dhumal </v>
          </cell>
          <cell r="D44"/>
          <cell r="E44" t="str">
            <v>Present</v>
          </cell>
          <cell r="F44" t="str">
            <v>P</v>
          </cell>
          <cell r="G44" t="str">
            <v>WO</v>
          </cell>
          <cell r="H44" t="str">
            <v>P</v>
          </cell>
          <cell r="I44" t="str">
            <v>P</v>
          </cell>
          <cell r="J44" t="str">
            <v>P</v>
          </cell>
          <cell r="K44" t="str">
            <v>P</v>
          </cell>
          <cell r="L44" t="str">
            <v>P</v>
          </cell>
          <cell r="M44" t="str">
            <v>P</v>
          </cell>
          <cell r="N44" t="str">
            <v>WO</v>
          </cell>
          <cell r="O44" t="str">
            <v>P</v>
          </cell>
          <cell r="P44" t="str">
            <v>P</v>
          </cell>
          <cell r="Q44" t="str">
            <v>P</v>
          </cell>
          <cell r="R44" t="str">
            <v>P</v>
          </cell>
          <cell r="S44" t="str">
            <v>P</v>
          </cell>
          <cell r="T44" t="str">
            <v>P</v>
          </cell>
          <cell r="U44" t="str">
            <v>WO</v>
          </cell>
          <cell r="V44" t="str">
            <v>P</v>
          </cell>
          <cell r="W44" t="str">
            <v>P</v>
          </cell>
          <cell r="X44" t="str">
            <v>P</v>
          </cell>
          <cell r="Y44" t="str">
            <v>P</v>
          </cell>
          <cell r="Z44" t="str">
            <v>P</v>
          </cell>
          <cell r="AA44" t="str">
            <v>WO</v>
          </cell>
          <cell r="AB44" t="str">
            <v>P</v>
          </cell>
          <cell r="AC44" t="str">
            <v>P</v>
          </cell>
          <cell r="AD44" t="str">
            <v>P</v>
          </cell>
          <cell r="AE44" t="str">
            <v>P</v>
          </cell>
          <cell r="AF44" t="str">
            <v>P</v>
          </cell>
          <cell r="AG44" t="str">
            <v>P</v>
          </cell>
          <cell r="AH44" t="str">
            <v>P</v>
          </cell>
          <cell r="AI44" t="str">
            <v>WO</v>
          </cell>
          <cell r="AJ44" t="str">
            <v>P</v>
          </cell>
          <cell r="AK44">
            <v>26</v>
          </cell>
          <cell r="AL44">
            <v>0</v>
          </cell>
          <cell r="AM44">
            <v>26</v>
          </cell>
          <cell r="AN44">
            <v>0</v>
          </cell>
          <cell r="AO44">
            <v>8</v>
          </cell>
        </row>
        <row r="45">
          <cell r="B45"/>
          <cell r="C45"/>
          <cell r="D45"/>
          <cell r="E45" t="str">
            <v>OT</v>
          </cell>
          <cell r="F45"/>
          <cell r="G45"/>
          <cell r="H45"/>
          <cell r="I45"/>
          <cell r="J45"/>
          <cell r="K45"/>
          <cell r="L45"/>
          <cell r="M45"/>
          <cell r="N45"/>
          <cell r="O45"/>
          <cell r="P45"/>
          <cell r="Q45"/>
          <cell r="R45"/>
          <cell r="S45"/>
          <cell r="T45">
            <v>8</v>
          </cell>
          <cell r="U45"/>
          <cell r="V45"/>
          <cell r="W45"/>
          <cell r="X45"/>
          <cell r="Y45"/>
          <cell r="Z45"/>
          <cell r="AA45"/>
          <cell r="AB45"/>
          <cell r="AC45"/>
          <cell r="AD45"/>
          <cell r="AE45"/>
          <cell r="AF45"/>
          <cell r="AG45"/>
          <cell r="AH45"/>
          <cell r="AI45"/>
          <cell r="AJ45"/>
          <cell r="AK45"/>
          <cell r="AL45"/>
          <cell r="AM45"/>
          <cell r="AN45"/>
          <cell r="AO45"/>
        </row>
        <row r="46">
          <cell r="B46" t="str">
            <v>024</v>
          </cell>
          <cell r="C46" t="str">
            <v xml:space="preserve">Sachin Suresh Takalkar </v>
          </cell>
          <cell r="D46"/>
          <cell r="E46" t="str">
            <v>Present</v>
          </cell>
          <cell r="F46" t="str">
            <v>P</v>
          </cell>
          <cell r="G46" t="str">
            <v>P</v>
          </cell>
          <cell r="H46" t="str">
            <v>WO</v>
          </cell>
          <cell r="I46" t="str">
            <v>P</v>
          </cell>
          <cell r="J46" t="str">
            <v>P</v>
          </cell>
          <cell r="K46" t="str">
            <v>P</v>
          </cell>
          <cell r="L46" t="str">
            <v>P</v>
          </cell>
          <cell r="M46" t="str">
            <v>P</v>
          </cell>
          <cell r="N46" t="str">
            <v>P</v>
          </cell>
          <cell r="O46" t="str">
            <v>WO</v>
          </cell>
          <cell r="P46" t="str">
            <v>P</v>
          </cell>
          <cell r="Q46" t="str">
            <v>P</v>
          </cell>
          <cell r="R46" t="str">
            <v>P</v>
          </cell>
          <cell r="S46" t="str">
            <v>P</v>
          </cell>
          <cell r="T46" t="str">
            <v>PH</v>
          </cell>
          <cell r="U46" t="str">
            <v>WO</v>
          </cell>
          <cell r="V46" t="str">
            <v>P</v>
          </cell>
          <cell r="W46" t="str">
            <v>P</v>
          </cell>
          <cell r="X46" t="str">
            <v>P</v>
          </cell>
          <cell r="Y46" t="str">
            <v>P</v>
          </cell>
          <cell r="Z46" t="str">
            <v>P</v>
          </cell>
          <cell r="AA46" t="str">
            <v>WO</v>
          </cell>
          <cell r="AB46" t="str">
            <v>P</v>
          </cell>
          <cell r="AC46" t="str">
            <v>P</v>
          </cell>
          <cell r="AD46" t="str">
            <v>P</v>
          </cell>
          <cell r="AE46" t="str">
            <v>P</v>
          </cell>
          <cell r="AF46" t="str">
            <v>P</v>
          </cell>
          <cell r="AG46" t="str">
            <v>P</v>
          </cell>
          <cell r="AH46" t="str">
            <v>A</v>
          </cell>
          <cell r="AI46" t="str">
            <v>WO</v>
          </cell>
          <cell r="AJ46" t="str">
            <v>A</v>
          </cell>
          <cell r="AK46">
            <v>23</v>
          </cell>
          <cell r="AL46">
            <v>1</v>
          </cell>
          <cell r="AM46">
            <v>24</v>
          </cell>
          <cell r="AN46">
            <v>2</v>
          </cell>
          <cell r="AO46">
            <v>0</v>
          </cell>
        </row>
        <row r="47">
          <cell r="B47"/>
          <cell r="C47"/>
          <cell r="D47"/>
          <cell r="E47" t="str">
            <v>OT</v>
          </cell>
          <cell r="F47"/>
          <cell r="G47"/>
          <cell r="H47"/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  <cell r="T47"/>
          <cell r="U47"/>
          <cell r="V47"/>
          <cell r="W47"/>
          <cell r="X47"/>
          <cell r="Y47"/>
          <cell r="Z47"/>
          <cell r="AA47"/>
          <cell r="AB47"/>
          <cell r="AC47"/>
          <cell r="AD47"/>
          <cell r="AE47"/>
          <cell r="AF47"/>
          <cell r="AG47"/>
          <cell r="AH47"/>
          <cell r="AI47"/>
          <cell r="AJ47"/>
          <cell r="AK47"/>
          <cell r="AL47"/>
          <cell r="AM47"/>
          <cell r="AN47"/>
          <cell r="AO47"/>
        </row>
        <row r="48">
          <cell r="B48" t="str">
            <v>025</v>
          </cell>
          <cell r="C48" t="str">
            <v xml:space="preserve">Tai Vilas Jadhav </v>
          </cell>
          <cell r="D48"/>
          <cell r="E48" t="str">
            <v>Present</v>
          </cell>
          <cell r="F48" t="str">
            <v>P</v>
          </cell>
          <cell r="G48" t="str">
            <v>WO</v>
          </cell>
          <cell r="H48" t="str">
            <v>P</v>
          </cell>
          <cell r="I48" t="str">
            <v>P</v>
          </cell>
          <cell r="J48" t="str">
            <v>P</v>
          </cell>
          <cell r="K48" t="str">
            <v>P</v>
          </cell>
          <cell r="L48" t="str">
            <v>P</v>
          </cell>
          <cell r="M48" t="str">
            <v>P</v>
          </cell>
          <cell r="N48" t="str">
            <v>WO</v>
          </cell>
          <cell r="O48" t="str">
            <v>P</v>
          </cell>
          <cell r="P48" t="str">
            <v>P</v>
          </cell>
          <cell r="Q48" t="str">
            <v>P</v>
          </cell>
          <cell r="R48" t="str">
            <v>P</v>
          </cell>
          <cell r="S48" t="str">
            <v>P</v>
          </cell>
          <cell r="T48" t="str">
            <v>PH</v>
          </cell>
          <cell r="U48" t="str">
            <v>WO</v>
          </cell>
          <cell r="V48" t="str">
            <v>P</v>
          </cell>
          <cell r="W48" t="str">
            <v>P</v>
          </cell>
          <cell r="X48" t="str">
            <v>P</v>
          </cell>
          <cell r="Y48" t="str">
            <v>P</v>
          </cell>
          <cell r="Z48" t="str">
            <v>P</v>
          </cell>
          <cell r="AA48" t="str">
            <v>P</v>
          </cell>
          <cell r="AB48" t="str">
            <v>WO</v>
          </cell>
          <cell r="AC48" t="str">
            <v>P</v>
          </cell>
          <cell r="AD48" t="str">
            <v>P</v>
          </cell>
          <cell r="AE48" t="str">
            <v>A</v>
          </cell>
          <cell r="AF48" t="str">
            <v>P</v>
          </cell>
          <cell r="AG48" t="str">
            <v>P</v>
          </cell>
          <cell r="AH48" t="str">
            <v>P</v>
          </cell>
          <cell r="AI48" t="str">
            <v>WO</v>
          </cell>
          <cell r="AJ48" t="str">
            <v>P</v>
          </cell>
          <cell r="AK48">
            <v>24</v>
          </cell>
          <cell r="AL48">
            <v>1</v>
          </cell>
          <cell r="AM48">
            <v>25</v>
          </cell>
          <cell r="AN48">
            <v>1</v>
          </cell>
          <cell r="AO48">
            <v>0</v>
          </cell>
        </row>
        <row r="49">
          <cell r="B49"/>
          <cell r="C49"/>
          <cell r="D49"/>
          <cell r="E49" t="str">
            <v>OT</v>
          </cell>
          <cell r="F49"/>
          <cell r="G49"/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  <cell r="T49"/>
          <cell r="U49"/>
          <cell r="V49"/>
          <cell r="W49"/>
          <cell r="X49"/>
          <cell r="Y49"/>
          <cell r="Z49"/>
          <cell r="AA49"/>
          <cell r="AB49"/>
          <cell r="AC49"/>
          <cell r="AD49"/>
          <cell r="AE49"/>
          <cell r="AF49"/>
          <cell r="AG49"/>
          <cell r="AH49"/>
          <cell r="AI49"/>
          <cell r="AJ49"/>
          <cell r="AK49"/>
          <cell r="AL49"/>
          <cell r="AM49"/>
          <cell r="AN49"/>
          <cell r="AO49"/>
        </row>
        <row r="50">
          <cell r="B50" t="str">
            <v>026</v>
          </cell>
          <cell r="C50" t="str">
            <v xml:space="preserve">Ajay Balu Jadhav </v>
          </cell>
          <cell r="D50"/>
          <cell r="E50" t="str">
            <v>Present</v>
          </cell>
          <cell r="F50" t="str">
            <v>P</v>
          </cell>
          <cell r="G50" t="str">
            <v>WO</v>
          </cell>
          <cell r="H50" t="str">
            <v>P</v>
          </cell>
          <cell r="I50" t="str">
            <v>P</v>
          </cell>
          <cell r="J50" t="str">
            <v>P</v>
          </cell>
          <cell r="K50" t="str">
            <v>P</v>
          </cell>
          <cell r="L50" t="str">
            <v>P</v>
          </cell>
          <cell r="M50" t="str">
            <v>P</v>
          </cell>
          <cell r="N50" t="str">
            <v>WO</v>
          </cell>
          <cell r="O50" t="str">
            <v>A</v>
          </cell>
          <cell r="P50" t="str">
            <v>P</v>
          </cell>
          <cell r="Q50" t="str">
            <v>P</v>
          </cell>
          <cell r="R50" t="str">
            <v>P</v>
          </cell>
          <cell r="S50" t="str">
            <v>P</v>
          </cell>
          <cell r="T50" t="str">
            <v>PH</v>
          </cell>
          <cell r="U50" t="str">
            <v>WO</v>
          </cell>
          <cell r="V50" t="str">
            <v>P</v>
          </cell>
          <cell r="W50" t="str">
            <v>A</v>
          </cell>
          <cell r="X50" t="str">
            <v>A</v>
          </cell>
          <cell r="Y50" t="str">
            <v>A</v>
          </cell>
          <cell r="Z50" t="str">
            <v>A</v>
          </cell>
          <cell r="AA50" t="str">
            <v>A</v>
          </cell>
          <cell r="AB50" t="str">
            <v>WO</v>
          </cell>
          <cell r="AC50" t="str">
            <v>A</v>
          </cell>
          <cell r="AD50" t="str">
            <v>A</v>
          </cell>
          <cell r="AE50" t="str">
            <v>A</v>
          </cell>
          <cell r="AF50" t="str">
            <v>A</v>
          </cell>
          <cell r="AG50" t="str">
            <v>A</v>
          </cell>
          <cell r="AH50" t="str">
            <v>A</v>
          </cell>
          <cell r="AI50" t="str">
            <v>WO</v>
          </cell>
          <cell r="AJ50" t="str">
            <v>A</v>
          </cell>
          <cell r="AK50">
            <v>12</v>
          </cell>
          <cell r="AL50">
            <v>1</v>
          </cell>
          <cell r="AM50">
            <v>13</v>
          </cell>
          <cell r="AN50">
            <v>13</v>
          </cell>
          <cell r="AO50">
            <v>0</v>
          </cell>
        </row>
        <row r="51">
          <cell r="B51"/>
          <cell r="C51"/>
          <cell r="D51"/>
          <cell r="E51" t="str">
            <v>OT</v>
          </cell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  <cell r="T51"/>
          <cell r="U51"/>
          <cell r="V51"/>
          <cell r="W51"/>
          <cell r="X51"/>
          <cell r="Y51"/>
          <cell r="Z51"/>
          <cell r="AA51"/>
          <cell r="AB51"/>
          <cell r="AC51"/>
          <cell r="AD51"/>
          <cell r="AE51"/>
          <cell r="AF51"/>
          <cell r="AG51"/>
          <cell r="AH51"/>
          <cell r="AI51"/>
          <cell r="AJ51"/>
          <cell r="AK51"/>
          <cell r="AL51"/>
          <cell r="AM51"/>
          <cell r="AN51"/>
          <cell r="AO51"/>
        </row>
        <row r="52">
          <cell r="B52" t="str">
            <v>027</v>
          </cell>
          <cell r="C52" t="str">
            <v xml:space="preserve">Vijay Kisan Gavade </v>
          </cell>
          <cell r="D52"/>
          <cell r="E52" t="str">
            <v>Present</v>
          </cell>
          <cell r="F52" t="str">
            <v>P</v>
          </cell>
          <cell r="G52" t="str">
            <v>P</v>
          </cell>
          <cell r="H52" t="str">
            <v>A</v>
          </cell>
          <cell r="I52" t="str">
            <v>P</v>
          </cell>
          <cell r="J52" t="str">
            <v>P</v>
          </cell>
          <cell r="K52" t="str">
            <v>WO</v>
          </cell>
          <cell r="L52" t="str">
            <v>P</v>
          </cell>
          <cell r="M52" t="str">
            <v>A</v>
          </cell>
          <cell r="N52" t="str">
            <v>A</v>
          </cell>
          <cell r="O52" t="str">
            <v>P</v>
          </cell>
          <cell r="P52" t="str">
            <v>P</v>
          </cell>
          <cell r="Q52" t="str">
            <v>P</v>
          </cell>
          <cell r="R52" t="str">
            <v>WO</v>
          </cell>
          <cell r="S52" t="str">
            <v>P</v>
          </cell>
          <cell r="T52" t="str">
            <v>PH</v>
          </cell>
          <cell r="U52" t="str">
            <v>P</v>
          </cell>
          <cell r="V52" t="str">
            <v>P</v>
          </cell>
          <cell r="W52" t="str">
            <v>WO</v>
          </cell>
          <cell r="X52" t="str">
            <v>P</v>
          </cell>
          <cell r="Y52" t="str">
            <v>P</v>
          </cell>
          <cell r="Z52" t="str">
            <v>P</v>
          </cell>
          <cell r="AA52" t="str">
            <v>P</v>
          </cell>
          <cell r="AB52" t="str">
            <v>P</v>
          </cell>
          <cell r="AC52" t="str">
            <v>WO</v>
          </cell>
          <cell r="AD52" t="str">
            <v>P</v>
          </cell>
          <cell r="AE52" t="str">
            <v>P</v>
          </cell>
          <cell r="AF52" t="str">
            <v>P</v>
          </cell>
          <cell r="AG52" t="str">
            <v>P</v>
          </cell>
          <cell r="AH52" t="str">
            <v>P</v>
          </cell>
          <cell r="AI52" t="str">
            <v>P</v>
          </cell>
          <cell r="AJ52" t="str">
            <v>P</v>
          </cell>
          <cell r="AK52">
            <v>23</v>
          </cell>
          <cell r="AL52">
            <v>1</v>
          </cell>
          <cell r="AM52">
            <v>24</v>
          </cell>
          <cell r="AN52">
            <v>3</v>
          </cell>
          <cell r="AO52">
            <v>0</v>
          </cell>
        </row>
        <row r="53">
          <cell r="B53"/>
          <cell r="C53"/>
          <cell r="D53"/>
          <cell r="E53" t="str">
            <v>OT</v>
          </cell>
          <cell r="F53"/>
          <cell r="G53"/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  <cell r="T53"/>
          <cell r="U53"/>
          <cell r="V53"/>
          <cell r="W53"/>
          <cell r="X53"/>
          <cell r="Y53"/>
          <cell r="Z53"/>
          <cell r="AA53"/>
          <cell r="AB53"/>
          <cell r="AC53"/>
          <cell r="AD53"/>
          <cell r="AE53"/>
          <cell r="AF53"/>
          <cell r="AG53"/>
          <cell r="AH53"/>
          <cell r="AI53"/>
          <cell r="AJ53"/>
          <cell r="AK53"/>
          <cell r="AL53"/>
          <cell r="AM53"/>
          <cell r="AN53"/>
          <cell r="AO53"/>
        </row>
        <row r="54">
          <cell r="B54" t="str">
            <v>028</v>
          </cell>
          <cell r="C54" t="str">
            <v xml:space="preserve">Santosh Bhima Bhambure </v>
          </cell>
          <cell r="D54"/>
          <cell r="E54" t="str">
            <v>Present</v>
          </cell>
          <cell r="F54" t="str">
            <v>P</v>
          </cell>
          <cell r="G54" t="str">
            <v>WO</v>
          </cell>
          <cell r="H54" t="str">
            <v>P</v>
          </cell>
          <cell r="I54" t="str">
            <v>P</v>
          </cell>
          <cell r="J54" t="str">
            <v>P</v>
          </cell>
          <cell r="K54" t="str">
            <v>P</v>
          </cell>
          <cell r="L54" t="str">
            <v>P</v>
          </cell>
          <cell r="M54" t="str">
            <v>P</v>
          </cell>
          <cell r="N54" t="str">
            <v>WO</v>
          </cell>
          <cell r="O54" t="str">
            <v>P</v>
          </cell>
          <cell r="P54" t="str">
            <v>P</v>
          </cell>
          <cell r="Q54" t="str">
            <v>P</v>
          </cell>
          <cell r="R54" t="str">
            <v>P</v>
          </cell>
          <cell r="S54" t="str">
            <v>P</v>
          </cell>
          <cell r="T54" t="str">
            <v>PH</v>
          </cell>
          <cell r="U54" t="str">
            <v>WO</v>
          </cell>
          <cell r="V54" t="str">
            <v>P</v>
          </cell>
          <cell r="W54" t="str">
            <v>P</v>
          </cell>
          <cell r="X54" t="str">
            <v>P</v>
          </cell>
          <cell r="Y54" t="str">
            <v>P</v>
          </cell>
          <cell r="Z54" t="str">
            <v>P</v>
          </cell>
          <cell r="AA54" t="str">
            <v>P</v>
          </cell>
          <cell r="AB54" t="str">
            <v>WO</v>
          </cell>
          <cell r="AC54" t="str">
            <v>P</v>
          </cell>
          <cell r="AD54" t="str">
            <v>P</v>
          </cell>
          <cell r="AE54" t="str">
            <v>P</v>
          </cell>
          <cell r="AF54" t="str">
            <v>P</v>
          </cell>
          <cell r="AG54" t="str">
            <v>P</v>
          </cell>
          <cell r="AH54" t="str">
            <v>P</v>
          </cell>
          <cell r="AI54" t="str">
            <v>WO</v>
          </cell>
          <cell r="AJ54" t="str">
            <v>P</v>
          </cell>
          <cell r="AK54">
            <v>25</v>
          </cell>
          <cell r="AL54">
            <v>1</v>
          </cell>
          <cell r="AM54">
            <v>26</v>
          </cell>
          <cell r="AN54">
            <v>0</v>
          </cell>
          <cell r="AO54">
            <v>0</v>
          </cell>
        </row>
        <row r="55">
          <cell r="B55"/>
          <cell r="C55"/>
          <cell r="D55"/>
          <cell r="E55" t="str">
            <v>OT</v>
          </cell>
          <cell r="F55"/>
          <cell r="G55"/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C55"/>
          <cell r="AD55"/>
          <cell r="AE55"/>
          <cell r="AF55"/>
          <cell r="AG55"/>
          <cell r="AH55"/>
          <cell r="AI55"/>
          <cell r="AJ55"/>
          <cell r="AK55"/>
          <cell r="AL55"/>
          <cell r="AM55"/>
          <cell r="AN55"/>
          <cell r="AO55"/>
        </row>
        <row r="56">
          <cell r="B56" t="str">
            <v>029</v>
          </cell>
          <cell r="C56" t="str">
            <v xml:space="preserve">Mohan Sahebrav Bhalekar </v>
          </cell>
          <cell r="D56"/>
          <cell r="E56" t="str">
            <v>Present</v>
          </cell>
          <cell r="F56" t="str">
            <v>P</v>
          </cell>
          <cell r="G56" t="str">
            <v>WO</v>
          </cell>
          <cell r="H56" t="str">
            <v>P</v>
          </cell>
          <cell r="I56" t="str">
            <v>P</v>
          </cell>
          <cell r="J56" t="str">
            <v>P</v>
          </cell>
          <cell r="K56" t="str">
            <v>P</v>
          </cell>
          <cell r="L56" t="str">
            <v>P</v>
          </cell>
          <cell r="M56" t="str">
            <v>P</v>
          </cell>
          <cell r="N56" t="str">
            <v>WO</v>
          </cell>
          <cell r="O56" t="str">
            <v>P</v>
          </cell>
          <cell r="P56" t="str">
            <v>A</v>
          </cell>
          <cell r="Q56" t="str">
            <v>P</v>
          </cell>
          <cell r="R56" t="str">
            <v>P</v>
          </cell>
          <cell r="S56" t="str">
            <v>P</v>
          </cell>
          <cell r="T56" t="str">
            <v>PH</v>
          </cell>
          <cell r="U56" t="str">
            <v>WO</v>
          </cell>
          <cell r="V56" t="str">
            <v>P</v>
          </cell>
          <cell r="W56" t="str">
            <v>A</v>
          </cell>
          <cell r="X56" t="str">
            <v>A</v>
          </cell>
          <cell r="Y56" t="str">
            <v>A</v>
          </cell>
          <cell r="Z56" t="str">
            <v>P</v>
          </cell>
          <cell r="AA56" t="str">
            <v>P</v>
          </cell>
          <cell r="AB56" t="str">
            <v>WO</v>
          </cell>
          <cell r="AC56" t="str">
            <v>P</v>
          </cell>
          <cell r="AD56" t="str">
            <v>P</v>
          </cell>
          <cell r="AE56" t="str">
            <v>P</v>
          </cell>
          <cell r="AF56" t="str">
            <v>P</v>
          </cell>
          <cell r="AG56" t="str">
            <v>P</v>
          </cell>
          <cell r="AH56" t="str">
            <v>P</v>
          </cell>
          <cell r="AI56" t="str">
            <v>WO</v>
          </cell>
          <cell r="AJ56" t="str">
            <v>A</v>
          </cell>
          <cell r="AK56">
            <v>20</v>
          </cell>
          <cell r="AL56">
            <v>1</v>
          </cell>
          <cell r="AM56">
            <v>21</v>
          </cell>
          <cell r="AN56">
            <v>5</v>
          </cell>
          <cell r="AO56">
            <v>0</v>
          </cell>
        </row>
        <row r="57">
          <cell r="B57"/>
          <cell r="C57"/>
          <cell r="D57"/>
          <cell r="E57" t="str">
            <v>OT</v>
          </cell>
          <cell r="F57"/>
          <cell r="G57"/>
          <cell r="H57"/>
          <cell r="I57"/>
          <cell r="J57"/>
          <cell r="K57"/>
          <cell r="L57"/>
          <cell r="M57"/>
          <cell r="N57"/>
          <cell r="O57"/>
          <cell r="P57"/>
          <cell r="Q57"/>
          <cell r="R57"/>
          <cell r="S57"/>
          <cell r="T57"/>
          <cell r="U57"/>
          <cell r="V57"/>
          <cell r="W57"/>
          <cell r="X57"/>
          <cell r="Y57"/>
          <cell r="Z57"/>
          <cell r="AA57"/>
          <cell r="AB57"/>
          <cell r="AC57"/>
          <cell r="AD57"/>
          <cell r="AE57"/>
          <cell r="AF57"/>
          <cell r="AG57"/>
          <cell r="AH57"/>
          <cell r="AI57"/>
          <cell r="AJ57"/>
          <cell r="AK57"/>
          <cell r="AL57"/>
          <cell r="AM57"/>
          <cell r="AN57"/>
          <cell r="AO57"/>
        </row>
        <row r="58">
          <cell r="B58" t="str">
            <v>030</v>
          </cell>
          <cell r="C58" t="str">
            <v xml:space="preserve">Sachin Suresh Netke </v>
          </cell>
          <cell r="D58"/>
          <cell r="E58" t="str">
            <v>Present</v>
          </cell>
          <cell r="F58" t="str">
            <v>WO</v>
          </cell>
          <cell r="G58" t="str">
            <v>P</v>
          </cell>
          <cell r="H58" t="str">
            <v>P</v>
          </cell>
          <cell r="I58" t="str">
            <v>P</v>
          </cell>
          <cell r="J58" t="str">
            <v>P</v>
          </cell>
          <cell r="K58" t="str">
            <v>P</v>
          </cell>
          <cell r="L58" t="str">
            <v>P</v>
          </cell>
          <cell r="M58" t="str">
            <v>P</v>
          </cell>
          <cell r="N58" t="str">
            <v>WO</v>
          </cell>
          <cell r="O58" t="str">
            <v>A</v>
          </cell>
          <cell r="P58" t="str">
            <v>A</v>
          </cell>
          <cell r="Q58" t="str">
            <v>P</v>
          </cell>
          <cell r="R58" t="str">
            <v>A</v>
          </cell>
          <cell r="S58" t="str">
            <v>A</v>
          </cell>
          <cell r="T58" t="str">
            <v>A</v>
          </cell>
          <cell r="U58" t="str">
            <v>WO</v>
          </cell>
          <cell r="V58" t="str">
            <v>A</v>
          </cell>
          <cell r="W58" t="str">
            <v>A</v>
          </cell>
          <cell r="X58" t="str">
            <v>A</v>
          </cell>
          <cell r="Y58" t="str">
            <v>A</v>
          </cell>
          <cell r="Z58" t="str">
            <v>P</v>
          </cell>
          <cell r="AA58" t="str">
            <v>P</v>
          </cell>
          <cell r="AB58" t="str">
            <v>WO</v>
          </cell>
          <cell r="AC58" t="str">
            <v>P</v>
          </cell>
          <cell r="AD58" t="str">
            <v>P</v>
          </cell>
          <cell r="AE58" t="str">
            <v>P</v>
          </cell>
          <cell r="AF58" t="str">
            <v>P</v>
          </cell>
          <cell r="AG58" t="str">
            <v>A</v>
          </cell>
          <cell r="AH58" t="str">
            <v>A</v>
          </cell>
          <cell r="AI58" t="str">
            <v>WO</v>
          </cell>
          <cell r="AJ58" t="str">
            <v>P</v>
          </cell>
          <cell r="AK58">
            <v>15</v>
          </cell>
          <cell r="AL58">
            <v>0</v>
          </cell>
          <cell r="AM58">
            <v>15</v>
          </cell>
          <cell r="AN58">
            <v>11</v>
          </cell>
          <cell r="AO58">
            <v>0</v>
          </cell>
        </row>
        <row r="59">
          <cell r="B59"/>
          <cell r="C59"/>
          <cell r="D59"/>
          <cell r="E59" t="str">
            <v>OT</v>
          </cell>
          <cell r="F59"/>
          <cell r="G59"/>
          <cell r="H59"/>
          <cell r="I59"/>
          <cell r="J59"/>
          <cell r="K59"/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B59"/>
          <cell r="AC59"/>
          <cell r="AD59"/>
          <cell r="AE59"/>
          <cell r="AF59"/>
          <cell r="AG59"/>
          <cell r="AH59"/>
          <cell r="AI59"/>
          <cell r="AJ59"/>
          <cell r="AK59"/>
          <cell r="AL59"/>
          <cell r="AM59"/>
          <cell r="AN59"/>
          <cell r="AO59"/>
        </row>
        <row r="60">
          <cell r="B60" t="str">
            <v>033</v>
          </cell>
          <cell r="C60" t="str">
            <v xml:space="preserve">Sachin Manohar Kokate </v>
          </cell>
          <cell r="D60"/>
          <cell r="E60" t="str">
            <v>Present</v>
          </cell>
          <cell r="F60" t="str">
            <v>P</v>
          </cell>
          <cell r="G60" t="str">
            <v>WO</v>
          </cell>
          <cell r="H60" t="str">
            <v>P</v>
          </cell>
          <cell r="I60" t="str">
            <v>P</v>
          </cell>
          <cell r="J60" t="str">
            <v>P</v>
          </cell>
          <cell r="K60" t="str">
            <v>P</v>
          </cell>
          <cell r="L60" t="str">
            <v>P</v>
          </cell>
          <cell r="M60" t="str">
            <v>P</v>
          </cell>
          <cell r="N60" t="str">
            <v>WO</v>
          </cell>
          <cell r="O60" t="str">
            <v>P</v>
          </cell>
          <cell r="P60" t="str">
            <v>P</v>
          </cell>
          <cell r="Q60" t="str">
            <v>P</v>
          </cell>
          <cell r="R60" t="str">
            <v>P</v>
          </cell>
          <cell r="S60" t="str">
            <v>P</v>
          </cell>
          <cell r="T60" t="str">
            <v>PH</v>
          </cell>
          <cell r="U60" t="str">
            <v>WO</v>
          </cell>
          <cell r="V60" t="str">
            <v>P</v>
          </cell>
          <cell r="W60" t="str">
            <v>P</v>
          </cell>
          <cell r="X60" t="str">
            <v>P</v>
          </cell>
          <cell r="Y60" t="str">
            <v>P</v>
          </cell>
          <cell r="Z60" t="str">
            <v>P</v>
          </cell>
          <cell r="AA60" t="str">
            <v>P</v>
          </cell>
          <cell r="AB60" t="str">
            <v>WO</v>
          </cell>
          <cell r="AC60" t="str">
            <v>P</v>
          </cell>
          <cell r="AD60" t="str">
            <v>P</v>
          </cell>
          <cell r="AE60" t="str">
            <v>P</v>
          </cell>
          <cell r="AF60" t="str">
            <v>P</v>
          </cell>
          <cell r="AG60" t="str">
            <v>P</v>
          </cell>
          <cell r="AH60" t="str">
            <v>P</v>
          </cell>
          <cell r="AI60" t="str">
            <v>WO</v>
          </cell>
          <cell r="AJ60" t="str">
            <v>P</v>
          </cell>
          <cell r="AK60">
            <v>25</v>
          </cell>
          <cell r="AL60">
            <v>1</v>
          </cell>
          <cell r="AM60">
            <v>26</v>
          </cell>
          <cell r="AN60">
            <v>0</v>
          </cell>
          <cell r="AO60">
            <v>0</v>
          </cell>
        </row>
        <row r="61">
          <cell r="B61"/>
          <cell r="C61"/>
          <cell r="D61"/>
          <cell r="E61" t="str">
            <v>OT</v>
          </cell>
          <cell r="F61"/>
          <cell r="G61"/>
          <cell r="H61"/>
          <cell r="I61"/>
          <cell r="J61"/>
          <cell r="K61"/>
          <cell r="L61"/>
          <cell r="M61"/>
          <cell r="N61"/>
          <cell r="O61"/>
          <cell r="P61"/>
          <cell r="Q61"/>
          <cell r="R61"/>
          <cell r="S61"/>
          <cell r="T61"/>
          <cell r="U61"/>
          <cell r="V61"/>
          <cell r="W61"/>
          <cell r="X61"/>
          <cell r="Y61"/>
          <cell r="Z61"/>
          <cell r="AA61"/>
          <cell r="AB61"/>
          <cell r="AC61"/>
          <cell r="AD61"/>
          <cell r="AE61"/>
          <cell r="AF61"/>
          <cell r="AG61"/>
          <cell r="AH61"/>
          <cell r="AI61"/>
          <cell r="AJ61"/>
          <cell r="AK61"/>
          <cell r="AL61"/>
          <cell r="AM61"/>
          <cell r="AN61"/>
          <cell r="AO61"/>
        </row>
        <row r="62">
          <cell r="B62" t="str">
            <v>034</v>
          </cell>
          <cell r="C62" t="str">
            <v>Tulshiram Shitaram Walunj</v>
          </cell>
          <cell r="D62"/>
          <cell r="E62" t="str">
            <v>Present</v>
          </cell>
          <cell r="F62" t="str">
            <v>P</v>
          </cell>
          <cell r="G62" t="str">
            <v>WO</v>
          </cell>
          <cell r="H62" t="str">
            <v>P</v>
          </cell>
          <cell r="I62" t="str">
            <v>P</v>
          </cell>
          <cell r="J62" t="str">
            <v>P</v>
          </cell>
          <cell r="K62" t="str">
            <v>P</v>
          </cell>
          <cell r="L62" t="str">
            <v>P</v>
          </cell>
          <cell r="M62" t="str">
            <v>P</v>
          </cell>
          <cell r="N62" t="str">
            <v>WO</v>
          </cell>
          <cell r="O62" t="str">
            <v>P</v>
          </cell>
          <cell r="P62" t="str">
            <v>P</v>
          </cell>
          <cell r="Q62" t="str">
            <v>P</v>
          </cell>
          <cell r="R62" t="str">
            <v>P</v>
          </cell>
          <cell r="S62" t="str">
            <v>P</v>
          </cell>
          <cell r="T62" t="str">
            <v>PH</v>
          </cell>
          <cell r="U62" t="str">
            <v>WO</v>
          </cell>
          <cell r="V62" t="str">
            <v>P</v>
          </cell>
          <cell r="W62" t="str">
            <v>P</v>
          </cell>
          <cell r="X62" t="str">
            <v>P</v>
          </cell>
          <cell r="Y62" t="str">
            <v>P</v>
          </cell>
          <cell r="Z62" t="str">
            <v>P</v>
          </cell>
          <cell r="AA62" t="str">
            <v>P</v>
          </cell>
          <cell r="AB62" t="str">
            <v>WO</v>
          </cell>
          <cell r="AC62" t="str">
            <v>P</v>
          </cell>
          <cell r="AD62" t="str">
            <v>P</v>
          </cell>
          <cell r="AE62" t="str">
            <v>P</v>
          </cell>
          <cell r="AF62" t="str">
            <v>P</v>
          </cell>
          <cell r="AG62" t="str">
            <v>P</v>
          </cell>
          <cell r="AH62" t="str">
            <v>P</v>
          </cell>
          <cell r="AI62" t="str">
            <v>WO</v>
          </cell>
          <cell r="AJ62" t="str">
            <v>P</v>
          </cell>
          <cell r="AK62">
            <v>25</v>
          </cell>
          <cell r="AL62">
            <v>1</v>
          </cell>
          <cell r="AM62">
            <v>26</v>
          </cell>
          <cell r="AN62">
            <v>0</v>
          </cell>
          <cell r="AO62">
            <v>6</v>
          </cell>
        </row>
        <row r="63">
          <cell r="B63"/>
          <cell r="C63"/>
          <cell r="D63"/>
          <cell r="E63" t="str">
            <v>OT</v>
          </cell>
          <cell r="F63"/>
          <cell r="G63"/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>
            <v>4</v>
          </cell>
          <cell r="AB63"/>
          <cell r="AC63"/>
          <cell r="AD63">
            <v>2</v>
          </cell>
          <cell r="AE63"/>
          <cell r="AF63"/>
          <cell r="AG63"/>
          <cell r="AH63"/>
          <cell r="AI63"/>
          <cell r="AJ63"/>
          <cell r="AK63"/>
          <cell r="AL63"/>
          <cell r="AM63"/>
          <cell r="AN63"/>
          <cell r="AO63"/>
        </row>
        <row r="64">
          <cell r="B64" t="str">
            <v>036</v>
          </cell>
          <cell r="C64" t="str">
            <v>Shivam Shivkumar Dwivedi</v>
          </cell>
          <cell r="D64"/>
          <cell r="E64" t="str">
            <v>Present</v>
          </cell>
          <cell r="F64" t="str">
            <v>P</v>
          </cell>
          <cell r="G64" t="str">
            <v>WO</v>
          </cell>
          <cell r="H64" t="str">
            <v>P</v>
          </cell>
          <cell r="I64" t="str">
            <v>P</v>
          </cell>
          <cell r="J64" t="str">
            <v>P</v>
          </cell>
          <cell r="K64" t="str">
            <v>P</v>
          </cell>
          <cell r="L64" t="str">
            <v>P</v>
          </cell>
          <cell r="M64" t="str">
            <v>P</v>
          </cell>
          <cell r="N64" t="str">
            <v>WO</v>
          </cell>
          <cell r="O64" t="str">
            <v>P</v>
          </cell>
          <cell r="P64" t="str">
            <v>P</v>
          </cell>
          <cell r="Q64" t="str">
            <v>P</v>
          </cell>
          <cell r="R64" t="str">
            <v>P</v>
          </cell>
          <cell r="S64" t="str">
            <v>P</v>
          </cell>
          <cell r="T64" t="str">
            <v>PH</v>
          </cell>
          <cell r="U64" t="str">
            <v>WO</v>
          </cell>
          <cell r="V64" t="str">
            <v>P</v>
          </cell>
          <cell r="W64" t="str">
            <v>P</v>
          </cell>
          <cell r="X64" t="str">
            <v>P</v>
          </cell>
          <cell r="Y64" t="str">
            <v>P</v>
          </cell>
          <cell r="Z64" t="str">
            <v>P</v>
          </cell>
          <cell r="AA64" t="str">
            <v>P</v>
          </cell>
          <cell r="AB64" t="str">
            <v>WO</v>
          </cell>
          <cell r="AC64" t="str">
            <v>P</v>
          </cell>
          <cell r="AD64" t="str">
            <v>P</v>
          </cell>
          <cell r="AE64" t="str">
            <v>P</v>
          </cell>
          <cell r="AF64" t="str">
            <v>P</v>
          </cell>
          <cell r="AG64" t="str">
            <v>P</v>
          </cell>
          <cell r="AH64" t="str">
            <v>P</v>
          </cell>
          <cell r="AI64" t="str">
            <v>WO</v>
          </cell>
          <cell r="AJ64" t="str">
            <v>P</v>
          </cell>
          <cell r="AK64">
            <v>25</v>
          </cell>
          <cell r="AL64">
            <v>1</v>
          </cell>
          <cell r="AM64">
            <v>26</v>
          </cell>
          <cell r="AN64">
            <v>0</v>
          </cell>
          <cell r="AO64">
            <v>0</v>
          </cell>
        </row>
        <row r="65">
          <cell r="B65"/>
          <cell r="C65"/>
          <cell r="D65"/>
          <cell r="E65" t="str">
            <v>OT</v>
          </cell>
          <cell r="F65"/>
          <cell r="G65"/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  <cell r="T65"/>
          <cell r="U65"/>
          <cell r="V65"/>
          <cell r="W65"/>
          <cell r="X65"/>
          <cell r="Y65"/>
          <cell r="Z65"/>
          <cell r="AA65"/>
          <cell r="AB65"/>
          <cell r="AC65"/>
          <cell r="AD65"/>
          <cell r="AE65"/>
          <cell r="AF65"/>
          <cell r="AG65"/>
          <cell r="AH65"/>
          <cell r="AI65"/>
          <cell r="AJ65"/>
          <cell r="AK65"/>
          <cell r="AL65"/>
          <cell r="AM65"/>
          <cell r="AN65"/>
          <cell r="AO65"/>
        </row>
        <row r="66">
          <cell r="B66" t="str">
            <v>037</v>
          </cell>
          <cell r="C66" t="str">
            <v>Vikas Vilas Jadhav</v>
          </cell>
          <cell r="D66"/>
          <cell r="E66" t="str">
            <v>Present</v>
          </cell>
          <cell r="F66" t="str">
            <v>P</v>
          </cell>
          <cell r="G66" t="str">
            <v>WO</v>
          </cell>
          <cell r="H66" t="str">
            <v>P</v>
          </cell>
          <cell r="I66" t="str">
            <v>P</v>
          </cell>
          <cell r="J66" t="str">
            <v>P</v>
          </cell>
          <cell r="K66" t="str">
            <v>P</v>
          </cell>
          <cell r="L66" t="str">
            <v>P</v>
          </cell>
          <cell r="M66" t="str">
            <v>P</v>
          </cell>
          <cell r="N66" t="str">
            <v>WO</v>
          </cell>
          <cell r="O66" t="str">
            <v>P</v>
          </cell>
          <cell r="P66" t="str">
            <v>P</v>
          </cell>
          <cell r="Q66" t="str">
            <v>P</v>
          </cell>
          <cell r="R66" t="str">
            <v>P</v>
          </cell>
          <cell r="S66" t="str">
            <v>P</v>
          </cell>
          <cell r="T66" t="str">
            <v>PH</v>
          </cell>
          <cell r="U66" t="str">
            <v>WO</v>
          </cell>
          <cell r="V66" t="str">
            <v>P</v>
          </cell>
          <cell r="W66" t="str">
            <v>P</v>
          </cell>
          <cell r="X66" t="str">
            <v>P</v>
          </cell>
          <cell r="Y66" t="str">
            <v>P</v>
          </cell>
          <cell r="Z66" t="str">
            <v>P</v>
          </cell>
          <cell r="AA66" t="str">
            <v>A</v>
          </cell>
          <cell r="AB66" t="str">
            <v>WO</v>
          </cell>
          <cell r="AC66" t="str">
            <v>P</v>
          </cell>
          <cell r="AD66" t="str">
            <v>P</v>
          </cell>
          <cell r="AE66" t="str">
            <v>P</v>
          </cell>
          <cell r="AF66" t="str">
            <v>P</v>
          </cell>
          <cell r="AG66" t="str">
            <v>P</v>
          </cell>
          <cell r="AH66" t="str">
            <v>P</v>
          </cell>
          <cell r="AI66" t="str">
            <v>WO</v>
          </cell>
          <cell r="AJ66" t="str">
            <v>A</v>
          </cell>
          <cell r="AK66">
            <v>23</v>
          </cell>
          <cell r="AL66">
            <v>1</v>
          </cell>
          <cell r="AM66">
            <v>24</v>
          </cell>
          <cell r="AN66">
            <v>2</v>
          </cell>
          <cell r="AO66">
            <v>0</v>
          </cell>
        </row>
        <row r="67">
          <cell r="B67"/>
          <cell r="C67"/>
          <cell r="D67"/>
          <cell r="E67" t="str">
            <v>OT</v>
          </cell>
          <cell r="F67"/>
          <cell r="G67"/>
          <cell r="H67"/>
          <cell r="I67"/>
          <cell r="J67"/>
          <cell r="K67"/>
          <cell r="L67"/>
          <cell r="M67"/>
          <cell r="N67"/>
          <cell r="O67"/>
          <cell r="P67"/>
          <cell r="Q67"/>
          <cell r="R67"/>
          <cell r="S67"/>
          <cell r="T67"/>
          <cell r="U67"/>
          <cell r="V67"/>
          <cell r="W67"/>
          <cell r="X67"/>
          <cell r="Y67"/>
          <cell r="Z67"/>
          <cell r="AA67"/>
          <cell r="AB67"/>
          <cell r="AC67"/>
          <cell r="AD67"/>
          <cell r="AE67"/>
          <cell r="AF67"/>
          <cell r="AG67"/>
          <cell r="AH67"/>
          <cell r="AI67"/>
          <cell r="AJ67"/>
          <cell r="AK67"/>
          <cell r="AL67"/>
          <cell r="AM67"/>
          <cell r="AN67"/>
          <cell r="AO67"/>
        </row>
        <row r="68">
          <cell r="B68" t="str">
            <v>038</v>
          </cell>
          <cell r="C68" t="str">
            <v>Prakash Bhagvan Waje</v>
          </cell>
          <cell r="D68"/>
          <cell r="E68" t="str">
            <v>Present</v>
          </cell>
          <cell r="F68" t="str">
            <v>P</v>
          </cell>
          <cell r="G68" t="str">
            <v>WO</v>
          </cell>
          <cell r="H68" t="str">
            <v>P</v>
          </cell>
          <cell r="I68" t="str">
            <v>P</v>
          </cell>
          <cell r="J68" t="str">
            <v>P</v>
          </cell>
          <cell r="K68" t="str">
            <v>P</v>
          </cell>
          <cell r="L68" t="str">
            <v>P</v>
          </cell>
          <cell r="M68" t="str">
            <v>P</v>
          </cell>
          <cell r="N68" t="str">
            <v>WO</v>
          </cell>
          <cell r="O68" t="str">
            <v>P</v>
          </cell>
          <cell r="P68" t="str">
            <v>P</v>
          </cell>
          <cell r="Q68" t="str">
            <v>P</v>
          </cell>
          <cell r="R68" t="str">
            <v>P</v>
          </cell>
          <cell r="S68" t="str">
            <v>P</v>
          </cell>
          <cell r="T68" t="str">
            <v>PH</v>
          </cell>
          <cell r="U68" t="str">
            <v>WO</v>
          </cell>
          <cell r="V68" t="str">
            <v>P</v>
          </cell>
          <cell r="W68" t="str">
            <v>P</v>
          </cell>
          <cell r="X68" t="str">
            <v>P</v>
          </cell>
          <cell r="Y68" t="str">
            <v>P</v>
          </cell>
          <cell r="Z68" t="str">
            <v>P</v>
          </cell>
          <cell r="AA68" t="str">
            <v>P</v>
          </cell>
          <cell r="AB68" t="str">
            <v>P</v>
          </cell>
          <cell r="AC68" t="str">
            <v>P</v>
          </cell>
          <cell r="AD68" t="str">
            <v>P</v>
          </cell>
          <cell r="AE68" t="str">
            <v>WO</v>
          </cell>
          <cell r="AF68" t="str">
            <v>P</v>
          </cell>
          <cell r="AG68" t="str">
            <v>A</v>
          </cell>
          <cell r="AH68" t="str">
            <v>P</v>
          </cell>
          <cell r="AI68" t="str">
            <v>WO</v>
          </cell>
          <cell r="AJ68" t="str">
            <v>A</v>
          </cell>
          <cell r="AK68">
            <v>23</v>
          </cell>
          <cell r="AL68">
            <v>1</v>
          </cell>
          <cell r="AM68">
            <v>24</v>
          </cell>
          <cell r="AN68">
            <v>2</v>
          </cell>
          <cell r="AO68">
            <v>0</v>
          </cell>
        </row>
        <row r="69">
          <cell r="B69"/>
          <cell r="C69"/>
          <cell r="D69"/>
          <cell r="E69" t="str">
            <v>OT</v>
          </cell>
          <cell r="F69"/>
          <cell r="G69"/>
          <cell r="H69"/>
          <cell r="I69"/>
          <cell r="J69"/>
          <cell r="K69"/>
          <cell r="L69"/>
          <cell r="M69"/>
          <cell r="N69"/>
          <cell r="O69"/>
          <cell r="P69"/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/>
          <cell r="AC69"/>
          <cell r="AD69"/>
          <cell r="AE69"/>
          <cell r="AF69"/>
          <cell r="AG69"/>
          <cell r="AH69"/>
          <cell r="AI69"/>
          <cell r="AJ69"/>
          <cell r="AK69"/>
          <cell r="AL69"/>
          <cell r="AM69"/>
          <cell r="AN69"/>
          <cell r="AO69"/>
        </row>
        <row r="70">
          <cell r="B70" t="str">
            <v>041</v>
          </cell>
          <cell r="C70" t="str">
            <v>Jayshri Vilas Dudhawade</v>
          </cell>
          <cell r="D70"/>
          <cell r="E70" t="str">
            <v>Present</v>
          </cell>
          <cell r="F70" t="str">
            <v>P</v>
          </cell>
          <cell r="G70" t="str">
            <v>WO</v>
          </cell>
          <cell r="H70" t="str">
            <v>P</v>
          </cell>
          <cell r="I70" t="str">
            <v>P</v>
          </cell>
          <cell r="J70" t="str">
            <v>P</v>
          </cell>
          <cell r="K70" t="str">
            <v>P</v>
          </cell>
          <cell r="L70" t="str">
            <v>P</v>
          </cell>
          <cell r="M70" t="str">
            <v>P</v>
          </cell>
          <cell r="N70" t="str">
            <v>WO</v>
          </cell>
          <cell r="O70" t="str">
            <v>P</v>
          </cell>
          <cell r="P70" t="str">
            <v>P</v>
          </cell>
          <cell r="Q70" t="str">
            <v>P</v>
          </cell>
          <cell r="R70" t="str">
            <v>P</v>
          </cell>
          <cell r="S70" t="str">
            <v>P</v>
          </cell>
          <cell r="T70" t="str">
            <v>PH</v>
          </cell>
          <cell r="U70" t="str">
            <v>WO</v>
          </cell>
          <cell r="V70" t="str">
            <v>P</v>
          </cell>
          <cell r="W70" t="str">
            <v>P</v>
          </cell>
          <cell r="X70" t="str">
            <v>P</v>
          </cell>
          <cell r="Y70" t="str">
            <v>P</v>
          </cell>
          <cell r="Z70" t="str">
            <v>P</v>
          </cell>
          <cell r="AA70" t="str">
            <v>P</v>
          </cell>
          <cell r="AB70" t="str">
            <v>WO</v>
          </cell>
          <cell r="AC70" t="str">
            <v>P</v>
          </cell>
          <cell r="AD70" t="str">
            <v>P</v>
          </cell>
          <cell r="AE70" t="str">
            <v>A</v>
          </cell>
          <cell r="AF70" t="str">
            <v>P</v>
          </cell>
          <cell r="AG70" t="str">
            <v>P</v>
          </cell>
          <cell r="AH70" t="str">
            <v>P</v>
          </cell>
          <cell r="AI70" t="str">
            <v>WO</v>
          </cell>
          <cell r="AJ70" t="str">
            <v>P</v>
          </cell>
          <cell r="AK70">
            <v>24</v>
          </cell>
          <cell r="AL70">
            <v>1</v>
          </cell>
          <cell r="AM70">
            <v>25</v>
          </cell>
          <cell r="AN70">
            <v>1</v>
          </cell>
          <cell r="AO70">
            <v>0</v>
          </cell>
        </row>
        <row r="71">
          <cell r="B71"/>
          <cell r="C71"/>
          <cell r="D71"/>
          <cell r="E71" t="str">
            <v>OT</v>
          </cell>
          <cell r="F71"/>
          <cell r="G71"/>
          <cell r="H71"/>
          <cell r="I71"/>
          <cell r="J71"/>
          <cell r="K71"/>
          <cell r="L71"/>
          <cell r="M71"/>
          <cell r="N71"/>
          <cell r="O71"/>
          <cell r="P71"/>
          <cell r="Q71"/>
          <cell r="R71"/>
          <cell r="S71"/>
          <cell r="T71"/>
          <cell r="U71"/>
          <cell r="V71"/>
          <cell r="W71"/>
          <cell r="X71"/>
          <cell r="Y71"/>
          <cell r="Z71"/>
          <cell r="AA71"/>
          <cell r="AB71"/>
          <cell r="AC71"/>
          <cell r="AD71"/>
          <cell r="AE71"/>
          <cell r="AF71"/>
          <cell r="AG71"/>
          <cell r="AH71"/>
          <cell r="AI71"/>
          <cell r="AJ71"/>
          <cell r="AK71"/>
          <cell r="AL71"/>
          <cell r="AM71"/>
          <cell r="AN71"/>
          <cell r="AO71"/>
        </row>
        <row r="72">
          <cell r="B72" t="str">
            <v>042</v>
          </cell>
          <cell r="C72" t="str">
            <v>Vimal Kisan Paradhi</v>
          </cell>
          <cell r="D72"/>
          <cell r="E72" t="str">
            <v>Present</v>
          </cell>
          <cell r="F72" t="str">
            <v>P</v>
          </cell>
          <cell r="G72" t="str">
            <v>WO</v>
          </cell>
          <cell r="H72" t="str">
            <v>P</v>
          </cell>
          <cell r="I72" t="str">
            <v>P</v>
          </cell>
          <cell r="J72" t="str">
            <v>P</v>
          </cell>
          <cell r="K72" t="str">
            <v>P</v>
          </cell>
          <cell r="L72" t="str">
            <v>P</v>
          </cell>
          <cell r="M72" t="str">
            <v>P</v>
          </cell>
          <cell r="N72" t="str">
            <v>WO</v>
          </cell>
          <cell r="O72" t="str">
            <v>P</v>
          </cell>
          <cell r="P72" t="str">
            <v>P</v>
          </cell>
          <cell r="Q72" t="str">
            <v>P</v>
          </cell>
          <cell r="R72" t="str">
            <v>P</v>
          </cell>
          <cell r="S72" t="str">
            <v>P</v>
          </cell>
          <cell r="T72" t="str">
            <v>PH</v>
          </cell>
          <cell r="U72" t="str">
            <v>WO</v>
          </cell>
          <cell r="V72" t="str">
            <v>P</v>
          </cell>
          <cell r="W72" t="str">
            <v>P</v>
          </cell>
          <cell r="X72" t="str">
            <v>P</v>
          </cell>
          <cell r="Y72" t="str">
            <v>P</v>
          </cell>
          <cell r="Z72" t="str">
            <v>A</v>
          </cell>
          <cell r="AA72" t="str">
            <v>P</v>
          </cell>
          <cell r="AB72" t="str">
            <v>WO</v>
          </cell>
          <cell r="AC72" t="str">
            <v>P</v>
          </cell>
          <cell r="AD72" t="str">
            <v>P</v>
          </cell>
          <cell r="AE72" t="str">
            <v>P</v>
          </cell>
          <cell r="AF72" t="str">
            <v>P</v>
          </cell>
          <cell r="AG72" t="str">
            <v>P</v>
          </cell>
          <cell r="AH72" t="str">
            <v>P</v>
          </cell>
          <cell r="AI72" t="str">
            <v>WO</v>
          </cell>
          <cell r="AJ72" t="str">
            <v>P</v>
          </cell>
          <cell r="AK72">
            <v>24</v>
          </cell>
          <cell r="AL72">
            <v>1</v>
          </cell>
          <cell r="AM72">
            <v>25</v>
          </cell>
          <cell r="AN72">
            <v>1</v>
          </cell>
          <cell r="AO72">
            <v>0</v>
          </cell>
        </row>
        <row r="73">
          <cell r="B73"/>
          <cell r="C73"/>
          <cell r="D73"/>
          <cell r="E73" t="str">
            <v>OT</v>
          </cell>
          <cell r="F73"/>
          <cell r="G73"/>
          <cell r="H73"/>
          <cell r="I73"/>
          <cell r="J73"/>
          <cell r="K73"/>
          <cell r="L73"/>
          <cell r="M73"/>
          <cell r="N73"/>
          <cell r="O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B73"/>
          <cell r="AC73"/>
          <cell r="AD73"/>
          <cell r="AE73"/>
          <cell r="AF73"/>
          <cell r="AG73"/>
          <cell r="AH73"/>
          <cell r="AI73"/>
          <cell r="AJ73"/>
          <cell r="AK73"/>
          <cell r="AL73"/>
          <cell r="AM73"/>
          <cell r="AN73"/>
          <cell r="AO73"/>
        </row>
        <row r="74">
          <cell r="B74" t="str">
            <v>043</v>
          </cell>
          <cell r="C74" t="str">
            <v>Sunita Santosh Padwal</v>
          </cell>
          <cell r="D74"/>
          <cell r="E74" t="str">
            <v>Present</v>
          </cell>
          <cell r="F74" t="str">
            <v>P</v>
          </cell>
          <cell r="G74" t="str">
            <v>WO</v>
          </cell>
          <cell r="H74" t="str">
            <v>P</v>
          </cell>
          <cell r="I74" t="str">
            <v>P</v>
          </cell>
          <cell r="J74" t="str">
            <v>P</v>
          </cell>
          <cell r="K74" t="str">
            <v>P</v>
          </cell>
          <cell r="L74" t="str">
            <v>P</v>
          </cell>
          <cell r="M74" t="str">
            <v>P</v>
          </cell>
          <cell r="N74" t="str">
            <v>WO</v>
          </cell>
          <cell r="O74" t="str">
            <v>P</v>
          </cell>
          <cell r="P74" t="str">
            <v>P</v>
          </cell>
          <cell r="Q74" t="str">
            <v>P</v>
          </cell>
          <cell r="R74" t="str">
            <v>P</v>
          </cell>
          <cell r="S74" t="str">
            <v>P</v>
          </cell>
          <cell r="T74" t="str">
            <v>PH</v>
          </cell>
          <cell r="U74" t="str">
            <v>WO</v>
          </cell>
          <cell r="V74" t="str">
            <v>P</v>
          </cell>
          <cell r="W74" t="str">
            <v>P</v>
          </cell>
          <cell r="X74" t="str">
            <v>P</v>
          </cell>
          <cell r="Y74" t="str">
            <v>P</v>
          </cell>
          <cell r="Z74" t="str">
            <v>P</v>
          </cell>
          <cell r="AA74" t="str">
            <v>P</v>
          </cell>
          <cell r="AB74" t="str">
            <v>WO</v>
          </cell>
          <cell r="AC74" t="str">
            <v>P</v>
          </cell>
          <cell r="AD74" t="str">
            <v>P</v>
          </cell>
          <cell r="AE74" t="str">
            <v>P</v>
          </cell>
          <cell r="AF74" t="str">
            <v>A</v>
          </cell>
          <cell r="AG74" t="str">
            <v>P</v>
          </cell>
          <cell r="AH74" t="str">
            <v>P</v>
          </cell>
          <cell r="AI74" t="str">
            <v>WO</v>
          </cell>
          <cell r="AJ74" t="str">
            <v>P</v>
          </cell>
          <cell r="AK74">
            <v>24</v>
          </cell>
          <cell r="AL74">
            <v>1</v>
          </cell>
          <cell r="AM74">
            <v>25</v>
          </cell>
          <cell r="AN74">
            <v>1</v>
          </cell>
          <cell r="AO74">
            <v>0</v>
          </cell>
        </row>
        <row r="75">
          <cell r="B75"/>
          <cell r="C75"/>
          <cell r="D75"/>
          <cell r="E75" t="str">
            <v>OT</v>
          </cell>
          <cell r="F75"/>
          <cell r="G75"/>
          <cell r="H75"/>
          <cell r="I75"/>
          <cell r="J75"/>
          <cell r="K75"/>
          <cell r="L75"/>
          <cell r="M75"/>
          <cell r="N75"/>
          <cell r="O75"/>
          <cell r="P75"/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B75"/>
          <cell r="AC75"/>
          <cell r="AD75"/>
          <cell r="AE75"/>
          <cell r="AF75"/>
          <cell r="AG75"/>
          <cell r="AH75"/>
          <cell r="AI75"/>
          <cell r="AJ75"/>
          <cell r="AK75"/>
          <cell r="AL75"/>
          <cell r="AM75"/>
          <cell r="AN75"/>
          <cell r="AO75"/>
        </row>
        <row r="76">
          <cell r="B76" t="str">
            <v>044</v>
          </cell>
          <cell r="C76" t="str">
            <v>Ajay Namdev Abhyankar</v>
          </cell>
          <cell r="D76"/>
          <cell r="E76" t="str">
            <v>Present</v>
          </cell>
          <cell r="F76" t="str">
            <v>P</v>
          </cell>
          <cell r="G76" t="str">
            <v>WO</v>
          </cell>
          <cell r="H76" t="str">
            <v>P</v>
          </cell>
          <cell r="I76" t="str">
            <v>P</v>
          </cell>
          <cell r="J76" t="str">
            <v>P</v>
          </cell>
          <cell r="K76" t="str">
            <v>P</v>
          </cell>
          <cell r="L76" t="str">
            <v>P</v>
          </cell>
          <cell r="M76" t="str">
            <v>P</v>
          </cell>
          <cell r="N76" t="str">
            <v>WO</v>
          </cell>
          <cell r="O76" t="str">
            <v>A</v>
          </cell>
          <cell r="P76" t="str">
            <v>A</v>
          </cell>
          <cell r="Q76" t="str">
            <v>P</v>
          </cell>
          <cell r="R76" t="str">
            <v>P</v>
          </cell>
          <cell r="S76" t="str">
            <v>P</v>
          </cell>
          <cell r="T76" t="str">
            <v>PH</v>
          </cell>
          <cell r="U76" t="str">
            <v>WO</v>
          </cell>
          <cell r="V76" t="str">
            <v>P</v>
          </cell>
          <cell r="W76" t="str">
            <v>P</v>
          </cell>
          <cell r="X76" t="str">
            <v>P</v>
          </cell>
          <cell r="Y76" t="str">
            <v>P</v>
          </cell>
          <cell r="Z76" t="str">
            <v>A</v>
          </cell>
          <cell r="AA76" t="str">
            <v>P</v>
          </cell>
          <cell r="AB76" t="str">
            <v>WO</v>
          </cell>
          <cell r="AC76" t="str">
            <v>P</v>
          </cell>
          <cell r="AD76" t="str">
            <v>P</v>
          </cell>
          <cell r="AE76" t="str">
            <v>P</v>
          </cell>
          <cell r="AF76" t="str">
            <v>P</v>
          </cell>
          <cell r="AG76" t="str">
            <v>A</v>
          </cell>
          <cell r="AH76" t="str">
            <v>P</v>
          </cell>
          <cell r="AI76" t="str">
            <v>WO</v>
          </cell>
          <cell r="AJ76" t="str">
            <v>P</v>
          </cell>
          <cell r="AK76">
            <v>21</v>
          </cell>
          <cell r="AL76">
            <v>1</v>
          </cell>
          <cell r="AM76">
            <v>22</v>
          </cell>
          <cell r="AN76">
            <v>4</v>
          </cell>
          <cell r="AO76">
            <v>0</v>
          </cell>
        </row>
        <row r="77">
          <cell r="B77"/>
          <cell r="C77"/>
          <cell r="D77"/>
          <cell r="E77" t="str">
            <v>OT</v>
          </cell>
          <cell r="F77"/>
          <cell r="G77"/>
          <cell r="H77"/>
          <cell r="I77"/>
          <cell r="J77"/>
          <cell r="K77"/>
          <cell r="L77"/>
          <cell r="M77"/>
          <cell r="N77"/>
          <cell r="O77"/>
          <cell r="P77"/>
          <cell r="Q77"/>
          <cell r="R77"/>
          <cell r="S77"/>
          <cell r="T77"/>
          <cell r="U77"/>
          <cell r="V77"/>
          <cell r="W77"/>
          <cell r="X77"/>
          <cell r="Y77"/>
          <cell r="Z77"/>
          <cell r="AA77"/>
          <cell r="AB77"/>
          <cell r="AC77"/>
          <cell r="AD77"/>
          <cell r="AE77"/>
          <cell r="AF77"/>
          <cell r="AG77"/>
          <cell r="AH77"/>
          <cell r="AI77"/>
          <cell r="AJ77"/>
          <cell r="AK77"/>
          <cell r="AL77"/>
          <cell r="AM77"/>
          <cell r="AN77"/>
          <cell r="AO77"/>
        </row>
        <row r="78">
          <cell r="B78" t="str">
            <v>045</v>
          </cell>
          <cell r="C78" t="str">
            <v>Sambhaji Dattatray Toke</v>
          </cell>
          <cell r="D78"/>
          <cell r="E78" t="str">
            <v>Present</v>
          </cell>
          <cell r="F78" t="str">
            <v>P</v>
          </cell>
          <cell r="G78" t="str">
            <v>WO</v>
          </cell>
          <cell r="H78" t="str">
            <v>P</v>
          </cell>
          <cell r="I78" t="str">
            <v>P</v>
          </cell>
          <cell r="J78" t="str">
            <v>P</v>
          </cell>
          <cell r="K78" t="str">
            <v>P</v>
          </cell>
          <cell r="L78" t="str">
            <v>P</v>
          </cell>
          <cell r="M78" t="str">
            <v>P</v>
          </cell>
          <cell r="N78" t="str">
            <v>WO</v>
          </cell>
          <cell r="O78" t="str">
            <v>A</v>
          </cell>
          <cell r="P78" t="str">
            <v>A</v>
          </cell>
          <cell r="Q78" t="str">
            <v>P</v>
          </cell>
          <cell r="R78" t="str">
            <v>P</v>
          </cell>
          <cell r="S78" t="str">
            <v>P</v>
          </cell>
          <cell r="T78" t="str">
            <v>PH</v>
          </cell>
          <cell r="U78" t="str">
            <v>WO</v>
          </cell>
          <cell r="V78" t="str">
            <v>P</v>
          </cell>
          <cell r="W78" t="str">
            <v>P</v>
          </cell>
          <cell r="X78" t="str">
            <v>P</v>
          </cell>
          <cell r="Y78" t="str">
            <v>P</v>
          </cell>
          <cell r="Z78" t="str">
            <v>A</v>
          </cell>
          <cell r="AA78" t="str">
            <v>P</v>
          </cell>
          <cell r="AB78" t="str">
            <v>WO</v>
          </cell>
          <cell r="AC78" t="str">
            <v>P</v>
          </cell>
          <cell r="AD78" t="str">
            <v>P</v>
          </cell>
          <cell r="AE78" t="str">
            <v>P</v>
          </cell>
          <cell r="AF78" t="str">
            <v>P</v>
          </cell>
          <cell r="AG78" t="str">
            <v>P</v>
          </cell>
          <cell r="AH78" t="str">
            <v>P</v>
          </cell>
          <cell r="AI78" t="str">
            <v>WO</v>
          </cell>
          <cell r="AJ78" t="str">
            <v>P</v>
          </cell>
          <cell r="AK78">
            <v>22</v>
          </cell>
          <cell r="AL78">
            <v>1</v>
          </cell>
          <cell r="AM78">
            <v>23</v>
          </cell>
          <cell r="AN78">
            <v>3</v>
          </cell>
          <cell r="AO78">
            <v>0</v>
          </cell>
        </row>
        <row r="79">
          <cell r="B79"/>
          <cell r="C79"/>
          <cell r="D79"/>
          <cell r="E79" t="str">
            <v>OT</v>
          </cell>
          <cell r="F79"/>
          <cell r="G79"/>
          <cell r="H79"/>
          <cell r="I79"/>
          <cell r="J79"/>
          <cell r="K79"/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N79"/>
          <cell r="AO79"/>
        </row>
        <row r="80">
          <cell r="B80" t="str">
            <v>046</v>
          </cell>
          <cell r="C80" t="str">
            <v>Machindra Baban Takalkar</v>
          </cell>
          <cell r="D80"/>
          <cell r="E80" t="str">
            <v>Present</v>
          </cell>
          <cell r="F80" t="str">
            <v>P</v>
          </cell>
          <cell r="G80" t="str">
            <v>WO</v>
          </cell>
          <cell r="H80" t="str">
            <v>P</v>
          </cell>
          <cell r="I80" t="str">
            <v>P</v>
          </cell>
          <cell r="J80" t="str">
            <v>P</v>
          </cell>
          <cell r="K80" t="str">
            <v>P</v>
          </cell>
          <cell r="L80" t="str">
            <v>P</v>
          </cell>
          <cell r="M80" t="str">
            <v>P</v>
          </cell>
          <cell r="N80" t="str">
            <v>WO</v>
          </cell>
          <cell r="O80" t="str">
            <v>P</v>
          </cell>
          <cell r="P80" t="str">
            <v>P</v>
          </cell>
          <cell r="Q80" t="str">
            <v>P</v>
          </cell>
          <cell r="R80" t="str">
            <v>P</v>
          </cell>
          <cell r="S80" t="str">
            <v>P</v>
          </cell>
          <cell r="T80" t="str">
            <v>PH</v>
          </cell>
          <cell r="U80" t="str">
            <v>WO</v>
          </cell>
          <cell r="V80" t="str">
            <v>P</v>
          </cell>
          <cell r="W80" t="str">
            <v>P</v>
          </cell>
          <cell r="X80" t="str">
            <v>P</v>
          </cell>
          <cell r="Y80" t="str">
            <v>P</v>
          </cell>
          <cell r="Z80" t="str">
            <v>P</v>
          </cell>
          <cell r="AA80" t="str">
            <v>P</v>
          </cell>
          <cell r="AB80" t="str">
            <v>WO</v>
          </cell>
          <cell r="AC80" t="str">
            <v>P</v>
          </cell>
          <cell r="AD80" t="str">
            <v>P</v>
          </cell>
          <cell r="AE80" t="str">
            <v>P</v>
          </cell>
          <cell r="AF80" t="str">
            <v>P</v>
          </cell>
          <cell r="AG80" t="str">
            <v>P</v>
          </cell>
          <cell r="AH80" t="str">
            <v>P</v>
          </cell>
          <cell r="AI80" t="str">
            <v>WO</v>
          </cell>
          <cell r="AJ80" t="str">
            <v>P</v>
          </cell>
          <cell r="AK80">
            <v>25</v>
          </cell>
          <cell r="AL80">
            <v>1</v>
          </cell>
          <cell r="AM80">
            <v>26</v>
          </cell>
          <cell r="AN80">
            <v>0</v>
          </cell>
          <cell r="AO80">
            <v>0</v>
          </cell>
        </row>
        <row r="81">
          <cell r="B81"/>
          <cell r="C81"/>
          <cell r="D81"/>
          <cell r="E81" t="str">
            <v>OT</v>
          </cell>
          <cell r="F81"/>
          <cell r="G81"/>
          <cell r="H81"/>
          <cell r="I81"/>
          <cell r="J81"/>
          <cell r="K81"/>
          <cell r="L81"/>
          <cell r="M81"/>
          <cell r="N81"/>
          <cell r="O81"/>
          <cell r="P81"/>
          <cell r="Q81"/>
          <cell r="R81"/>
          <cell r="S81"/>
          <cell r="T81"/>
          <cell r="U81"/>
          <cell r="V81"/>
          <cell r="W81"/>
          <cell r="X81"/>
          <cell r="Y81"/>
          <cell r="Z81"/>
          <cell r="AA81"/>
          <cell r="AB81"/>
          <cell r="AC81"/>
          <cell r="AD81"/>
          <cell r="AE81"/>
          <cell r="AF81"/>
          <cell r="AG81"/>
          <cell r="AH81"/>
          <cell r="AI81"/>
          <cell r="AJ81"/>
          <cell r="AK81"/>
          <cell r="AL81"/>
          <cell r="AM81"/>
          <cell r="AN81"/>
          <cell r="AO81"/>
        </row>
        <row r="82">
          <cell r="B82" t="str">
            <v>047</v>
          </cell>
          <cell r="C82" t="str">
            <v>Shbana Salim Pathan</v>
          </cell>
          <cell r="D82"/>
          <cell r="E82" t="str">
            <v>Present</v>
          </cell>
          <cell r="F82" t="str">
            <v>A</v>
          </cell>
          <cell r="G82" t="str">
            <v>A</v>
          </cell>
          <cell r="H82" t="str">
            <v>A</v>
          </cell>
          <cell r="I82" t="str">
            <v>P</v>
          </cell>
          <cell r="J82" t="str">
            <v>P</v>
          </cell>
          <cell r="K82" t="str">
            <v>P</v>
          </cell>
          <cell r="L82" t="str">
            <v>P</v>
          </cell>
          <cell r="M82" t="str">
            <v>P</v>
          </cell>
          <cell r="N82" t="str">
            <v>WO</v>
          </cell>
          <cell r="O82" t="str">
            <v>P</v>
          </cell>
          <cell r="P82" t="str">
            <v>P</v>
          </cell>
          <cell r="Q82" t="str">
            <v>P</v>
          </cell>
          <cell r="R82" t="str">
            <v>P</v>
          </cell>
          <cell r="S82" t="str">
            <v>P</v>
          </cell>
          <cell r="T82" t="str">
            <v>PH</v>
          </cell>
          <cell r="U82" t="str">
            <v>WO</v>
          </cell>
          <cell r="V82" t="str">
            <v>P</v>
          </cell>
          <cell r="W82" t="str">
            <v>P</v>
          </cell>
          <cell r="X82" t="str">
            <v>P</v>
          </cell>
          <cell r="Y82" t="str">
            <v>P</v>
          </cell>
          <cell r="Z82" t="str">
            <v>P</v>
          </cell>
          <cell r="AA82" t="str">
            <v>P</v>
          </cell>
          <cell r="AB82" t="str">
            <v>WO</v>
          </cell>
          <cell r="AC82" t="str">
            <v>P</v>
          </cell>
          <cell r="AD82" t="str">
            <v>A</v>
          </cell>
          <cell r="AE82" t="str">
            <v>P</v>
          </cell>
          <cell r="AF82" t="str">
            <v>P</v>
          </cell>
          <cell r="AG82" t="str">
            <v>P</v>
          </cell>
          <cell r="AH82" t="str">
            <v>P</v>
          </cell>
          <cell r="AI82" t="str">
            <v>WO</v>
          </cell>
          <cell r="AJ82" t="str">
            <v>P</v>
          </cell>
          <cell r="AK82">
            <v>22</v>
          </cell>
          <cell r="AL82">
            <v>1</v>
          </cell>
          <cell r="AM82">
            <v>23</v>
          </cell>
          <cell r="AN82">
            <v>4</v>
          </cell>
          <cell r="AO82">
            <v>0</v>
          </cell>
        </row>
        <row r="83">
          <cell r="B83"/>
          <cell r="C83"/>
          <cell r="D83"/>
          <cell r="E83" t="str">
            <v>OT</v>
          </cell>
          <cell r="F83"/>
          <cell r="G83"/>
          <cell r="H83"/>
          <cell r="I83"/>
          <cell r="J83"/>
          <cell r="K83"/>
          <cell r="L83"/>
          <cell r="M83"/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B83"/>
          <cell r="AC83"/>
          <cell r="AD83"/>
          <cell r="AE83"/>
          <cell r="AF83"/>
          <cell r="AG83"/>
          <cell r="AH83"/>
          <cell r="AI83"/>
          <cell r="AJ83"/>
          <cell r="AK83"/>
          <cell r="AL83"/>
          <cell r="AM83"/>
          <cell r="AN83"/>
          <cell r="AO83"/>
        </row>
        <row r="84">
          <cell r="B84" t="str">
            <v>050</v>
          </cell>
          <cell r="C84" t="str">
            <v xml:space="preserve">Sanjay Balu Pawale </v>
          </cell>
          <cell r="D84"/>
          <cell r="E84" t="str">
            <v>Present</v>
          </cell>
          <cell r="F84" t="str">
            <v>A</v>
          </cell>
          <cell r="G84" t="str">
            <v>A</v>
          </cell>
          <cell r="H84" t="str">
            <v>A</v>
          </cell>
          <cell r="I84" t="str">
            <v>A</v>
          </cell>
          <cell r="J84" t="str">
            <v>A</v>
          </cell>
          <cell r="K84" t="str">
            <v>A</v>
          </cell>
          <cell r="L84" t="str">
            <v>A</v>
          </cell>
          <cell r="M84" t="str">
            <v>A</v>
          </cell>
          <cell r="N84" t="str">
            <v>A</v>
          </cell>
          <cell r="O84" t="str">
            <v>A</v>
          </cell>
          <cell r="P84" t="str">
            <v>A</v>
          </cell>
          <cell r="Q84" t="str">
            <v>A</v>
          </cell>
          <cell r="R84" t="str">
            <v>P</v>
          </cell>
          <cell r="S84" t="str">
            <v>P</v>
          </cell>
          <cell r="T84" t="str">
            <v>PH</v>
          </cell>
          <cell r="U84" t="str">
            <v>WO</v>
          </cell>
          <cell r="V84" t="str">
            <v>P</v>
          </cell>
          <cell r="W84" t="str">
            <v>P</v>
          </cell>
          <cell r="X84" t="str">
            <v>P</v>
          </cell>
          <cell r="Y84" t="str">
            <v>P</v>
          </cell>
          <cell r="Z84" t="str">
            <v>P</v>
          </cell>
          <cell r="AA84" t="str">
            <v>P</v>
          </cell>
          <cell r="AB84" t="str">
            <v>WO</v>
          </cell>
          <cell r="AC84" t="str">
            <v>P</v>
          </cell>
          <cell r="AD84" t="str">
            <v>P</v>
          </cell>
          <cell r="AE84" t="str">
            <v>P</v>
          </cell>
          <cell r="AF84" t="str">
            <v>P</v>
          </cell>
          <cell r="AG84" t="str">
            <v>P</v>
          </cell>
          <cell r="AH84" t="str">
            <v>P</v>
          </cell>
          <cell r="AI84" t="str">
            <v>WO</v>
          </cell>
          <cell r="AJ84" t="str">
            <v>P</v>
          </cell>
          <cell r="AK84">
            <v>15</v>
          </cell>
          <cell r="AL84">
            <v>1</v>
          </cell>
          <cell r="AM84">
            <v>16</v>
          </cell>
          <cell r="AN84">
            <v>12</v>
          </cell>
          <cell r="AO84">
            <v>0</v>
          </cell>
        </row>
        <row r="85">
          <cell r="B85"/>
          <cell r="C85"/>
          <cell r="D85"/>
          <cell r="E85" t="str">
            <v>OT</v>
          </cell>
          <cell r="F85"/>
          <cell r="G85"/>
          <cell r="H85"/>
          <cell r="I85"/>
          <cell r="J85"/>
          <cell r="K85"/>
          <cell r="L85"/>
          <cell r="M85"/>
          <cell r="N85"/>
          <cell r="O85"/>
          <cell r="P85"/>
          <cell r="Q85"/>
          <cell r="R85"/>
          <cell r="S85"/>
          <cell r="T85"/>
          <cell r="U85"/>
          <cell r="V85"/>
          <cell r="W85"/>
          <cell r="X85"/>
          <cell r="Y85"/>
          <cell r="Z85"/>
          <cell r="AA85"/>
          <cell r="AB85"/>
          <cell r="AC85"/>
          <cell r="AD85"/>
          <cell r="AE85"/>
          <cell r="AF85"/>
          <cell r="AG85"/>
          <cell r="AH85"/>
          <cell r="AI85"/>
          <cell r="AJ85"/>
          <cell r="AK85"/>
          <cell r="AL85"/>
          <cell r="AM85"/>
          <cell r="AN85"/>
          <cell r="AO85"/>
        </row>
        <row r="86">
          <cell r="AK86">
            <v>933</v>
          </cell>
        </row>
        <row r="87">
          <cell r="AK87">
            <v>933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4">
          <cell r="B4">
            <v>1001</v>
          </cell>
          <cell r="C4" t="str">
            <v xml:space="preserve">Avinash Namdev Shinde </v>
          </cell>
          <cell r="D4" t="str">
            <v xml:space="preserve">Unskilled </v>
          </cell>
          <cell r="E4" t="str">
            <v>Present</v>
          </cell>
          <cell r="F4" t="str">
            <v>PH</v>
          </cell>
          <cell r="G4" t="str">
            <v>WO</v>
          </cell>
          <cell r="H4" t="str">
            <v>P</v>
          </cell>
          <cell r="I4" t="str">
            <v>P</v>
          </cell>
          <cell r="J4" t="str">
            <v>P</v>
          </cell>
          <cell r="K4" t="str">
            <v>P</v>
          </cell>
          <cell r="L4" t="str">
            <v>P</v>
          </cell>
          <cell r="M4" t="str">
            <v>PH</v>
          </cell>
          <cell r="N4" t="str">
            <v>WO</v>
          </cell>
          <cell r="O4" t="str">
            <v>P</v>
          </cell>
          <cell r="P4" t="str">
            <v>P</v>
          </cell>
          <cell r="Q4" t="str">
            <v>A</v>
          </cell>
          <cell r="R4" t="str">
            <v>A</v>
          </cell>
          <cell r="S4" t="str">
            <v>A</v>
          </cell>
          <cell r="T4" t="str">
            <v>PH</v>
          </cell>
          <cell r="U4" t="str">
            <v>WO</v>
          </cell>
          <cell r="V4" t="str">
            <v>A</v>
          </cell>
          <cell r="W4" t="str">
            <v>P</v>
          </cell>
          <cell r="X4" t="str">
            <v>A</v>
          </cell>
          <cell r="Y4" t="str">
            <v>A</v>
          </cell>
          <cell r="Z4" t="str">
            <v>A</v>
          </cell>
          <cell r="AA4" t="str">
            <v>A</v>
          </cell>
          <cell r="AB4" t="str">
            <v>WO</v>
          </cell>
          <cell r="AC4" t="str">
            <v>P</v>
          </cell>
          <cell r="AD4" t="str">
            <v>P</v>
          </cell>
          <cell r="AE4" t="str">
            <v>P</v>
          </cell>
          <cell r="AF4" t="str">
            <v>P</v>
          </cell>
          <cell r="AG4" t="str">
            <v>P</v>
          </cell>
          <cell r="AH4" t="str">
            <v>PH</v>
          </cell>
          <cell r="AI4" t="str">
            <v>WO</v>
          </cell>
          <cell r="AJ4" t="str">
            <v>P</v>
          </cell>
          <cell r="AK4">
            <v>14</v>
          </cell>
          <cell r="AL4">
            <v>5</v>
          </cell>
          <cell r="AM4">
            <v>4</v>
          </cell>
        </row>
        <row r="5">
          <cell r="B5"/>
          <cell r="C5"/>
          <cell r="D5"/>
          <cell r="E5" t="str">
            <v>OT</v>
          </cell>
          <cell r="F5"/>
          <cell r="G5"/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  <cell r="AB5"/>
          <cell r="AC5"/>
          <cell r="AD5"/>
          <cell r="AE5"/>
          <cell r="AF5"/>
          <cell r="AG5"/>
          <cell r="AH5"/>
          <cell r="AI5"/>
          <cell r="AJ5"/>
          <cell r="AK5"/>
          <cell r="AL5"/>
          <cell r="AM5"/>
        </row>
        <row r="6">
          <cell r="B6">
            <v>1002</v>
          </cell>
          <cell r="C6" t="str">
            <v xml:space="preserve">Santosh Dnyaneshwer Savant </v>
          </cell>
          <cell r="D6" t="str">
            <v xml:space="preserve">Unskilled </v>
          </cell>
          <cell r="E6" t="str">
            <v>Present</v>
          </cell>
          <cell r="F6" t="str">
            <v>A</v>
          </cell>
          <cell r="G6" t="str">
            <v>A</v>
          </cell>
          <cell r="H6" t="str">
            <v>A</v>
          </cell>
          <cell r="I6" t="str">
            <v>A</v>
          </cell>
          <cell r="J6" t="str">
            <v>A</v>
          </cell>
          <cell r="K6" t="str">
            <v>A</v>
          </cell>
          <cell r="L6" t="str">
            <v>A</v>
          </cell>
          <cell r="M6" t="str">
            <v>A</v>
          </cell>
          <cell r="N6" t="str">
            <v>A</v>
          </cell>
          <cell r="O6" t="str">
            <v>A</v>
          </cell>
          <cell r="P6" t="str">
            <v>A</v>
          </cell>
          <cell r="Q6" t="str">
            <v>A</v>
          </cell>
          <cell r="R6" t="str">
            <v>A</v>
          </cell>
          <cell r="S6" t="str">
            <v>A</v>
          </cell>
          <cell r="T6" t="str">
            <v>A</v>
          </cell>
          <cell r="U6" t="str">
            <v>A</v>
          </cell>
          <cell r="V6" t="str">
            <v>A</v>
          </cell>
          <cell r="W6" t="str">
            <v>P</v>
          </cell>
          <cell r="X6" t="str">
            <v>P</v>
          </cell>
          <cell r="Y6" t="str">
            <v>P</v>
          </cell>
          <cell r="Z6" t="str">
            <v>P</v>
          </cell>
          <cell r="AA6" t="str">
            <v>A</v>
          </cell>
          <cell r="AB6" t="str">
            <v>A</v>
          </cell>
          <cell r="AC6" t="str">
            <v>A</v>
          </cell>
          <cell r="AD6" t="str">
            <v>A</v>
          </cell>
          <cell r="AE6" t="str">
            <v>A</v>
          </cell>
          <cell r="AF6" t="str">
            <v>A</v>
          </cell>
          <cell r="AG6" t="str">
            <v>A</v>
          </cell>
          <cell r="AH6" t="str">
            <v>A</v>
          </cell>
          <cell r="AI6" t="str">
            <v>A</v>
          </cell>
          <cell r="AJ6" t="str">
            <v>A</v>
          </cell>
          <cell r="AK6">
            <v>4</v>
          </cell>
          <cell r="AL6">
            <v>0</v>
          </cell>
          <cell r="AM6">
            <v>0</v>
          </cell>
        </row>
        <row r="7">
          <cell r="B7"/>
          <cell r="C7"/>
          <cell r="D7"/>
          <cell r="E7" t="str">
            <v>OT</v>
          </cell>
          <cell r="F7"/>
          <cell r="G7"/>
          <cell r="H7"/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  <cell r="T7"/>
          <cell r="U7"/>
          <cell r="V7"/>
          <cell r="W7"/>
          <cell r="X7"/>
          <cell r="Y7"/>
          <cell r="Z7"/>
          <cell r="AA7"/>
          <cell r="AB7"/>
          <cell r="AC7"/>
          <cell r="AD7"/>
          <cell r="AE7"/>
          <cell r="AF7"/>
          <cell r="AG7"/>
          <cell r="AH7"/>
          <cell r="AI7"/>
          <cell r="AJ7"/>
          <cell r="AK7"/>
          <cell r="AL7"/>
          <cell r="AM7"/>
        </row>
        <row r="8">
          <cell r="B8">
            <v>1004</v>
          </cell>
          <cell r="C8" t="str">
            <v>Sameer Santosh Dhawale</v>
          </cell>
          <cell r="D8" t="str">
            <v xml:space="preserve">Unskilled </v>
          </cell>
          <cell r="E8" t="str">
            <v>Present</v>
          </cell>
          <cell r="F8" t="str">
            <v>A</v>
          </cell>
          <cell r="G8" t="str">
            <v>A</v>
          </cell>
          <cell r="H8" t="str">
            <v>A</v>
          </cell>
          <cell r="I8" t="str">
            <v>A</v>
          </cell>
          <cell r="J8" t="str">
            <v>A</v>
          </cell>
          <cell r="K8" t="str">
            <v>A</v>
          </cell>
          <cell r="L8" t="str">
            <v>A</v>
          </cell>
          <cell r="M8" t="str">
            <v>A</v>
          </cell>
          <cell r="N8" t="str">
            <v>WO</v>
          </cell>
          <cell r="O8" t="str">
            <v>P</v>
          </cell>
          <cell r="P8" t="str">
            <v>P</v>
          </cell>
          <cell r="Q8" t="str">
            <v>A</v>
          </cell>
          <cell r="R8" t="str">
            <v>A</v>
          </cell>
          <cell r="S8" t="str">
            <v>A</v>
          </cell>
          <cell r="T8" t="str">
            <v>PH</v>
          </cell>
          <cell r="U8" t="str">
            <v>WO</v>
          </cell>
          <cell r="V8" t="str">
            <v>P</v>
          </cell>
          <cell r="W8" t="str">
            <v>P</v>
          </cell>
          <cell r="X8" t="str">
            <v>P</v>
          </cell>
          <cell r="Y8" t="str">
            <v>P</v>
          </cell>
          <cell r="Z8" t="str">
            <v>P</v>
          </cell>
          <cell r="AA8" t="str">
            <v>PH</v>
          </cell>
          <cell r="AB8" t="str">
            <v>WO</v>
          </cell>
          <cell r="AC8" t="str">
            <v>P</v>
          </cell>
          <cell r="AD8" t="str">
            <v>P</v>
          </cell>
          <cell r="AE8" t="str">
            <v>P</v>
          </cell>
          <cell r="AF8" t="str">
            <v>P</v>
          </cell>
          <cell r="AG8" t="str">
            <v>P</v>
          </cell>
          <cell r="AH8" t="str">
            <v>PH</v>
          </cell>
          <cell r="AI8" t="str">
            <v>WO</v>
          </cell>
          <cell r="AJ8" t="str">
            <v>P</v>
          </cell>
          <cell r="AK8">
            <v>13</v>
          </cell>
          <cell r="AL8">
            <v>4</v>
          </cell>
          <cell r="AM8">
            <v>3</v>
          </cell>
        </row>
        <row r="9">
          <cell r="B9"/>
          <cell r="C9"/>
          <cell r="D9"/>
          <cell r="E9" t="str">
            <v>OT</v>
          </cell>
          <cell r="F9"/>
          <cell r="G9"/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/>
          <cell r="T9"/>
          <cell r="U9"/>
          <cell r="V9"/>
          <cell r="W9"/>
          <cell r="X9"/>
          <cell r="Y9"/>
          <cell r="Z9"/>
          <cell r="AA9"/>
          <cell r="AB9"/>
          <cell r="AC9"/>
          <cell r="AD9"/>
          <cell r="AE9"/>
          <cell r="AF9"/>
          <cell r="AG9"/>
          <cell r="AH9"/>
          <cell r="AI9"/>
          <cell r="AJ9"/>
          <cell r="AK9"/>
          <cell r="AL9"/>
          <cell r="AM9"/>
        </row>
        <row r="10">
          <cell r="B10"/>
          <cell r="C10"/>
          <cell r="D10"/>
          <cell r="E10"/>
          <cell r="F10"/>
          <cell r="G10"/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/>
          <cell r="T10"/>
          <cell r="U10"/>
          <cell r="V10"/>
          <cell r="W10"/>
          <cell r="X10"/>
          <cell r="Y10"/>
          <cell r="Z10"/>
          <cell r="AA10"/>
          <cell r="AB10"/>
          <cell r="AC10"/>
          <cell r="AD10"/>
          <cell r="AE10"/>
          <cell r="AF10"/>
          <cell r="AG10"/>
          <cell r="AH10"/>
          <cell r="AI10"/>
          <cell r="AJ10"/>
          <cell r="AK10">
            <v>31</v>
          </cell>
          <cell r="AL10">
            <v>9</v>
          </cell>
          <cell r="AM10">
            <v>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55"/>
  <sheetViews>
    <sheetView tabSelected="1" zoomScaleNormal="100" workbookViewId="0">
      <pane xSplit="3" ySplit="3" topLeftCell="D70" activePane="bottomRight" state="frozen"/>
      <selection pane="topRight" activeCell="D1" sqref="D1"/>
      <selection pane="bottomLeft" activeCell="A4" sqref="A4"/>
      <selection pane="bottomRight" activeCell="G45" sqref="G45"/>
    </sheetView>
  </sheetViews>
  <sheetFormatPr defaultRowHeight="14.5" x14ac:dyDescent="0.35"/>
  <cols>
    <col min="1" max="1" width="8.7265625" style="20"/>
    <col min="2" max="2" width="11.81640625" style="20" bestFit="1" customWidth="1"/>
    <col min="3" max="3" width="24.26953125" style="50" customWidth="1"/>
    <col min="4" max="4" width="25.1796875" style="50" bestFit="1" customWidth="1"/>
    <col min="5" max="5" width="18" style="75" customWidth="1"/>
    <col min="6" max="6" width="15" style="67" customWidth="1"/>
    <col min="7" max="9" width="12.81640625" style="20" customWidth="1"/>
    <col min="10" max="11" width="12.81640625" style="60" customWidth="1"/>
    <col min="12" max="14" width="12.81640625" style="20" customWidth="1"/>
    <col min="15" max="16" width="12.81640625" style="6" customWidth="1"/>
    <col min="17" max="17" width="12.81640625" style="6" hidden="1" customWidth="1"/>
    <col min="18" max="40" width="12.81640625" style="6" customWidth="1"/>
    <col min="41" max="48" width="12.81640625" style="6" hidden="1" customWidth="1"/>
    <col min="49" max="16384" width="8.7265625" style="6"/>
  </cols>
  <sheetData>
    <row r="1" spans="1:48" ht="15.5" customHeight="1" x14ac:dyDescent="0.35">
      <c r="A1" s="23" t="s">
        <v>0</v>
      </c>
      <c r="B1" s="23"/>
      <c r="C1" s="54"/>
      <c r="D1" s="54"/>
      <c r="E1" s="70"/>
      <c r="F1" s="64"/>
      <c r="G1" s="23"/>
      <c r="H1" s="23"/>
      <c r="I1" s="2"/>
      <c r="J1" s="58"/>
      <c r="K1" s="58"/>
      <c r="L1" s="2"/>
      <c r="M1" s="65"/>
      <c r="N1" s="2"/>
      <c r="O1" s="1"/>
      <c r="P1" s="1"/>
      <c r="Q1" s="1"/>
      <c r="R1" s="1"/>
      <c r="S1" s="1"/>
      <c r="T1" s="1"/>
      <c r="U1" s="1"/>
      <c r="V1" s="1" t="s">
        <v>164</v>
      </c>
      <c r="W1" s="1"/>
      <c r="X1" s="1"/>
      <c r="Y1" s="1"/>
      <c r="Z1" s="1"/>
      <c r="AA1" s="1"/>
      <c r="AB1" s="3"/>
      <c r="AC1" s="3"/>
      <c r="AD1" s="4"/>
      <c r="AE1" s="5"/>
      <c r="AO1" s="5"/>
      <c r="AP1" s="5"/>
      <c r="AQ1" s="5"/>
      <c r="AR1" s="5"/>
      <c r="AS1" s="5"/>
      <c r="AT1" s="4"/>
      <c r="AU1" s="4"/>
      <c r="AV1" s="4"/>
    </row>
    <row r="2" spans="1:48" ht="15.5" customHeight="1" x14ac:dyDescent="0.35">
      <c r="A2" s="76"/>
      <c r="B2" s="80"/>
      <c r="C2" s="81"/>
      <c r="D2" s="68"/>
      <c r="E2" s="71"/>
      <c r="F2" s="61"/>
      <c r="G2" s="7"/>
      <c r="H2" s="7"/>
      <c r="I2" s="79"/>
      <c r="J2" s="80"/>
      <c r="K2" s="80"/>
      <c r="L2" s="80"/>
      <c r="M2" s="81"/>
      <c r="N2" s="76" t="s">
        <v>1</v>
      </c>
      <c r="O2" s="77"/>
      <c r="P2" s="77"/>
      <c r="Q2" s="77"/>
      <c r="R2" s="77"/>
      <c r="S2" s="77"/>
      <c r="T2" s="78"/>
      <c r="U2" s="79" t="s">
        <v>2</v>
      </c>
      <c r="V2" s="77"/>
      <c r="W2" s="77"/>
      <c r="X2" s="78"/>
      <c r="Y2" s="76" t="s">
        <v>3</v>
      </c>
      <c r="Z2" s="77"/>
      <c r="AA2" s="77"/>
      <c r="AB2" s="77"/>
      <c r="AC2" s="77"/>
      <c r="AD2" s="77"/>
      <c r="AE2" s="77"/>
      <c r="AF2" s="78"/>
      <c r="AG2" s="79" t="s">
        <v>4</v>
      </c>
      <c r="AH2" s="77"/>
      <c r="AI2" s="77"/>
      <c r="AJ2" s="77"/>
      <c r="AK2" s="77"/>
      <c r="AL2" s="77"/>
      <c r="AM2" s="77"/>
      <c r="AN2" s="78"/>
      <c r="AO2" s="76" t="s">
        <v>5</v>
      </c>
      <c r="AP2" s="77"/>
      <c r="AQ2" s="77"/>
      <c r="AR2" s="77"/>
      <c r="AS2" s="77"/>
      <c r="AT2" s="77"/>
      <c r="AU2" s="77"/>
      <c r="AV2" s="78"/>
    </row>
    <row r="3" spans="1:48" ht="39" customHeight="1" x14ac:dyDescent="0.35">
      <c r="A3" s="8" t="s">
        <v>6</v>
      </c>
      <c r="B3" s="8" t="s">
        <v>7</v>
      </c>
      <c r="C3" s="10" t="s">
        <v>8</v>
      </c>
      <c r="D3" s="69" t="s">
        <v>9</v>
      </c>
      <c r="E3" s="72" t="s">
        <v>254</v>
      </c>
      <c r="F3" s="62" t="s">
        <v>10</v>
      </c>
      <c r="G3" s="9" t="s">
        <v>11</v>
      </c>
      <c r="H3" s="8" t="s">
        <v>12</v>
      </c>
      <c r="I3" s="8" t="s">
        <v>13</v>
      </c>
      <c r="J3" s="55" t="s">
        <v>14</v>
      </c>
      <c r="K3" s="55" t="s">
        <v>15</v>
      </c>
      <c r="L3" s="8" t="s">
        <v>16</v>
      </c>
      <c r="M3" s="8" t="s">
        <v>17</v>
      </c>
      <c r="N3" s="8" t="s">
        <v>18</v>
      </c>
      <c r="O3" s="8" t="s">
        <v>19</v>
      </c>
      <c r="P3" s="8" t="s">
        <v>20</v>
      </c>
      <c r="Q3" s="8"/>
      <c r="R3" s="8" t="s">
        <v>21</v>
      </c>
      <c r="S3" s="8" t="s">
        <v>22</v>
      </c>
      <c r="T3" s="8" t="s">
        <v>23</v>
      </c>
      <c r="U3" s="11" t="s">
        <v>24</v>
      </c>
      <c r="V3" s="11" t="s">
        <v>25</v>
      </c>
      <c r="W3" s="12" t="s">
        <v>26</v>
      </c>
      <c r="X3" s="12" t="s">
        <v>27</v>
      </c>
      <c r="Y3" s="12" t="s">
        <v>18</v>
      </c>
      <c r="Z3" s="12" t="s">
        <v>19</v>
      </c>
      <c r="AA3" s="12" t="s">
        <v>20</v>
      </c>
      <c r="AB3" s="12" t="s">
        <v>21</v>
      </c>
      <c r="AC3" s="12" t="s">
        <v>219</v>
      </c>
      <c r="AD3" s="12" t="s">
        <v>22</v>
      </c>
      <c r="AE3" s="12" t="s">
        <v>28</v>
      </c>
      <c r="AF3" s="12" t="s">
        <v>29</v>
      </c>
      <c r="AG3" s="12" t="s">
        <v>30</v>
      </c>
      <c r="AH3" s="12" t="s">
        <v>31</v>
      </c>
      <c r="AI3" s="11" t="s">
        <v>32</v>
      </c>
      <c r="AJ3" s="11" t="s">
        <v>33</v>
      </c>
      <c r="AK3" s="12" t="s">
        <v>34</v>
      </c>
      <c r="AL3" s="49" t="s">
        <v>234</v>
      </c>
      <c r="AM3" s="12" t="s">
        <v>35</v>
      </c>
      <c r="AN3" s="11" t="s">
        <v>36</v>
      </c>
      <c r="AO3" s="12" t="s">
        <v>37</v>
      </c>
      <c r="AP3" s="13" t="s">
        <v>38</v>
      </c>
      <c r="AQ3" s="12" t="s">
        <v>39</v>
      </c>
      <c r="AR3" s="11" t="s">
        <v>33</v>
      </c>
      <c r="AS3" s="12" t="s">
        <v>40</v>
      </c>
      <c r="AT3" s="12" t="s">
        <v>41</v>
      </c>
      <c r="AU3" s="12" t="s">
        <v>42</v>
      </c>
      <c r="AV3" s="12" t="s">
        <v>43</v>
      </c>
    </row>
    <row r="4" spans="1:48" ht="15.5" customHeight="1" x14ac:dyDescent="0.35">
      <c r="A4" s="14">
        <v>1</v>
      </c>
      <c r="B4" s="24" t="s">
        <v>44</v>
      </c>
      <c r="C4" s="25" t="s">
        <v>45</v>
      </c>
      <c r="D4" s="26" t="s">
        <v>46</v>
      </c>
      <c r="E4" s="73">
        <f>VLOOKUP(B4,'[1]Gemshine Manpower DC&amp;T '!$B$3:$M$61,12,0)</f>
        <v>989836781968</v>
      </c>
      <c r="F4" s="27">
        <v>102116766484</v>
      </c>
      <c r="G4" s="28">
        <v>3317917585</v>
      </c>
      <c r="H4" s="28" t="s">
        <v>47</v>
      </c>
      <c r="I4" s="28" t="s">
        <v>48</v>
      </c>
      <c r="J4" s="56">
        <v>46143</v>
      </c>
      <c r="K4" s="29">
        <v>34113</v>
      </c>
      <c r="L4" s="30">
        <v>9552672093</v>
      </c>
      <c r="M4" s="28" t="s">
        <v>122</v>
      </c>
      <c r="N4" s="32">
        <v>15025</v>
      </c>
      <c r="O4" s="33">
        <v>2511</v>
      </c>
      <c r="P4" s="34">
        <f t="shared" ref="P4:P44" si="0">(N4+O4)*5%</f>
        <v>876.80000000000007</v>
      </c>
      <c r="Q4" s="34"/>
      <c r="R4" s="34">
        <v>7250</v>
      </c>
      <c r="S4" s="34">
        <f t="shared" ref="S4:S45" si="1">SUM(N4:R4)</f>
        <v>25662.799999999999</v>
      </c>
      <c r="T4" s="34">
        <v>150</v>
      </c>
      <c r="U4" s="35">
        <v>23</v>
      </c>
      <c r="V4" s="16">
        <v>1</v>
      </c>
      <c r="W4" s="16">
        <f>U4+V4</f>
        <v>24</v>
      </c>
      <c r="X4" s="16">
        <f>VLOOKUP(B4,'[2]Aug 26'!$B$4:$AO$85,40,0)</f>
        <v>0</v>
      </c>
      <c r="Y4" s="15">
        <f>ROUND(N4/26*W4,0)</f>
        <v>13869</v>
      </c>
      <c r="Z4" s="15">
        <f>ROUND(O4/26*W4,0)</f>
        <v>2318</v>
      </c>
      <c r="AA4" s="15">
        <f>ROUND(P4/26*W4,0)</f>
        <v>809</v>
      </c>
      <c r="AB4" s="15">
        <f>ROUND(R4/26*W4,0)</f>
        <v>6692</v>
      </c>
      <c r="AC4" s="15">
        <v>0</v>
      </c>
      <c r="AD4" s="15">
        <f>ROUND(SUM(Y4:AC4),0)</f>
        <v>23688</v>
      </c>
      <c r="AE4" s="15">
        <f t="shared" ref="AE4:AE38" si="2">ROUND(T4*X4,0)</f>
        <v>0</v>
      </c>
      <c r="AF4" s="15">
        <f>ROUND(AD4+AE4,0)</f>
        <v>23688</v>
      </c>
      <c r="AG4" s="17">
        <f t="shared" ref="AG4:AG38" si="3">IF((Y4+Z4)&lt;=15000,(Y4+Z4)*12/100,1800)</f>
        <v>1800</v>
      </c>
      <c r="AH4" s="17">
        <f t="shared" ref="AH4:AH32" si="4">ROUND(AF4*0.75%,0)</f>
        <v>178</v>
      </c>
      <c r="AI4" s="18">
        <f t="shared" ref="AI4:AI38" si="5">IF(I4="M",IF(AF4&gt;10000,200,IF(7500,175,0)),IF(I4="F",IF(AF4&gt;25000,200,0)))</f>
        <v>0</v>
      </c>
      <c r="AJ4" s="15">
        <v>0</v>
      </c>
      <c r="AK4" s="15">
        <f>W4*209</f>
        <v>5016</v>
      </c>
      <c r="AL4" s="15">
        <v>0</v>
      </c>
      <c r="AM4" s="15">
        <f>ROUND(SUM(AG4:AK4),0)</f>
        <v>6994</v>
      </c>
      <c r="AN4" s="21">
        <f t="shared" ref="AN4:AN38" si="6">ROUND(AF4-AM4,0)</f>
        <v>16694</v>
      </c>
      <c r="AO4" s="17">
        <f t="shared" ref="AO4:AO38" si="7">IF((Y4+Z4)&lt;=15000,(Y4+Z4)*13/100,1950)</f>
        <v>1950</v>
      </c>
      <c r="AP4" s="17">
        <f t="shared" ref="AP4:AP38" si="8">(Y4+Z4)*8.33/100</f>
        <v>1348.3770999999999</v>
      </c>
      <c r="AQ4" s="17">
        <f t="shared" ref="AQ4:AQ32" si="9">(AF4)*3.25/100</f>
        <v>769.86</v>
      </c>
      <c r="AR4" s="17">
        <v>0</v>
      </c>
      <c r="AS4" s="15">
        <f t="shared" ref="AS4:AS32" si="10">AF4*9%</f>
        <v>2131.92</v>
      </c>
      <c r="AT4" s="19">
        <f>AF4+AO4+AP4+AQ4+AR4+AS4</f>
        <v>29888.157100000004</v>
      </c>
      <c r="AU4" s="18">
        <f t="shared" ref="AU4:AU32" si="11">AT4*18%</f>
        <v>5379.8682780000008</v>
      </c>
      <c r="AV4" s="19">
        <f t="shared" ref="AV4:AV32" si="12">AT4+AU4</f>
        <v>35268.025378000006</v>
      </c>
    </row>
    <row r="5" spans="1:48" ht="15.5" customHeight="1" x14ac:dyDescent="0.35">
      <c r="A5" s="14">
        <v>2</v>
      </c>
      <c r="B5" s="24" t="s">
        <v>50</v>
      </c>
      <c r="C5" s="25" t="s">
        <v>51</v>
      </c>
      <c r="D5" s="26" t="s">
        <v>52</v>
      </c>
      <c r="E5" s="73">
        <f>VLOOKUP(B5,'[1]Gemshine Manpower DC&amp;T '!$B$3:$M$61,12,0)</f>
        <v>583864218285</v>
      </c>
      <c r="F5" s="27">
        <v>102006610741</v>
      </c>
      <c r="G5" s="28">
        <v>3315582076</v>
      </c>
      <c r="H5" s="28" t="s">
        <v>53</v>
      </c>
      <c r="I5" s="31" t="s">
        <v>54</v>
      </c>
      <c r="J5" s="56">
        <v>46143</v>
      </c>
      <c r="K5" s="29">
        <v>38392</v>
      </c>
      <c r="L5" s="30">
        <v>8855928030</v>
      </c>
      <c r="M5" s="28" t="s">
        <v>55</v>
      </c>
      <c r="N5" s="32">
        <v>15025</v>
      </c>
      <c r="O5" s="33">
        <v>2511</v>
      </c>
      <c r="P5" s="34">
        <f t="shared" si="0"/>
        <v>876.80000000000007</v>
      </c>
      <c r="Q5" s="34"/>
      <c r="R5" s="34">
        <v>7250</v>
      </c>
      <c r="S5" s="34">
        <f t="shared" si="1"/>
        <v>25662.799999999999</v>
      </c>
      <c r="T5" s="34">
        <v>150</v>
      </c>
      <c r="U5" s="35">
        <f>VLOOKUP(B5,'[2]Aug 26'!$B$4:$AK$99,36,0)</f>
        <v>23</v>
      </c>
      <c r="V5" s="16">
        <f>VLOOKUP(B5,'[2]Aug 26'!$B$4:$AL$85,37,0)</f>
        <v>1</v>
      </c>
      <c r="W5" s="16">
        <f t="shared" ref="W5:W38" si="13">U5+V5</f>
        <v>24</v>
      </c>
      <c r="X5" s="16">
        <f>VLOOKUP(B5,'[2]Aug 26'!$B$4:$AO$85,40,0)</f>
        <v>0</v>
      </c>
      <c r="Y5" s="15">
        <f t="shared" ref="Y5:Y38" si="14">ROUND(N5/26*W5,0)</f>
        <v>13869</v>
      </c>
      <c r="Z5" s="15">
        <f t="shared" ref="Z5:Z38" si="15">ROUND(O5/26*W5,0)</f>
        <v>2318</v>
      </c>
      <c r="AA5" s="15">
        <f t="shared" ref="AA5:AA38" si="16">ROUND(P5/26*W5,0)</f>
        <v>809</v>
      </c>
      <c r="AB5" s="15">
        <f t="shared" ref="AB5:AB44" si="17">ROUND(R5/26*W5,0)</f>
        <v>6692</v>
      </c>
      <c r="AC5" s="15">
        <v>0</v>
      </c>
      <c r="AD5" s="15">
        <f t="shared" ref="AD5:AD44" si="18">ROUND(SUM(Y5:AC5),0)</f>
        <v>23688</v>
      </c>
      <c r="AE5" s="15">
        <f t="shared" si="2"/>
        <v>0</v>
      </c>
      <c r="AF5" s="15">
        <f t="shared" ref="AF5:AF32" si="19">ROUND(AD5+AE5,0)</f>
        <v>23688</v>
      </c>
      <c r="AG5" s="17">
        <f t="shared" si="3"/>
        <v>1800</v>
      </c>
      <c r="AH5" s="17">
        <f t="shared" si="4"/>
        <v>178</v>
      </c>
      <c r="AI5" s="18">
        <f t="shared" si="5"/>
        <v>200</v>
      </c>
      <c r="AJ5" s="15">
        <v>0</v>
      </c>
      <c r="AK5" s="15">
        <f>W5*248</f>
        <v>5952</v>
      </c>
      <c r="AL5" s="15">
        <v>0</v>
      </c>
      <c r="AM5" s="15">
        <f t="shared" ref="AM5:AM32" si="20">ROUND(SUM(AG5:AK5),0)</f>
        <v>8130</v>
      </c>
      <c r="AN5" s="21">
        <f t="shared" si="6"/>
        <v>15558</v>
      </c>
      <c r="AO5" s="17">
        <f t="shared" si="7"/>
        <v>1950</v>
      </c>
      <c r="AP5" s="17">
        <f t="shared" si="8"/>
        <v>1348.3770999999999</v>
      </c>
      <c r="AQ5" s="17">
        <f t="shared" si="9"/>
        <v>769.86</v>
      </c>
      <c r="AR5" s="17">
        <v>0</v>
      </c>
      <c r="AS5" s="15">
        <f t="shared" si="10"/>
        <v>2131.92</v>
      </c>
      <c r="AT5" s="19">
        <f t="shared" ref="AT5:AT38" si="21">AF5+AO5+AP5+AQ5+AR5+AS5</f>
        <v>29888.157100000004</v>
      </c>
      <c r="AU5" s="18">
        <f t="shared" si="11"/>
        <v>5379.8682780000008</v>
      </c>
      <c r="AV5" s="19">
        <f t="shared" si="12"/>
        <v>35268.025378000006</v>
      </c>
    </row>
    <row r="6" spans="1:48" ht="15.5" customHeight="1" x14ac:dyDescent="0.35">
      <c r="A6" s="14">
        <v>3</v>
      </c>
      <c r="B6" s="24" t="s">
        <v>56</v>
      </c>
      <c r="C6" s="25" t="s">
        <v>57</v>
      </c>
      <c r="D6" s="26" t="s">
        <v>58</v>
      </c>
      <c r="E6" s="73">
        <f>VLOOKUP(B6,'[1]Gemshine Manpower DC&amp;T '!$B$3:$M$61,12,0)</f>
        <v>291706834900</v>
      </c>
      <c r="F6" s="27">
        <v>102352217195</v>
      </c>
      <c r="G6" s="28">
        <v>3318809361</v>
      </c>
      <c r="H6" s="28" t="s">
        <v>59</v>
      </c>
      <c r="I6" s="31" t="s">
        <v>54</v>
      </c>
      <c r="J6" s="56">
        <v>46143</v>
      </c>
      <c r="K6" s="29">
        <v>34828</v>
      </c>
      <c r="L6" s="30">
        <v>9022361503</v>
      </c>
      <c r="M6" s="28" t="s">
        <v>49</v>
      </c>
      <c r="N6" s="32">
        <v>14010</v>
      </c>
      <c r="O6" s="33">
        <v>2511</v>
      </c>
      <c r="P6" s="34">
        <f t="shared" si="0"/>
        <v>826.05000000000007</v>
      </c>
      <c r="Q6" s="34"/>
      <c r="R6" s="34">
        <v>3996</v>
      </c>
      <c r="S6" s="34">
        <f t="shared" si="1"/>
        <v>21343.05</v>
      </c>
      <c r="T6" s="34">
        <v>150</v>
      </c>
      <c r="U6" s="35">
        <f>VLOOKUP(B6,'[2]Aug 26'!$B$4:$AK$99,36,0)</f>
        <v>23</v>
      </c>
      <c r="V6" s="16">
        <f>VLOOKUP(B6,'[2]Aug 26'!$B$4:$AL$85,37,0)</f>
        <v>1</v>
      </c>
      <c r="W6" s="16">
        <f t="shared" si="13"/>
        <v>24</v>
      </c>
      <c r="X6" s="16">
        <f>VLOOKUP(B6,'[2]Aug 26'!$B$4:$AO$85,40,0)</f>
        <v>0</v>
      </c>
      <c r="Y6" s="15">
        <f t="shared" si="14"/>
        <v>12932</v>
      </c>
      <c r="Z6" s="15">
        <f t="shared" si="15"/>
        <v>2318</v>
      </c>
      <c r="AA6" s="15">
        <f t="shared" si="16"/>
        <v>763</v>
      </c>
      <c r="AB6" s="15">
        <f t="shared" si="17"/>
        <v>3689</v>
      </c>
      <c r="AC6" s="15">
        <v>0</v>
      </c>
      <c r="AD6" s="15">
        <f t="shared" si="18"/>
        <v>19702</v>
      </c>
      <c r="AE6" s="15">
        <f t="shared" si="2"/>
        <v>0</v>
      </c>
      <c r="AF6" s="15">
        <f t="shared" si="19"/>
        <v>19702</v>
      </c>
      <c r="AG6" s="17">
        <f t="shared" si="3"/>
        <v>1800</v>
      </c>
      <c r="AH6" s="17">
        <f t="shared" si="4"/>
        <v>148</v>
      </c>
      <c r="AI6" s="18">
        <f t="shared" si="5"/>
        <v>200</v>
      </c>
      <c r="AJ6" s="15">
        <v>0</v>
      </c>
      <c r="AK6" s="15">
        <f>W6*155</f>
        <v>3720</v>
      </c>
      <c r="AL6" s="15">
        <v>0</v>
      </c>
      <c r="AM6" s="15">
        <f t="shared" si="20"/>
        <v>5868</v>
      </c>
      <c r="AN6" s="21">
        <f t="shared" si="6"/>
        <v>13834</v>
      </c>
      <c r="AO6" s="17">
        <f t="shared" si="7"/>
        <v>1950</v>
      </c>
      <c r="AP6" s="17">
        <f t="shared" si="8"/>
        <v>1270.325</v>
      </c>
      <c r="AQ6" s="17">
        <f t="shared" si="9"/>
        <v>640.31500000000005</v>
      </c>
      <c r="AR6" s="17">
        <v>0</v>
      </c>
      <c r="AS6" s="15">
        <f t="shared" si="10"/>
        <v>1773.1799999999998</v>
      </c>
      <c r="AT6" s="19">
        <f t="shared" si="21"/>
        <v>25335.82</v>
      </c>
      <c r="AU6" s="18">
        <f t="shared" si="11"/>
        <v>4560.4475999999995</v>
      </c>
      <c r="AV6" s="19">
        <f t="shared" si="12"/>
        <v>29896.267599999999</v>
      </c>
    </row>
    <row r="7" spans="1:48" ht="15.5" customHeight="1" x14ac:dyDescent="0.35">
      <c r="A7" s="14">
        <v>4</v>
      </c>
      <c r="B7" s="24" t="s">
        <v>60</v>
      </c>
      <c r="C7" s="25" t="s">
        <v>61</v>
      </c>
      <c r="D7" s="26" t="s">
        <v>62</v>
      </c>
      <c r="E7" s="73">
        <f>VLOOKUP(B7,'[1]Gemshine Manpower DC&amp;T '!$B$3:$M$61,12,0)</f>
        <v>349535231497</v>
      </c>
      <c r="F7" s="27">
        <v>101603122080</v>
      </c>
      <c r="G7" s="28">
        <v>3312026878</v>
      </c>
      <c r="H7" s="28" t="s">
        <v>63</v>
      </c>
      <c r="I7" s="31" t="s">
        <v>54</v>
      </c>
      <c r="J7" s="56">
        <v>46143</v>
      </c>
      <c r="K7" s="29">
        <v>33824</v>
      </c>
      <c r="L7" s="30">
        <v>8010974054</v>
      </c>
      <c r="M7" s="28" t="s">
        <v>55</v>
      </c>
      <c r="N7" s="32">
        <v>15025</v>
      </c>
      <c r="O7" s="33">
        <v>2511</v>
      </c>
      <c r="P7" s="34">
        <f t="shared" si="0"/>
        <v>876.80000000000007</v>
      </c>
      <c r="Q7" s="34"/>
      <c r="R7" s="34">
        <v>7250</v>
      </c>
      <c r="S7" s="34">
        <f t="shared" si="1"/>
        <v>25662.799999999999</v>
      </c>
      <c r="T7" s="34">
        <v>150</v>
      </c>
      <c r="U7" s="35">
        <f>VLOOKUP(B7,'[2]Aug 26'!$B$4:$AK$99,36,0)</f>
        <v>25</v>
      </c>
      <c r="V7" s="16">
        <f>VLOOKUP(B7,'[2]Aug 26'!$B$4:$AL$85,37,0)</f>
        <v>1</v>
      </c>
      <c r="W7" s="16">
        <f t="shared" si="13"/>
        <v>26</v>
      </c>
      <c r="X7" s="16">
        <f>VLOOKUP(B7,'[2]Aug 26'!$B$4:$AO$85,40,0)</f>
        <v>3</v>
      </c>
      <c r="Y7" s="15">
        <f t="shared" si="14"/>
        <v>15025</v>
      </c>
      <c r="Z7" s="15">
        <f t="shared" si="15"/>
        <v>2511</v>
      </c>
      <c r="AA7" s="15">
        <f t="shared" si="16"/>
        <v>877</v>
      </c>
      <c r="AB7" s="15">
        <f t="shared" si="17"/>
        <v>7250</v>
      </c>
      <c r="AC7" s="15">
        <v>0</v>
      </c>
      <c r="AD7" s="15">
        <f t="shared" si="18"/>
        <v>25663</v>
      </c>
      <c r="AE7" s="15">
        <f t="shared" si="2"/>
        <v>450</v>
      </c>
      <c r="AF7" s="15">
        <f t="shared" si="19"/>
        <v>26113</v>
      </c>
      <c r="AG7" s="17">
        <f t="shared" si="3"/>
        <v>1800</v>
      </c>
      <c r="AH7" s="17">
        <f t="shared" si="4"/>
        <v>196</v>
      </c>
      <c r="AI7" s="18">
        <f t="shared" si="5"/>
        <v>200</v>
      </c>
      <c r="AJ7" s="15">
        <v>0</v>
      </c>
      <c r="AK7" s="15">
        <f>W7*248</f>
        <v>6448</v>
      </c>
      <c r="AL7" s="15">
        <v>0</v>
      </c>
      <c r="AM7" s="15">
        <f t="shared" si="20"/>
        <v>8644</v>
      </c>
      <c r="AN7" s="21">
        <f t="shared" si="6"/>
        <v>17469</v>
      </c>
      <c r="AO7" s="17">
        <f t="shared" si="7"/>
        <v>1950</v>
      </c>
      <c r="AP7" s="17">
        <f t="shared" si="8"/>
        <v>1460.7488000000001</v>
      </c>
      <c r="AQ7" s="17">
        <f t="shared" si="9"/>
        <v>848.67250000000001</v>
      </c>
      <c r="AR7" s="17">
        <v>0</v>
      </c>
      <c r="AS7" s="15">
        <f t="shared" si="10"/>
        <v>2350.17</v>
      </c>
      <c r="AT7" s="19">
        <f t="shared" si="21"/>
        <v>32722.5913</v>
      </c>
      <c r="AU7" s="18">
        <f t="shared" si="11"/>
        <v>5890.0664339999994</v>
      </c>
      <c r="AV7" s="19">
        <f t="shared" si="12"/>
        <v>38612.657734</v>
      </c>
    </row>
    <row r="8" spans="1:48" ht="15.5" customHeight="1" x14ac:dyDescent="0.35">
      <c r="A8" s="14">
        <v>5</v>
      </c>
      <c r="B8" s="24" t="s">
        <v>64</v>
      </c>
      <c r="C8" s="25" t="s">
        <v>65</v>
      </c>
      <c r="D8" s="26" t="s">
        <v>66</v>
      </c>
      <c r="E8" s="73">
        <f>VLOOKUP(B8,'[1]Gemshine Manpower DC&amp;T '!$B$3:$M$61,12,0)</f>
        <v>411856181818</v>
      </c>
      <c r="F8" s="27">
        <v>101773275596</v>
      </c>
      <c r="G8" s="28">
        <v>3314478456</v>
      </c>
      <c r="H8" s="28" t="s">
        <v>67</v>
      </c>
      <c r="I8" s="31" t="s">
        <v>54</v>
      </c>
      <c r="J8" s="56">
        <v>46143</v>
      </c>
      <c r="K8" s="29">
        <v>35582</v>
      </c>
      <c r="L8" s="30">
        <v>9699328565</v>
      </c>
      <c r="M8" s="28" t="s">
        <v>170</v>
      </c>
      <c r="N8" s="32">
        <v>14010</v>
      </c>
      <c r="O8" s="33">
        <v>2511</v>
      </c>
      <c r="P8" s="34">
        <f t="shared" si="0"/>
        <v>826.05000000000007</v>
      </c>
      <c r="Q8" s="34"/>
      <c r="R8" s="34">
        <v>3996</v>
      </c>
      <c r="S8" s="34">
        <f t="shared" si="1"/>
        <v>21343.05</v>
      </c>
      <c r="T8" s="34">
        <v>150</v>
      </c>
      <c r="U8" s="35">
        <f>VLOOKUP(B8,'[2]Aug 26'!$B$4:$AK$99,36,0)</f>
        <v>22</v>
      </c>
      <c r="V8" s="16">
        <f>VLOOKUP(B8,'[2]Aug 26'!$B$4:$AL$85,37,0)</f>
        <v>1</v>
      </c>
      <c r="W8" s="16">
        <f t="shared" si="13"/>
        <v>23</v>
      </c>
      <c r="X8" s="16">
        <f>VLOOKUP(B8,'[2]Aug 26'!$B$4:$AO$85,40,0)</f>
        <v>0</v>
      </c>
      <c r="Y8" s="15">
        <f t="shared" si="14"/>
        <v>12393</v>
      </c>
      <c r="Z8" s="15">
        <f t="shared" si="15"/>
        <v>2221</v>
      </c>
      <c r="AA8" s="15">
        <f t="shared" si="16"/>
        <v>731</v>
      </c>
      <c r="AB8" s="15">
        <f t="shared" si="17"/>
        <v>3535</v>
      </c>
      <c r="AC8" s="15">
        <v>0</v>
      </c>
      <c r="AD8" s="15">
        <f t="shared" si="18"/>
        <v>18880</v>
      </c>
      <c r="AE8" s="15">
        <f t="shared" si="2"/>
        <v>0</v>
      </c>
      <c r="AF8" s="15">
        <f t="shared" si="19"/>
        <v>18880</v>
      </c>
      <c r="AG8" s="17">
        <f t="shared" si="3"/>
        <v>1753.68</v>
      </c>
      <c r="AH8" s="17">
        <f t="shared" si="4"/>
        <v>142</v>
      </c>
      <c r="AI8" s="18">
        <f t="shared" si="5"/>
        <v>200</v>
      </c>
      <c r="AJ8" s="15">
        <v>0</v>
      </c>
      <c r="AK8" s="15">
        <f t="shared" ref="AK8:AK10" si="22">W8*155</f>
        <v>3565</v>
      </c>
      <c r="AL8" s="15">
        <v>0</v>
      </c>
      <c r="AM8" s="15">
        <f t="shared" si="20"/>
        <v>5661</v>
      </c>
      <c r="AN8" s="21">
        <f t="shared" si="6"/>
        <v>13219</v>
      </c>
      <c r="AO8" s="17">
        <f t="shared" si="7"/>
        <v>1899.82</v>
      </c>
      <c r="AP8" s="17">
        <f t="shared" si="8"/>
        <v>1217.3462</v>
      </c>
      <c r="AQ8" s="17">
        <f t="shared" si="9"/>
        <v>613.6</v>
      </c>
      <c r="AR8" s="17">
        <v>0</v>
      </c>
      <c r="AS8" s="15">
        <f t="shared" si="10"/>
        <v>1699.2</v>
      </c>
      <c r="AT8" s="19">
        <f t="shared" si="21"/>
        <v>24309.966199999999</v>
      </c>
      <c r="AU8" s="18">
        <f t="shared" si="11"/>
        <v>4375.7939159999996</v>
      </c>
      <c r="AV8" s="19">
        <f t="shared" si="12"/>
        <v>28685.760115999998</v>
      </c>
    </row>
    <row r="9" spans="1:48" ht="15.5" customHeight="1" x14ac:dyDescent="0.35">
      <c r="A9" s="14">
        <v>6</v>
      </c>
      <c r="B9" s="24" t="s">
        <v>68</v>
      </c>
      <c r="C9" s="25" t="s">
        <v>69</v>
      </c>
      <c r="D9" s="26" t="s">
        <v>70</v>
      </c>
      <c r="E9" s="73">
        <f>VLOOKUP(B9,'[1]Gemshine Manpower DC&amp;T '!$B$3:$M$61,12,0)</f>
        <v>793715214497</v>
      </c>
      <c r="F9" s="27">
        <v>102351156432</v>
      </c>
      <c r="G9" s="28">
        <v>3318809299</v>
      </c>
      <c r="H9" s="28" t="s">
        <v>71</v>
      </c>
      <c r="I9" s="31" t="s">
        <v>54</v>
      </c>
      <c r="J9" s="56">
        <v>46164</v>
      </c>
      <c r="K9" s="29">
        <v>39479</v>
      </c>
      <c r="L9" s="30">
        <v>7709338472</v>
      </c>
      <c r="M9" s="28" t="s">
        <v>49</v>
      </c>
      <c r="N9" s="32">
        <v>14010</v>
      </c>
      <c r="O9" s="33">
        <v>2511</v>
      </c>
      <c r="P9" s="34">
        <f t="shared" si="0"/>
        <v>826.05000000000007</v>
      </c>
      <c r="Q9" s="34"/>
      <c r="R9" s="34">
        <v>3996</v>
      </c>
      <c r="S9" s="34">
        <f t="shared" si="1"/>
        <v>21343.05</v>
      </c>
      <c r="T9" s="34">
        <v>150</v>
      </c>
      <c r="U9" s="35">
        <f>VLOOKUP(B9,'[2]Aug 26'!$B$4:$AK$99,36,0)</f>
        <v>14</v>
      </c>
      <c r="V9" s="16">
        <f>VLOOKUP(B9,'[2]Aug 26'!$B$4:$AL$85,37,0)</f>
        <v>1</v>
      </c>
      <c r="W9" s="16">
        <f t="shared" si="13"/>
        <v>15</v>
      </c>
      <c r="X9" s="16">
        <f>VLOOKUP(B9,'[2]Aug 26'!$B$4:$AO$85,40,0)</f>
        <v>0</v>
      </c>
      <c r="Y9" s="15">
        <f t="shared" si="14"/>
        <v>8083</v>
      </c>
      <c r="Z9" s="15">
        <f t="shared" si="15"/>
        <v>1449</v>
      </c>
      <c r="AA9" s="15">
        <f t="shared" si="16"/>
        <v>477</v>
      </c>
      <c r="AB9" s="15">
        <f t="shared" si="17"/>
        <v>2305</v>
      </c>
      <c r="AC9" s="15">
        <v>0</v>
      </c>
      <c r="AD9" s="15">
        <f t="shared" si="18"/>
        <v>12314</v>
      </c>
      <c r="AE9" s="15">
        <f t="shared" si="2"/>
        <v>0</v>
      </c>
      <c r="AF9" s="15">
        <f t="shared" si="19"/>
        <v>12314</v>
      </c>
      <c r="AG9" s="17">
        <f t="shared" si="3"/>
        <v>1143.8399999999999</v>
      </c>
      <c r="AH9" s="17">
        <f t="shared" si="4"/>
        <v>92</v>
      </c>
      <c r="AI9" s="18">
        <f t="shared" si="5"/>
        <v>200</v>
      </c>
      <c r="AJ9" s="15">
        <v>0</v>
      </c>
      <c r="AK9" s="15">
        <f t="shared" si="22"/>
        <v>2325</v>
      </c>
      <c r="AL9" s="15">
        <v>0</v>
      </c>
      <c r="AM9" s="15">
        <f t="shared" si="20"/>
        <v>3761</v>
      </c>
      <c r="AN9" s="21">
        <f t="shared" si="6"/>
        <v>8553</v>
      </c>
      <c r="AO9" s="17">
        <f t="shared" si="7"/>
        <v>1239.1600000000001</v>
      </c>
      <c r="AP9" s="17">
        <f t="shared" si="8"/>
        <v>794.01559999999995</v>
      </c>
      <c r="AQ9" s="17">
        <f t="shared" si="9"/>
        <v>400.20499999999998</v>
      </c>
      <c r="AR9" s="17">
        <v>0</v>
      </c>
      <c r="AS9" s="15">
        <f t="shared" si="10"/>
        <v>1108.26</v>
      </c>
      <c r="AT9" s="19">
        <f t="shared" si="21"/>
        <v>15855.640600000001</v>
      </c>
      <c r="AU9" s="18">
        <f t="shared" si="11"/>
        <v>2854.015308</v>
      </c>
      <c r="AV9" s="19">
        <f t="shared" si="12"/>
        <v>18709.655908000001</v>
      </c>
    </row>
    <row r="10" spans="1:48" ht="15.5" customHeight="1" x14ac:dyDescent="0.35">
      <c r="A10" s="14">
        <v>7</v>
      </c>
      <c r="B10" s="24" t="s">
        <v>72</v>
      </c>
      <c r="C10" s="25" t="s">
        <v>73</v>
      </c>
      <c r="D10" s="26" t="s">
        <v>74</v>
      </c>
      <c r="E10" s="73">
        <f>VLOOKUP(B10,'[1]Gemshine Manpower DC&amp;T '!$B$3:$M$61,12,0)</f>
        <v>479839519209</v>
      </c>
      <c r="F10" s="27">
        <v>100149260139</v>
      </c>
      <c r="G10" s="28">
        <v>3316963335</v>
      </c>
      <c r="H10" s="28" t="s">
        <v>75</v>
      </c>
      <c r="I10" s="31" t="s">
        <v>54</v>
      </c>
      <c r="J10" s="56">
        <v>46164</v>
      </c>
      <c r="K10" s="29">
        <v>27289</v>
      </c>
      <c r="L10" s="30">
        <v>9730030293</v>
      </c>
      <c r="M10" s="28" t="s">
        <v>49</v>
      </c>
      <c r="N10" s="32">
        <v>14010</v>
      </c>
      <c r="O10" s="33">
        <v>2511</v>
      </c>
      <c r="P10" s="34">
        <f t="shared" si="0"/>
        <v>826.05000000000007</v>
      </c>
      <c r="Q10" s="34"/>
      <c r="R10" s="34">
        <v>3996</v>
      </c>
      <c r="S10" s="34">
        <f t="shared" si="1"/>
        <v>21343.05</v>
      </c>
      <c r="T10" s="34">
        <v>150</v>
      </c>
      <c r="U10" s="35">
        <f>VLOOKUP(B10,'[2]Aug 26'!$B$4:$AK$99,36,0)</f>
        <v>25</v>
      </c>
      <c r="V10" s="16">
        <f>VLOOKUP(B10,'[2]Aug 26'!$B$4:$AL$85,37,0)</f>
        <v>1</v>
      </c>
      <c r="W10" s="16">
        <f t="shared" si="13"/>
        <v>26</v>
      </c>
      <c r="X10" s="16">
        <f>VLOOKUP(B10,'[2]Aug 26'!$B$4:$AO$85,40,0)</f>
        <v>0</v>
      </c>
      <c r="Y10" s="15">
        <f t="shared" si="14"/>
        <v>14010</v>
      </c>
      <c r="Z10" s="15">
        <f t="shared" si="15"/>
        <v>2511</v>
      </c>
      <c r="AA10" s="15">
        <f t="shared" si="16"/>
        <v>826</v>
      </c>
      <c r="AB10" s="15">
        <f t="shared" si="17"/>
        <v>3996</v>
      </c>
      <c r="AC10" s="15">
        <v>0</v>
      </c>
      <c r="AD10" s="15">
        <f t="shared" si="18"/>
        <v>21343</v>
      </c>
      <c r="AE10" s="15">
        <f t="shared" si="2"/>
        <v>0</v>
      </c>
      <c r="AF10" s="15">
        <f t="shared" si="19"/>
        <v>21343</v>
      </c>
      <c r="AG10" s="17">
        <f t="shared" si="3"/>
        <v>1800</v>
      </c>
      <c r="AH10" s="17">
        <f t="shared" si="4"/>
        <v>160</v>
      </c>
      <c r="AI10" s="18">
        <f t="shared" si="5"/>
        <v>200</v>
      </c>
      <c r="AJ10" s="15">
        <v>0</v>
      </c>
      <c r="AK10" s="15">
        <f t="shared" si="22"/>
        <v>4030</v>
      </c>
      <c r="AL10" s="15">
        <v>0</v>
      </c>
      <c r="AM10" s="15">
        <f t="shared" si="20"/>
        <v>6190</v>
      </c>
      <c r="AN10" s="21">
        <f t="shared" si="6"/>
        <v>15153</v>
      </c>
      <c r="AO10" s="17">
        <f t="shared" si="7"/>
        <v>1950</v>
      </c>
      <c r="AP10" s="17">
        <f t="shared" si="8"/>
        <v>1376.1993</v>
      </c>
      <c r="AQ10" s="17">
        <f t="shared" si="9"/>
        <v>693.64750000000004</v>
      </c>
      <c r="AR10" s="17">
        <v>0</v>
      </c>
      <c r="AS10" s="15">
        <f t="shared" si="10"/>
        <v>1920.87</v>
      </c>
      <c r="AT10" s="19">
        <f t="shared" si="21"/>
        <v>27283.716799999998</v>
      </c>
      <c r="AU10" s="18">
        <f t="shared" si="11"/>
        <v>4911.0690239999994</v>
      </c>
      <c r="AV10" s="19">
        <f t="shared" si="12"/>
        <v>32194.785823999999</v>
      </c>
    </row>
    <row r="11" spans="1:48" ht="15.5" customHeight="1" x14ac:dyDescent="0.35">
      <c r="A11" s="14">
        <v>8</v>
      </c>
      <c r="B11" s="24" t="s">
        <v>76</v>
      </c>
      <c r="C11" s="25" t="s">
        <v>77</v>
      </c>
      <c r="D11" s="26" t="s">
        <v>78</v>
      </c>
      <c r="E11" s="73">
        <f>VLOOKUP(B11,'[1]Gemshine Manpower DC&amp;T '!$B$3:$M$61,12,0)</f>
        <v>412238259115</v>
      </c>
      <c r="F11" s="27">
        <v>101983285187</v>
      </c>
      <c r="G11" s="28">
        <v>3315685360</v>
      </c>
      <c r="H11" s="28" t="s">
        <v>79</v>
      </c>
      <c r="I11" s="31" t="s">
        <v>54</v>
      </c>
      <c r="J11" s="56">
        <v>46162</v>
      </c>
      <c r="K11" s="29">
        <v>36340</v>
      </c>
      <c r="L11" s="30">
        <v>9623552766</v>
      </c>
      <c r="M11" s="28" t="s">
        <v>80</v>
      </c>
      <c r="N11" s="32">
        <v>15025</v>
      </c>
      <c r="O11" s="33">
        <v>2511</v>
      </c>
      <c r="P11" s="34">
        <f t="shared" si="0"/>
        <v>876.80000000000007</v>
      </c>
      <c r="Q11" s="34"/>
      <c r="R11" s="34">
        <v>7250</v>
      </c>
      <c r="S11" s="34">
        <f t="shared" si="1"/>
        <v>25662.799999999999</v>
      </c>
      <c r="T11" s="34">
        <v>150</v>
      </c>
      <c r="U11" s="35">
        <f>VLOOKUP(B11,'[2]Aug 26'!$B$4:$AK$99,36,0)</f>
        <v>23</v>
      </c>
      <c r="V11" s="16">
        <f>VLOOKUP(B11,'[2]Aug 26'!$B$4:$AL$85,37,0)</f>
        <v>1</v>
      </c>
      <c r="W11" s="16">
        <f t="shared" si="13"/>
        <v>24</v>
      </c>
      <c r="X11" s="16">
        <f>VLOOKUP(B11,'[2]Aug 26'!$B$4:$AO$85,40,0)</f>
        <v>19</v>
      </c>
      <c r="Y11" s="15">
        <f t="shared" si="14"/>
        <v>13869</v>
      </c>
      <c r="Z11" s="15">
        <f t="shared" si="15"/>
        <v>2318</v>
      </c>
      <c r="AA11" s="15">
        <f t="shared" si="16"/>
        <v>809</v>
      </c>
      <c r="AB11" s="15">
        <f t="shared" si="17"/>
        <v>6692</v>
      </c>
      <c r="AC11" s="15">
        <v>0</v>
      </c>
      <c r="AD11" s="15">
        <f t="shared" si="18"/>
        <v>23688</v>
      </c>
      <c r="AE11" s="15">
        <f t="shared" si="2"/>
        <v>2850</v>
      </c>
      <c r="AF11" s="15">
        <f t="shared" si="19"/>
        <v>26538</v>
      </c>
      <c r="AG11" s="17">
        <f t="shared" si="3"/>
        <v>1800</v>
      </c>
      <c r="AH11" s="17">
        <f t="shared" si="4"/>
        <v>199</v>
      </c>
      <c r="AI11" s="18">
        <f t="shared" si="5"/>
        <v>200</v>
      </c>
      <c r="AJ11" s="15">
        <v>0</v>
      </c>
      <c r="AK11" s="15">
        <f>W11*208</f>
        <v>4992</v>
      </c>
      <c r="AL11" s="15">
        <v>0</v>
      </c>
      <c r="AM11" s="15">
        <f t="shared" si="20"/>
        <v>7191</v>
      </c>
      <c r="AN11" s="21">
        <f t="shared" si="6"/>
        <v>19347</v>
      </c>
      <c r="AO11" s="17">
        <f t="shared" si="7"/>
        <v>1950</v>
      </c>
      <c r="AP11" s="17">
        <f t="shared" si="8"/>
        <v>1348.3770999999999</v>
      </c>
      <c r="AQ11" s="17">
        <f t="shared" si="9"/>
        <v>862.48500000000001</v>
      </c>
      <c r="AR11" s="17">
        <v>0</v>
      </c>
      <c r="AS11" s="15">
        <f t="shared" si="10"/>
        <v>2388.42</v>
      </c>
      <c r="AT11" s="19">
        <f t="shared" si="21"/>
        <v>33087.282100000004</v>
      </c>
      <c r="AU11" s="18">
        <f t="shared" si="11"/>
        <v>5955.7107780000006</v>
      </c>
      <c r="AV11" s="19">
        <f t="shared" si="12"/>
        <v>39042.992878000005</v>
      </c>
    </row>
    <row r="12" spans="1:48" ht="15.5" customHeight="1" x14ac:dyDescent="0.35">
      <c r="A12" s="14">
        <v>9</v>
      </c>
      <c r="B12" s="24" t="s">
        <v>81</v>
      </c>
      <c r="C12" s="25" t="s">
        <v>82</v>
      </c>
      <c r="D12" s="26" t="s">
        <v>83</v>
      </c>
      <c r="E12" s="73">
        <f>VLOOKUP(B12,'[1]Gemshine Manpower DC&amp;T '!$B$3:$M$61,12,0)</f>
        <v>913862949225</v>
      </c>
      <c r="F12" s="27">
        <v>101444646383</v>
      </c>
      <c r="G12" s="28">
        <v>3312190250</v>
      </c>
      <c r="H12" s="28" t="s">
        <v>84</v>
      </c>
      <c r="I12" s="31" t="s">
        <v>54</v>
      </c>
      <c r="J12" s="56">
        <v>46168</v>
      </c>
      <c r="K12" s="29">
        <v>35172</v>
      </c>
      <c r="L12" s="30">
        <v>7448174109</v>
      </c>
      <c r="M12" s="28" t="s">
        <v>85</v>
      </c>
      <c r="N12" s="32">
        <v>16410</v>
      </c>
      <c r="O12" s="33">
        <v>2511</v>
      </c>
      <c r="P12" s="34">
        <f t="shared" si="0"/>
        <v>946.05000000000007</v>
      </c>
      <c r="Q12" s="34"/>
      <c r="R12" s="34">
        <v>8246</v>
      </c>
      <c r="S12" s="34">
        <f t="shared" si="1"/>
        <v>28113.05</v>
      </c>
      <c r="T12" s="34">
        <v>160</v>
      </c>
      <c r="U12" s="35">
        <f>VLOOKUP(B12,'[2]Aug 26'!$B$4:$AK$99,36,0)</f>
        <v>24</v>
      </c>
      <c r="V12" s="16">
        <f>VLOOKUP(B12,'[2]Aug 26'!$B$4:$AL$85,37,0)</f>
        <v>1</v>
      </c>
      <c r="W12" s="16">
        <f t="shared" si="13"/>
        <v>25</v>
      </c>
      <c r="X12" s="16">
        <f>VLOOKUP(B12,'[2]Aug 26'!$B$4:$AO$85,40,0)</f>
        <v>4</v>
      </c>
      <c r="Y12" s="15">
        <f t="shared" si="14"/>
        <v>15779</v>
      </c>
      <c r="Z12" s="15">
        <f t="shared" si="15"/>
        <v>2414</v>
      </c>
      <c r="AA12" s="15">
        <f t="shared" si="16"/>
        <v>910</v>
      </c>
      <c r="AB12" s="15">
        <f t="shared" si="17"/>
        <v>7929</v>
      </c>
      <c r="AC12" s="15">
        <v>0</v>
      </c>
      <c r="AD12" s="15">
        <f t="shared" si="18"/>
        <v>27032</v>
      </c>
      <c r="AE12" s="15">
        <f t="shared" si="2"/>
        <v>640</v>
      </c>
      <c r="AF12" s="15">
        <f>ROUND(AD12+AE12,0)</f>
        <v>27672</v>
      </c>
      <c r="AG12" s="17">
        <f t="shared" si="3"/>
        <v>1800</v>
      </c>
      <c r="AH12" s="17">
        <f t="shared" si="4"/>
        <v>208</v>
      </c>
      <c r="AI12" s="18">
        <f t="shared" si="5"/>
        <v>200</v>
      </c>
      <c r="AJ12" s="15">
        <v>0</v>
      </c>
      <c r="AK12" s="15">
        <f>W12*34</f>
        <v>850</v>
      </c>
      <c r="AL12" s="15">
        <v>0</v>
      </c>
      <c r="AM12" s="15">
        <f t="shared" si="20"/>
        <v>3058</v>
      </c>
      <c r="AN12" s="21">
        <f t="shared" si="6"/>
        <v>24614</v>
      </c>
      <c r="AO12" s="17">
        <f t="shared" si="7"/>
        <v>1950</v>
      </c>
      <c r="AP12" s="17">
        <f t="shared" si="8"/>
        <v>1515.4769000000001</v>
      </c>
      <c r="AQ12" s="17">
        <f t="shared" si="9"/>
        <v>899.34</v>
      </c>
      <c r="AR12" s="17">
        <v>0</v>
      </c>
      <c r="AS12" s="15">
        <f t="shared" si="10"/>
        <v>2490.48</v>
      </c>
      <c r="AT12" s="19">
        <f t="shared" si="21"/>
        <v>34527.296900000001</v>
      </c>
      <c r="AU12" s="18">
        <f t="shared" si="11"/>
        <v>6214.913442</v>
      </c>
      <c r="AV12" s="19">
        <f t="shared" si="12"/>
        <v>40742.210341999998</v>
      </c>
    </row>
    <row r="13" spans="1:48" ht="15.5" customHeight="1" x14ac:dyDescent="0.35">
      <c r="A13" s="14">
        <v>10</v>
      </c>
      <c r="B13" s="24" t="s">
        <v>86</v>
      </c>
      <c r="C13" s="25" t="s">
        <v>87</v>
      </c>
      <c r="D13" s="26" t="s">
        <v>88</v>
      </c>
      <c r="E13" s="73">
        <f>VLOOKUP(B13,'[1]Gemshine Manpower DC&amp;T '!$B$3:$M$61,12,0)</f>
        <v>983582966387</v>
      </c>
      <c r="F13" s="27">
        <v>101417569316</v>
      </c>
      <c r="G13" s="28">
        <v>3311901495</v>
      </c>
      <c r="H13" s="28" t="s">
        <v>89</v>
      </c>
      <c r="I13" s="31" t="s">
        <v>54</v>
      </c>
      <c r="J13" s="56">
        <v>46168</v>
      </c>
      <c r="K13" s="29">
        <v>36040</v>
      </c>
      <c r="L13" s="30">
        <v>9970992824</v>
      </c>
      <c r="M13" s="28" t="s">
        <v>85</v>
      </c>
      <c r="N13" s="32">
        <v>16410</v>
      </c>
      <c r="O13" s="33">
        <v>2511</v>
      </c>
      <c r="P13" s="34">
        <f t="shared" si="0"/>
        <v>946.05000000000007</v>
      </c>
      <c r="Q13" s="34"/>
      <c r="R13" s="34">
        <v>8246</v>
      </c>
      <c r="S13" s="34">
        <f t="shared" si="1"/>
        <v>28113.05</v>
      </c>
      <c r="T13" s="34">
        <v>160</v>
      </c>
      <c r="U13" s="35">
        <f>VLOOKUP(B13,'[2]Aug 26'!$B$4:$AK$99,36,0)</f>
        <v>27</v>
      </c>
      <c r="V13" s="16">
        <f>VLOOKUP(B13,'[2]Aug 26'!$B$4:$AL$85,37,0)</f>
        <v>0</v>
      </c>
      <c r="W13" s="16">
        <f t="shared" si="13"/>
        <v>27</v>
      </c>
      <c r="X13" s="16">
        <f>VLOOKUP(B13,'[2]Aug 26'!$B$4:$AO$85,40,0)</f>
        <v>17</v>
      </c>
      <c r="Y13" s="15">
        <f t="shared" si="14"/>
        <v>17041</v>
      </c>
      <c r="Z13" s="15">
        <f t="shared" si="15"/>
        <v>2608</v>
      </c>
      <c r="AA13" s="15">
        <f t="shared" si="16"/>
        <v>982</v>
      </c>
      <c r="AB13" s="15">
        <f t="shared" si="17"/>
        <v>8563</v>
      </c>
      <c r="AC13" s="15">
        <v>0</v>
      </c>
      <c r="AD13" s="15">
        <f t="shared" si="18"/>
        <v>29194</v>
      </c>
      <c r="AE13" s="15">
        <f t="shared" si="2"/>
        <v>2720</v>
      </c>
      <c r="AF13" s="15">
        <f t="shared" si="19"/>
        <v>31914</v>
      </c>
      <c r="AG13" s="17">
        <f t="shared" si="3"/>
        <v>1800</v>
      </c>
      <c r="AH13" s="17">
        <f t="shared" si="4"/>
        <v>239</v>
      </c>
      <c r="AI13" s="18">
        <f t="shared" si="5"/>
        <v>200</v>
      </c>
      <c r="AJ13" s="15">
        <v>0</v>
      </c>
      <c r="AK13" s="15">
        <f>W13*34</f>
        <v>918</v>
      </c>
      <c r="AL13" s="15">
        <v>0</v>
      </c>
      <c r="AM13" s="15">
        <f t="shared" si="20"/>
        <v>3157</v>
      </c>
      <c r="AN13" s="21">
        <f t="shared" si="6"/>
        <v>28757</v>
      </c>
      <c r="AO13" s="17">
        <f t="shared" si="7"/>
        <v>1950</v>
      </c>
      <c r="AP13" s="17">
        <f t="shared" si="8"/>
        <v>1636.7617</v>
      </c>
      <c r="AQ13" s="17">
        <f>(AF13)*3.25/100</f>
        <v>1037.2049999999999</v>
      </c>
      <c r="AR13" s="17">
        <v>0</v>
      </c>
      <c r="AS13" s="15">
        <f t="shared" si="10"/>
        <v>2872.2599999999998</v>
      </c>
      <c r="AT13" s="19">
        <f t="shared" si="21"/>
        <v>39410.226700000007</v>
      </c>
      <c r="AU13" s="18">
        <f t="shared" si="11"/>
        <v>7093.8408060000011</v>
      </c>
      <c r="AV13" s="19">
        <f t="shared" si="12"/>
        <v>46504.067506000007</v>
      </c>
    </row>
    <row r="14" spans="1:48" ht="15.5" customHeight="1" x14ac:dyDescent="0.35">
      <c r="A14" s="14">
        <v>11</v>
      </c>
      <c r="B14" s="24" t="s">
        <v>90</v>
      </c>
      <c r="C14" s="25" t="s">
        <v>91</v>
      </c>
      <c r="D14" s="26" t="s">
        <v>92</v>
      </c>
      <c r="E14" s="73">
        <f>VLOOKUP(B14,'[1]Gemshine Manpower DC&amp;T '!$B$3:$M$61,12,0)</f>
        <v>396659714743</v>
      </c>
      <c r="F14" s="27">
        <v>101390849767</v>
      </c>
      <c r="G14" s="28">
        <v>3314441847</v>
      </c>
      <c r="H14" s="28" t="s">
        <v>93</v>
      </c>
      <c r="I14" s="31" t="s">
        <v>54</v>
      </c>
      <c r="J14" s="56">
        <v>46171</v>
      </c>
      <c r="K14" s="29">
        <v>34285</v>
      </c>
      <c r="L14" s="30">
        <v>9096454397</v>
      </c>
      <c r="M14" s="28" t="s">
        <v>85</v>
      </c>
      <c r="N14" s="32">
        <v>16410</v>
      </c>
      <c r="O14" s="33">
        <v>2511</v>
      </c>
      <c r="P14" s="34">
        <f t="shared" si="0"/>
        <v>946.05000000000007</v>
      </c>
      <c r="Q14" s="34"/>
      <c r="R14" s="34">
        <v>8246</v>
      </c>
      <c r="S14" s="34">
        <f t="shared" si="1"/>
        <v>28113.05</v>
      </c>
      <c r="T14" s="34">
        <v>160</v>
      </c>
      <c r="U14" s="35">
        <f>VLOOKUP(B14,'[2]Aug 26'!$B$4:$AK$99,36,0)</f>
        <v>24</v>
      </c>
      <c r="V14" s="16">
        <f>VLOOKUP(B14,'[2]Aug 26'!$B$4:$AL$85,37,0)</f>
        <v>1</v>
      </c>
      <c r="W14" s="16">
        <f t="shared" si="13"/>
        <v>25</v>
      </c>
      <c r="X14" s="16">
        <f>VLOOKUP(B14,'[2]Aug 26'!$B$4:$AO$85,40,0)</f>
        <v>5</v>
      </c>
      <c r="Y14" s="15">
        <f t="shared" si="14"/>
        <v>15779</v>
      </c>
      <c r="Z14" s="15">
        <f t="shared" si="15"/>
        <v>2414</v>
      </c>
      <c r="AA14" s="15">
        <f t="shared" si="16"/>
        <v>910</v>
      </c>
      <c r="AB14" s="15">
        <f t="shared" si="17"/>
        <v>7929</v>
      </c>
      <c r="AC14" s="15">
        <v>0</v>
      </c>
      <c r="AD14" s="15">
        <f t="shared" si="18"/>
        <v>27032</v>
      </c>
      <c r="AE14" s="15">
        <f t="shared" si="2"/>
        <v>800</v>
      </c>
      <c r="AF14" s="15">
        <f t="shared" si="19"/>
        <v>27832</v>
      </c>
      <c r="AG14" s="17">
        <f t="shared" si="3"/>
        <v>1800</v>
      </c>
      <c r="AH14" s="17">
        <f t="shared" si="4"/>
        <v>209</v>
      </c>
      <c r="AI14" s="18">
        <f t="shared" si="5"/>
        <v>200</v>
      </c>
      <c r="AJ14" s="15">
        <v>0</v>
      </c>
      <c r="AK14" s="15">
        <f>W14*150</f>
        <v>3750</v>
      </c>
      <c r="AL14" s="15">
        <v>0</v>
      </c>
      <c r="AM14" s="15">
        <f t="shared" si="20"/>
        <v>5959</v>
      </c>
      <c r="AN14" s="21">
        <f t="shared" si="6"/>
        <v>21873</v>
      </c>
      <c r="AO14" s="17">
        <f t="shared" si="7"/>
        <v>1950</v>
      </c>
      <c r="AP14" s="17">
        <f t="shared" si="8"/>
        <v>1515.4769000000001</v>
      </c>
      <c r="AQ14" s="17">
        <f t="shared" si="9"/>
        <v>904.54</v>
      </c>
      <c r="AR14" s="17">
        <v>0</v>
      </c>
      <c r="AS14" s="15">
        <f t="shared" si="10"/>
        <v>2504.88</v>
      </c>
      <c r="AT14" s="19">
        <f t="shared" si="21"/>
        <v>34706.8969</v>
      </c>
      <c r="AU14" s="18">
        <f t="shared" si="11"/>
        <v>6247.2414419999996</v>
      </c>
      <c r="AV14" s="19">
        <f t="shared" si="12"/>
        <v>40954.138341999998</v>
      </c>
    </row>
    <row r="15" spans="1:48" ht="15.5" customHeight="1" x14ac:dyDescent="0.35">
      <c r="A15" s="14">
        <v>12</v>
      </c>
      <c r="B15" s="24" t="s">
        <v>94</v>
      </c>
      <c r="C15" s="25" t="s">
        <v>95</v>
      </c>
      <c r="D15" s="26" t="s">
        <v>96</v>
      </c>
      <c r="E15" s="73">
        <f>VLOOKUP(B15,'[1]Gemshine Manpower DC&amp;T '!$B$3:$M$61,12,0)</f>
        <v>908212834736</v>
      </c>
      <c r="F15" s="27">
        <v>101677120645</v>
      </c>
      <c r="G15" s="28">
        <v>3313580462</v>
      </c>
      <c r="H15" s="28" t="s">
        <v>97</v>
      </c>
      <c r="I15" s="31" t="s">
        <v>54</v>
      </c>
      <c r="J15" s="56">
        <v>46168</v>
      </c>
      <c r="K15" s="29">
        <v>37707</v>
      </c>
      <c r="L15" s="30">
        <v>9608187043</v>
      </c>
      <c r="M15" s="28" t="s">
        <v>85</v>
      </c>
      <c r="N15" s="32">
        <v>16410</v>
      </c>
      <c r="O15" s="33">
        <v>2511</v>
      </c>
      <c r="P15" s="34">
        <f t="shared" si="0"/>
        <v>946.05000000000007</v>
      </c>
      <c r="Q15" s="34"/>
      <c r="R15" s="34">
        <v>8246</v>
      </c>
      <c r="S15" s="34">
        <f t="shared" si="1"/>
        <v>28113.05</v>
      </c>
      <c r="T15" s="34">
        <v>160</v>
      </c>
      <c r="U15" s="35">
        <f>VLOOKUP(B15,'[2]Aug 26'!$B$4:$AK$99,36,0)</f>
        <v>25</v>
      </c>
      <c r="V15" s="16">
        <f>VLOOKUP(B15,'[2]Aug 26'!$B$4:$AL$85,37,0)</f>
        <v>1</v>
      </c>
      <c r="W15" s="16">
        <f t="shared" si="13"/>
        <v>26</v>
      </c>
      <c r="X15" s="16">
        <f>VLOOKUP(B15,'[2]Aug 26'!$B$4:$AO$85,40,0)</f>
        <v>4</v>
      </c>
      <c r="Y15" s="15">
        <f t="shared" si="14"/>
        <v>16410</v>
      </c>
      <c r="Z15" s="15">
        <f t="shared" si="15"/>
        <v>2511</v>
      </c>
      <c r="AA15" s="15">
        <f t="shared" si="16"/>
        <v>946</v>
      </c>
      <c r="AB15" s="15">
        <f t="shared" si="17"/>
        <v>8246</v>
      </c>
      <c r="AC15" s="15">
        <v>0</v>
      </c>
      <c r="AD15" s="15">
        <f t="shared" si="18"/>
        <v>28113</v>
      </c>
      <c r="AE15" s="15">
        <f t="shared" si="2"/>
        <v>640</v>
      </c>
      <c r="AF15" s="15">
        <f t="shared" si="19"/>
        <v>28753</v>
      </c>
      <c r="AG15" s="17">
        <f t="shared" si="3"/>
        <v>1800</v>
      </c>
      <c r="AH15" s="17">
        <f t="shared" si="4"/>
        <v>216</v>
      </c>
      <c r="AI15" s="18">
        <f t="shared" si="5"/>
        <v>200</v>
      </c>
      <c r="AJ15" s="15">
        <v>0</v>
      </c>
      <c r="AK15" s="15">
        <f>W15*34</f>
        <v>884</v>
      </c>
      <c r="AL15" s="15">
        <v>0</v>
      </c>
      <c r="AM15" s="15">
        <f t="shared" si="20"/>
        <v>3100</v>
      </c>
      <c r="AN15" s="21">
        <f t="shared" si="6"/>
        <v>25653</v>
      </c>
      <c r="AO15" s="17">
        <f t="shared" si="7"/>
        <v>1950</v>
      </c>
      <c r="AP15" s="17">
        <f t="shared" si="8"/>
        <v>1576.1192999999998</v>
      </c>
      <c r="AQ15" s="17">
        <f t="shared" si="9"/>
        <v>934.47249999999997</v>
      </c>
      <c r="AR15" s="17">
        <v>0</v>
      </c>
      <c r="AS15" s="15">
        <f t="shared" si="10"/>
        <v>2587.77</v>
      </c>
      <c r="AT15" s="19">
        <f t="shared" si="21"/>
        <v>35801.361799999999</v>
      </c>
      <c r="AU15" s="18">
        <f t="shared" si="11"/>
        <v>6444.2451239999991</v>
      </c>
      <c r="AV15" s="19">
        <f t="shared" si="12"/>
        <v>42245.606924</v>
      </c>
    </row>
    <row r="16" spans="1:48" ht="15.5" customHeight="1" x14ac:dyDescent="0.35">
      <c r="A16" s="14">
        <v>13</v>
      </c>
      <c r="B16" s="24" t="s">
        <v>98</v>
      </c>
      <c r="C16" s="25" t="s">
        <v>99</v>
      </c>
      <c r="D16" s="26" t="s">
        <v>100</v>
      </c>
      <c r="E16" s="73">
        <f>VLOOKUP(B16,'[1]Gemshine Manpower DC&amp;T '!$B$3:$M$61,12,0)</f>
        <v>343802255687</v>
      </c>
      <c r="F16" s="27">
        <v>101589204153</v>
      </c>
      <c r="G16" s="28">
        <v>3311877744</v>
      </c>
      <c r="H16" s="28" t="s">
        <v>101</v>
      </c>
      <c r="I16" s="31" t="s">
        <v>54</v>
      </c>
      <c r="J16" s="56">
        <v>46172</v>
      </c>
      <c r="K16" s="29">
        <v>35031</v>
      </c>
      <c r="L16" s="30">
        <v>8390600105</v>
      </c>
      <c r="M16" s="28" t="s">
        <v>85</v>
      </c>
      <c r="N16" s="32">
        <v>16410</v>
      </c>
      <c r="O16" s="33">
        <v>2511</v>
      </c>
      <c r="P16" s="34">
        <f t="shared" si="0"/>
        <v>946.05000000000007</v>
      </c>
      <c r="Q16" s="34"/>
      <c r="R16" s="34">
        <v>8246</v>
      </c>
      <c r="S16" s="34">
        <f t="shared" si="1"/>
        <v>28113.05</v>
      </c>
      <c r="T16" s="34">
        <v>160</v>
      </c>
      <c r="U16" s="35">
        <f>VLOOKUP(B16,'[2]Aug 26'!$B$4:$AK$99,36,0)</f>
        <v>24</v>
      </c>
      <c r="V16" s="16">
        <f>VLOOKUP(B16,'[2]Aug 26'!$B$4:$AL$85,37,0)</f>
        <v>1</v>
      </c>
      <c r="W16" s="16">
        <f t="shared" si="13"/>
        <v>25</v>
      </c>
      <c r="X16" s="16">
        <f>VLOOKUP(B16,'[2]Aug 26'!$B$4:$AO$85,40,0)</f>
        <v>8</v>
      </c>
      <c r="Y16" s="15">
        <f t="shared" si="14"/>
        <v>15779</v>
      </c>
      <c r="Z16" s="15">
        <f t="shared" si="15"/>
        <v>2414</v>
      </c>
      <c r="AA16" s="15">
        <f t="shared" si="16"/>
        <v>910</v>
      </c>
      <c r="AB16" s="15">
        <f t="shared" si="17"/>
        <v>7929</v>
      </c>
      <c r="AC16" s="15">
        <v>0</v>
      </c>
      <c r="AD16" s="15">
        <f t="shared" si="18"/>
        <v>27032</v>
      </c>
      <c r="AE16" s="15">
        <f t="shared" si="2"/>
        <v>1280</v>
      </c>
      <c r="AF16" s="15">
        <f t="shared" si="19"/>
        <v>28312</v>
      </c>
      <c r="AG16" s="17">
        <f t="shared" si="3"/>
        <v>1800</v>
      </c>
      <c r="AH16" s="17">
        <f t="shared" si="4"/>
        <v>212</v>
      </c>
      <c r="AI16" s="18">
        <f t="shared" si="5"/>
        <v>200</v>
      </c>
      <c r="AJ16" s="15">
        <v>0</v>
      </c>
      <c r="AK16" s="15">
        <f>W16*34</f>
        <v>850</v>
      </c>
      <c r="AL16" s="15">
        <v>0</v>
      </c>
      <c r="AM16" s="15">
        <f t="shared" si="20"/>
        <v>3062</v>
      </c>
      <c r="AN16" s="21">
        <f t="shared" si="6"/>
        <v>25250</v>
      </c>
      <c r="AO16" s="17">
        <f t="shared" si="7"/>
        <v>1950</v>
      </c>
      <c r="AP16" s="17">
        <f t="shared" si="8"/>
        <v>1515.4769000000001</v>
      </c>
      <c r="AQ16" s="17">
        <f t="shared" si="9"/>
        <v>920.14</v>
      </c>
      <c r="AR16" s="17">
        <v>0</v>
      </c>
      <c r="AS16" s="15">
        <f t="shared" si="10"/>
        <v>2548.08</v>
      </c>
      <c r="AT16" s="19">
        <f t="shared" si="21"/>
        <v>35245.696900000003</v>
      </c>
      <c r="AU16" s="18">
        <f t="shared" si="11"/>
        <v>6344.2254419999999</v>
      </c>
      <c r="AV16" s="19">
        <f t="shared" si="12"/>
        <v>41589.922342000005</v>
      </c>
    </row>
    <row r="17" spans="1:48" ht="15.5" customHeight="1" x14ac:dyDescent="0.35">
      <c r="A17" s="14">
        <v>14</v>
      </c>
      <c r="B17" s="24" t="s">
        <v>102</v>
      </c>
      <c r="C17" s="25" t="s">
        <v>103</v>
      </c>
      <c r="D17" s="26" t="s">
        <v>104</v>
      </c>
      <c r="E17" s="73">
        <f>VLOOKUP(B17,'[1]Gemshine Manpower DC&amp;T '!$B$3:$M$61,12,0)</f>
        <v>388024755742</v>
      </c>
      <c r="F17" s="27">
        <v>102346403344</v>
      </c>
      <c r="G17" s="28">
        <v>3318809452</v>
      </c>
      <c r="H17" s="28" t="s">
        <v>105</v>
      </c>
      <c r="I17" s="31" t="s">
        <v>54</v>
      </c>
      <c r="J17" s="56">
        <v>46172</v>
      </c>
      <c r="K17" s="29">
        <v>38515</v>
      </c>
      <c r="L17" s="30">
        <v>9405507292</v>
      </c>
      <c r="M17" s="28" t="s">
        <v>85</v>
      </c>
      <c r="N17" s="32">
        <v>16410</v>
      </c>
      <c r="O17" s="33">
        <v>2511</v>
      </c>
      <c r="P17" s="34">
        <f t="shared" si="0"/>
        <v>946.05000000000007</v>
      </c>
      <c r="Q17" s="34"/>
      <c r="R17" s="34">
        <v>8246</v>
      </c>
      <c r="S17" s="34">
        <f t="shared" si="1"/>
        <v>28113.05</v>
      </c>
      <c r="T17" s="34">
        <v>160</v>
      </c>
      <c r="U17" s="35">
        <f>VLOOKUP(B17,'[2]Aug 26'!$B$4:$AK$99,36,0)</f>
        <v>27</v>
      </c>
      <c r="V17" s="16">
        <f>VLOOKUP(B17,'[2]Aug 26'!$B$4:$AL$85,37,0)</f>
        <v>0</v>
      </c>
      <c r="W17" s="16">
        <f t="shared" si="13"/>
        <v>27</v>
      </c>
      <c r="X17" s="16">
        <f>VLOOKUP(B17,'[2]Aug 26'!$B$4:$AO$85,40,0)</f>
        <v>12</v>
      </c>
      <c r="Y17" s="15">
        <f t="shared" si="14"/>
        <v>17041</v>
      </c>
      <c r="Z17" s="15">
        <f t="shared" si="15"/>
        <v>2608</v>
      </c>
      <c r="AA17" s="15">
        <f t="shared" si="16"/>
        <v>982</v>
      </c>
      <c r="AB17" s="15">
        <f t="shared" si="17"/>
        <v>8563</v>
      </c>
      <c r="AC17" s="15">
        <v>0</v>
      </c>
      <c r="AD17" s="15">
        <f t="shared" si="18"/>
        <v>29194</v>
      </c>
      <c r="AE17" s="15">
        <f t="shared" si="2"/>
        <v>1920</v>
      </c>
      <c r="AF17" s="15">
        <f t="shared" si="19"/>
        <v>31114</v>
      </c>
      <c r="AG17" s="17">
        <f t="shared" si="3"/>
        <v>1800</v>
      </c>
      <c r="AH17" s="17">
        <f t="shared" si="4"/>
        <v>233</v>
      </c>
      <c r="AI17" s="18">
        <f t="shared" si="5"/>
        <v>200</v>
      </c>
      <c r="AJ17" s="15">
        <v>0</v>
      </c>
      <c r="AK17" s="15">
        <f t="shared" ref="AK17:AK24" si="23">W17*34</f>
        <v>918</v>
      </c>
      <c r="AL17" s="15">
        <v>0</v>
      </c>
      <c r="AM17" s="15">
        <f t="shared" si="20"/>
        <v>3151</v>
      </c>
      <c r="AN17" s="21">
        <f t="shared" si="6"/>
        <v>27963</v>
      </c>
      <c r="AO17" s="17">
        <f t="shared" si="7"/>
        <v>1950</v>
      </c>
      <c r="AP17" s="17">
        <f t="shared" si="8"/>
        <v>1636.7617</v>
      </c>
      <c r="AQ17" s="17">
        <f t="shared" si="9"/>
        <v>1011.205</v>
      </c>
      <c r="AR17" s="17">
        <v>0</v>
      </c>
      <c r="AS17" s="15">
        <f t="shared" si="10"/>
        <v>2800.2599999999998</v>
      </c>
      <c r="AT17" s="19">
        <f t="shared" si="21"/>
        <v>38512.226700000007</v>
      </c>
      <c r="AU17" s="18">
        <f t="shared" si="11"/>
        <v>6932.2008060000007</v>
      </c>
      <c r="AV17" s="19">
        <f t="shared" si="12"/>
        <v>45444.427506000007</v>
      </c>
    </row>
    <row r="18" spans="1:48" ht="15.5" customHeight="1" x14ac:dyDescent="0.35">
      <c r="A18" s="14">
        <v>15</v>
      </c>
      <c r="B18" s="24" t="s">
        <v>106</v>
      </c>
      <c r="C18" s="25" t="s">
        <v>107</v>
      </c>
      <c r="D18" s="26" t="s">
        <v>108</v>
      </c>
      <c r="E18" s="73">
        <f>VLOOKUP(B18,'[1]Gemshine Manpower DC&amp;T '!$B$3:$M$61,12,0)</f>
        <v>303837085970</v>
      </c>
      <c r="F18" s="27">
        <v>102097411051</v>
      </c>
      <c r="G18" s="28">
        <v>3316632495</v>
      </c>
      <c r="H18" s="28" t="s">
        <v>109</v>
      </c>
      <c r="I18" s="31" t="s">
        <v>54</v>
      </c>
      <c r="J18" s="56">
        <v>46172</v>
      </c>
      <c r="K18" s="29">
        <v>38034</v>
      </c>
      <c r="L18" s="30">
        <v>8262827387</v>
      </c>
      <c r="M18" s="28" t="s">
        <v>85</v>
      </c>
      <c r="N18" s="32">
        <v>16410</v>
      </c>
      <c r="O18" s="33">
        <v>2511</v>
      </c>
      <c r="P18" s="34">
        <f t="shared" si="0"/>
        <v>946.05000000000007</v>
      </c>
      <c r="Q18" s="34"/>
      <c r="R18" s="34">
        <v>8246</v>
      </c>
      <c r="S18" s="34">
        <f t="shared" si="1"/>
        <v>28113.05</v>
      </c>
      <c r="T18" s="34">
        <v>160</v>
      </c>
      <c r="U18" s="35">
        <f>VLOOKUP(B18,'[2]Aug 26'!$B$4:$AK$99,36,0)</f>
        <v>26</v>
      </c>
      <c r="V18" s="16">
        <f>VLOOKUP(B18,'[2]Aug 26'!$B$4:$AL$85,37,0)</f>
        <v>1</v>
      </c>
      <c r="W18" s="16">
        <f t="shared" si="13"/>
        <v>27</v>
      </c>
      <c r="X18" s="16">
        <f>VLOOKUP(B18,'[2]Aug 26'!$B$4:$AO$85,40,0)</f>
        <v>0</v>
      </c>
      <c r="Y18" s="15">
        <f t="shared" si="14"/>
        <v>17041</v>
      </c>
      <c r="Z18" s="15">
        <f t="shared" si="15"/>
        <v>2608</v>
      </c>
      <c r="AA18" s="15">
        <f t="shared" si="16"/>
        <v>982</v>
      </c>
      <c r="AB18" s="15">
        <f t="shared" si="17"/>
        <v>8563</v>
      </c>
      <c r="AC18" s="15">
        <v>0</v>
      </c>
      <c r="AD18" s="15">
        <f t="shared" si="18"/>
        <v>29194</v>
      </c>
      <c r="AE18" s="15">
        <f t="shared" si="2"/>
        <v>0</v>
      </c>
      <c r="AF18" s="15">
        <f t="shared" si="19"/>
        <v>29194</v>
      </c>
      <c r="AG18" s="17">
        <f t="shared" si="3"/>
        <v>1800</v>
      </c>
      <c r="AH18" s="17">
        <f t="shared" si="4"/>
        <v>219</v>
      </c>
      <c r="AI18" s="18">
        <f t="shared" si="5"/>
        <v>200</v>
      </c>
      <c r="AJ18" s="15">
        <v>0</v>
      </c>
      <c r="AK18" s="15">
        <f t="shared" si="23"/>
        <v>918</v>
      </c>
      <c r="AL18" s="15">
        <v>0</v>
      </c>
      <c r="AM18" s="15">
        <f t="shared" si="20"/>
        <v>3137</v>
      </c>
      <c r="AN18" s="21">
        <f t="shared" si="6"/>
        <v>26057</v>
      </c>
      <c r="AO18" s="17">
        <f t="shared" si="7"/>
        <v>1950</v>
      </c>
      <c r="AP18" s="17">
        <f t="shared" si="8"/>
        <v>1636.7617</v>
      </c>
      <c r="AQ18" s="17">
        <f t="shared" si="9"/>
        <v>948.80499999999995</v>
      </c>
      <c r="AR18" s="17">
        <v>0</v>
      </c>
      <c r="AS18" s="15">
        <f t="shared" si="10"/>
        <v>2627.46</v>
      </c>
      <c r="AT18" s="19">
        <f t="shared" si="21"/>
        <v>36357.026700000002</v>
      </c>
      <c r="AU18" s="18">
        <f t="shared" si="11"/>
        <v>6544.2648060000001</v>
      </c>
      <c r="AV18" s="19">
        <f t="shared" si="12"/>
        <v>42901.291506000001</v>
      </c>
    </row>
    <row r="19" spans="1:48" ht="15.5" customHeight="1" x14ac:dyDescent="0.35">
      <c r="A19" s="14">
        <v>16</v>
      </c>
      <c r="B19" s="24" t="s">
        <v>110</v>
      </c>
      <c r="C19" s="25" t="s">
        <v>111</v>
      </c>
      <c r="D19" s="26" t="s">
        <v>112</v>
      </c>
      <c r="E19" s="73">
        <f>VLOOKUP(B19,'[1]Gemshine Manpower DC&amp;T '!$B$3:$M$61,12,0)</f>
        <v>930405557841</v>
      </c>
      <c r="F19" s="27">
        <v>100936066569</v>
      </c>
      <c r="G19" s="28">
        <v>3314390423</v>
      </c>
      <c r="H19" s="28" t="s">
        <v>113</v>
      </c>
      <c r="I19" s="31" t="s">
        <v>54</v>
      </c>
      <c r="J19" s="56">
        <v>46181</v>
      </c>
      <c r="K19" s="29">
        <v>33966</v>
      </c>
      <c r="L19" s="30">
        <v>7028502525</v>
      </c>
      <c r="M19" s="28" t="s">
        <v>85</v>
      </c>
      <c r="N19" s="32">
        <v>16410</v>
      </c>
      <c r="O19" s="33">
        <v>2511</v>
      </c>
      <c r="P19" s="34">
        <f t="shared" si="0"/>
        <v>946.05000000000007</v>
      </c>
      <c r="Q19" s="34"/>
      <c r="R19" s="34">
        <v>8246</v>
      </c>
      <c r="S19" s="34">
        <f t="shared" si="1"/>
        <v>28113.05</v>
      </c>
      <c r="T19" s="34">
        <v>160</v>
      </c>
      <c r="U19" s="35">
        <f>VLOOKUP(B19,'[2]Aug 26'!$B$4:$AK$99,36,0)</f>
        <v>26</v>
      </c>
      <c r="V19" s="16">
        <f>VLOOKUP(B19,'[2]Aug 26'!$B$4:$AL$85,37,0)</f>
        <v>1</v>
      </c>
      <c r="W19" s="16">
        <f t="shared" si="13"/>
        <v>27</v>
      </c>
      <c r="X19" s="16">
        <f>VLOOKUP(B19,'[2]Aug 26'!$B$4:$AO$85,40,0)</f>
        <v>3</v>
      </c>
      <c r="Y19" s="15">
        <f t="shared" si="14"/>
        <v>17041</v>
      </c>
      <c r="Z19" s="15">
        <f t="shared" si="15"/>
        <v>2608</v>
      </c>
      <c r="AA19" s="15">
        <f t="shared" si="16"/>
        <v>982</v>
      </c>
      <c r="AB19" s="15">
        <f t="shared" si="17"/>
        <v>8563</v>
      </c>
      <c r="AC19" s="15">
        <v>0</v>
      </c>
      <c r="AD19" s="15">
        <f t="shared" si="18"/>
        <v>29194</v>
      </c>
      <c r="AE19" s="15">
        <f t="shared" si="2"/>
        <v>480</v>
      </c>
      <c r="AF19" s="15">
        <f t="shared" si="19"/>
        <v>29674</v>
      </c>
      <c r="AG19" s="17">
        <f t="shared" si="3"/>
        <v>1800</v>
      </c>
      <c r="AH19" s="17">
        <f t="shared" si="4"/>
        <v>223</v>
      </c>
      <c r="AI19" s="18">
        <f t="shared" si="5"/>
        <v>200</v>
      </c>
      <c r="AJ19" s="15">
        <v>0</v>
      </c>
      <c r="AK19" s="15">
        <f t="shared" si="23"/>
        <v>918</v>
      </c>
      <c r="AL19" s="15">
        <v>0</v>
      </c>
      <c r="AM19" s="15">
        <f t="shared" si="20"/>
        <v>3141</v>
      </c>
      <c r="AN19" s="21">
        <f t="shared" si="6"/>
        <v>26533</v>
      </c>
      <c r="AO19" s="17">
        <f t="shared" si="7"/>
        <v>1950</v>
      </c>
      <c r="AP19" s="17">
        <f t="shared" si="8"/>
        <v>1636.7617</v>
      </c>
      <c r="AQ19" s="17">
        <f t="shared" si="9"/>
        <v>964.40499999999997</v>
      </c>
      <c r="AR19" s="17">
        <v>0</v>
      </c>
      <c r="AS19" s="15">
        <f t="shared" si="10"/>
        <v>2670.66</v>
      </c>
      <c r="AT19" s="19">
        <f t="shared" si="21"/>
        <v>36895.826700000005</v>
      </c>
      <c r="AU19" s="18">
        <f t="shared" si="11"/>
        <v>6641.2488060000005</v>
      </c>
      <c r="AV19" s="19">
        <f t="shared" si="12"/>
        <v>43537.075506000008</v>
      </c>
    </row>
    <row r="20" spans="1:48" ht="15.5" customHeight="1" x14ac:dyDescent="0.35">
      <c r="A20" s="14">
        <v>17</v>
      </c>
      <c r="B20" s="24" t="s">
        <v>114</v>
      </c>
      <c r="C20" s="25" t="s">
        <v>115</v>
      </c>
      <c r="D20" s="26" t="s">
        <v>66</v>
      </c>
      <c r="E20" s="73">
        <f>VLOOKUP(B20,'[1]Gemshine Manpower DC&amp;T '!$B$3:$M$61,12,0)</f>
        <v>401365044870</v>
      </c>
      <c r="F20" s="27">
        <v>101602809667</v>
      </c>
      <c r="G20" s="28">
        <v>3311945061</v>
      </c>
      <c r="H20" s="28" t="s">
        <v>116</v>
      </c>
      <c r="I20" s="31" t="s">
        <v>54</v>
      </c>
      <c r="J20" s="56">
        <v>46175</v>
      </c>
      <c r="K20" s="29">
        <v>35255</v>
      </c>
      <c r="L20" s="30">
        <v>7410743546</v>
      </c>
      <c r="M20" s="28" t="s">
        <v>117</v>
      </c>
      <c r="N20" s="32">
        <v>16410</v>
      </c>
      <c r="O20" s="33">
        <v>2511</v>
      </c>
      <c r="P20" s="34">
        <f t="shared" si="0"/>
        <v>946.05000000000007</v>
      </c>
      <c r="Q20" s="34"/>
      <c r="R20" s="34">
        <v>8246</v>
      </c>
      <c r="S20" s="34">
        <f t="shared" si="1"/>
        <v>28113.05</v>
      </c>
      <c r="T20" s="34">
        <v>160</v>
      </c>
      <c r="U20" s="35">
        <f>VLOOKUP(B20,'[2]Aug 26'!$B$4:$AK$99,36,0)</f>
        <v>24</v>
      </c>
      <c r="V20" s="16">
        <f>VLOOKUP(B20,'[2]Aug 26'!$B$4:$AL$85,37,0)</f>
        <v>1</v>
      </c>
      <c r="W20" s="16">
        <f t="shared" si="13"/>
        <v>25</v>
      </c>
      <c r="X20" s="16">
        <f>VLOOKUP(B20,'[2]Aug 26'!$B$4:$AO$85,40,0)</f>
        <v>0</v>
      </c>
      <c r="Y20" s="15">
        <f t="shared" si="14"/>
        <v>15779</v>
      </c>
      <c r="Z20" s="15">
        <f t="shared" si="15"/>
        <v>2414</v>
      </c>
      <c r="AA20" s="15">
        <f t="shared" si="16"/>
        <v>910</v>
      </c>
      <c r="AB20" s="15">
        <f t="shared" si="17"/>
        <v>7929</v>
      </c>
      <c r="AC20" s="15">
        <v>0</v>
      </c>
      <c r="AD20" s="15">
        <f t="shared" si="18"/>
        <v>27032</v>
      </c>
      <c r="AE20" s="15">
        <f t="shared" si="2"/>
        <v>0</v>
      </c>
      <c r="AF20" s="15">
        <f t="shared" si="19"/>
        <v>27032</v>
      </c>
      <c r="AG20" s="17">
        <f t="shared" si="3"/>
        <v>1800</v>
      </c>
      <c r="AH20" s="17">
        <f t="shared" si="4"/>
        <v>203</v>
      </c>
      <c r="AI20" s="18">
        <f t="shared" si="5"/>
        <v>200</v>
      </c>
      <c r="AJ20" s="15">
        <v>0</v>
      </c>
      <c r="AK20" s="15">
        <f>W20*33</f>
        <v>825</v>
      </c>
      <c r="AL20" s="15">
        <v>0</v>
      </c>
      <c r="AM20" s="15">
        <f t="shared" si="20"/>
        <v>3028</v>
      </c>
      <c r="AN20" s="21">
        <f t="shared" si="6"/>
        <v>24004</v>
      </c>
      <c r="AO20" s="17">
        <f t="shared" si="7"/>
        <v>1950</v>
      </c>
      <c r="AP20" s="17">
        <f t="shared" si="8"/>
        <v>1515.4769000000001</v>
      </c>
      <c r="AQ20" s="17">
        <f t="shared" si="9"/>
        <v>878.54</v>
      </c>
      <c r="AR20" s="17">
        <v>0</v>
      </c>
      <c r="AS20" s="15">
        <f t="shared" si="10"/>
        <v>2432.88</v>
      </c>
      <c r="AT20" s="19">
        <f t="shared" si="21"/>
        <v>33808.8969</v>
      </c>
      <c r="AU20" s="18">
        <f t="shared" si="11"/>
        <v>6085.6014420000001</v>
      </c>
      <c r="AV20" s="19">
        <f t="shared" si="12"/>
        <v>39894.498341999999</v>
      </c>
    </row>
    <row r="21" spans="1:48" ht="15.5" customHeight="1" x14ac:dyDescent="0.35">
      <c r="A21" s="14">
        <v>18</v>
      </c>
      <c r="B21" s="24" t="s">
        <v>118</v>
      </c>
      <c r="C21" s="25" t="s">
        <v>119</v>
      </c>
      <c r="D21" s="26" t="s">
        <v>120</v>
      </c>
      <c r="E21" s="73">
        <f>VLOOKUP(B21,'[1]Gemshine Manpower DC&amp;T '!$B$3:$M$61,12,0)</f>
        <v>731374939084</v>
      </c>
      <c r="F21" s="27">
        <v>101155271524</v>
      </c>
      <c r="G21" s="28">
        <v>3312430204</v>
      </c>
      <c r="H21" s="28" t="s">
        <v>121</v>
      </c>
      <c r="I21" s="31" t="s">
        <v>54</v>
      </c>
      <c r="J21" s="56">
        <v>46175</v>
      </c>
      <c r="K21" s="29">
        <v>31361</v>
      </c>
      <c r="L21" s="30">
        <v>9075548457</v>
      </c>
      <c r="M21" s="28" t="s">
        <v>122</v>
      </c>
      <c r="N21" s="32">
        <v>15025</v>
      </c>
      <c r="O21" s="33">
        <v>2511</v>
      </c>
      <c r="P21" s="34">
        <f t="shared" si="0"/>
        <v>876.80000000000007</v>
      </c>
      <c r="Q21" s="34"/>
      <c r="R21" s="34">
        <v>7250</v>
      </c>
      <c r="S21" s="34">
        <f t="shared" si="1"/>
        <v>25662.799999999999</v>
      </c>
      <c r="T21" s="34">
        <v>150</v>
      </c>
      <c r="U21" s="35">
        <f>VLOOKUP(B21,'[2]Aug 26'!$B$4:$AK$99,36,0)</f>
        <v>24</v>
      </c>
      <c r="V21" s="16">
        <f>VLOOKUP(B21,'[2]Aug 26'!$B$4:$AL$85,37,0)</f>
        <v>1</v>
      </c>
      <c r="W21" s="16">
        <f t="shared" si="13"/>
        <v>25</v>
      </c>
      <c r="X21" s="16">
        <f>VLOOKUP(B21,'[2]Aug 26'!$B$4:$AO$85,40,0)</f>
        <v>0</v>
      </c>
      <c r="Y21" s="15">
        <f t="shared" si="14"/>
        <v>14447</v>
      </c>
      <c r="Z21" s="15">
        <f t="shared" si="15"/>
        <v>2414</v>
      </c>
      <c r="AA21" s="15">
        <f t="shared" si="16"/>
        <v>843</v>
      </c>
      <c r="AB21" s="15">
        <f t="shared" si="17"/>
        <v>6971</v>
      </c>
      <c r="AC21" s="15">
        <v>0</v>
      </c>
      <c r="AD21" s="15">
        <f t="shared" si="18"/>
        <v>24675</v>
      </c>
      <c r="AE21" s="15">
        <f t="shared" si="2"/>
        <v>0</v>
      </c>
      <c r="AF21" s="15">
        <f t="shared" si="19"/>
        <v>24675</v>
      </c>
      <c r="AG21" s="17">
        <f t="shared" si="3"/>
        <v>1800</v>
      </c>
      <c r="AH21" s="17">
        <f t="shared" si="4"/>
        <v>185</v>
      </c>
      <c r="AI21" s="18">
        <f t="shared" si="5"/>
        <v>200</v>
      </c>
      <c r="AJ21" s="15">
        <v>0</v>
      </c>
      <c r="AK21" s="15">
        <f>W21*209</f>
        <v>5225</v>
      </c>
      <c r="AL21" s="15">
        <v>0</v>
      </c>
      <c r="AM21" s="15">
        <f t="shared" si="20"/>
        <v>7410</v>
      </c>
      <c r="AN21" s="21">
        <f t="shared" si="6"/>
        <v>17265</v>
      </c>
      <c r="AO21" s="17">
        <f t="shared" si="7"/>
        <v>1950</v>
      </c>
      <c r="AP21" s="17">
        <f t="shared" si="8"/>
        <v>1404.5213000000001</v>
      </c>
      <c r="AQ21" s="17">
        <f t="shared" si="9"/>
        <v>801.9375</v>
      </c>
      <c r="AR21" s="17">
        <v>0</v>
      </c>
      <c r="AS21" s="15">
        <f t="shared" si="10"/>
        <v>2220.75</v>
      </c>
      <c r="AT21" s="19">
        <f t="shared" si="21"/>
        <v>31052.2088</v>
      </c>
      <c r="AU21" s="18">
        <f t="shared" si="11"/>
        <v>5589.3975840000003</v>
      </c>
      <c r="AV21" s="19">
        <f t="shared" si="12"/>
        <v>36641.606383999999</v>
      </c>
    </row>
    <row r="22" spans="1:48" ht="15.5" customHeight="1" x14ac:dyDescent="0.35">
      <c r="A22" s="14">
        <v>19</v>
      </c>
      <c r="B22" s="24" t="s">
        <v>123</v>
      </c>
      <c r="C22" s="25" t="s">
        <v>124</v>
      </c>
      <c r="D22" s="26" t="s">
        <v>125</v>
      </c>
      <c r="E22" s="73">
        <f>VLOOKUP(B22,'[1]Gemshine Manpower DC&amp;T '!$B$3:$M$61,12,0)</f>
        <v>612810567388</v>
      </c>
      <c r="F22" s="27">
        <v>101663058964</v>
      </c>
      <c r="G22" s="28">
        <v>3314084662</v>
      </c>
      <c r="H22" s="28" t="s">
        <v>126</v>
      </c>
      <c r="I22" s="31" t="s">
        <v>54</v>
      </c>
      <c r="J22" s="56">
        <v>46183</v>
      </c>
      <c r="K22" s="29">
        <v>32856</v>
      </c>
      <c r="L22" s="30">
        <v>7499648761</v>
      </c>
      <c r="M22" s="28" t="s">
        <v>49</v>
      </c>
      <c r="N22" s="32">
        <v>14010</v>
      </c>
      <c r="O22" s="33">
        <v>2511</v>
      </c>
      <c r="P22" s="34">
        <f t="shared" si="0"/>
        <v>826.05000000000007</v>
      </c>
      <c r="Q22" s="34"/>
      <c r="R22" s="34">
        <v>3996</v>
      </c>
      <c r="S22" s="34">
        <f t="shared" si="1"/>
        <v>21343.05</v>
      </c>
      <c r="T22" s="34">
        <v>150</v>
      </c>
      <c r="U22" s="35">
        <f>VLOOKUP(B22,'[2]Aug 26'!$B$4:$AK$99,36,0)</f>
        <v>12</v>
      </c>
      <c r="V22" s="16">
        <f>VLOOKUP(B22,'[2]Aug 26'!$B$4:$AL$85,37,0)</f>
        <v>1</v>
      </c>
      <c r="W22" s="16">
        <f t="shared" si="13"/>
        <v>13</v>
      </c>
      <c r="X22" s="16">
        <f>VLOOKUP(B22,'[2]Aug 26'!$B$4:$AO$85,40,0)</f>
        <v>0</v>
      </c>
      <c r="Y22" s="15">
        <f t="shared" si="14"/>
        <v>7005</v>
      </c>
      <c r="Z22" s="15">
        <f t="shared" si="15"/>
        <v>1256</v>
      </c>
      <c r="AA22" s="15">
        <f t="shared" si="16"/>
        <v>413</v>
      </c>
      <c r="AB22" s="15">
        <f t="shared" si="17"/>
        <v>1998</v>
      </c>
      <c r="AC22" s="15">
        <v>0</v>
      </c>
      <c r="AD22" s="15">
        <f t="shared" si="18"/>
        <v>10672</v>
      </c>
      <c r="AE22" s="15">
        <f t="shared" si="2"/>
        <v>0</v>
      </c>
      <c r="AF22" s="15">
        <f t="shared" si="19"/>
        <v>10672</v>
      </c>
      <c r="AG22" s="17">
        <f t="shared" si="3"/>
        <v>991.32</v>
      </c>
      <c r="AH22" s="17">
        <f t="shared" si="4"/>
        <v>80</v>
      </c>
      <c r="AI22" s="18">
        <f t="shared" si="5"/>
        <v>200</v>
      </c>
      <c r="AJ22" s="15">
        <v>0</v>
      </c>
      <c r="AK22" s="15">
        <f>W22*155</f>
        <v>2015</v>
      </c>
      <c r="AL22" s="15">
        <v>0</v>
      </c>
      <c r="AM22" s="15">
        <f t="shared" si="20"/>
        <v>3286</v>
      </c>
      <c r="AN22" s="21">
        <f t="shared" si="6"/>
        <v>7386</v>
      </c>
      <c r="AO22" s="17">
        <f t="shared" si="7"/>
        <v>1073.93</v>
      </c>
      <c r="AP22" s="17">
        <f t="shared" si="8"/>
        <v>688.1413</v>
      </c>
      <c r="AQ22" s="17">
        <f t="shared" si="9"/>
        <v>346.84</v>
      </c>
      <c r="AR22" s="17">
        <v>0</v>
      </c>
      <c r="AS22" s="15">
        <f t="shared" si="10"/>
        <v>960.48</v>
      </c>
      <c r="AT22" s="19">
        <f t="shared" si="21"/>
        <v>13741.391299999999</v>
      </c>
      <c r="AU22" s="18">
        <f t="shared" si="11"/>
        <v>2473.4504339999999</v>
      </c>
      <c r="AV22" s="19">
        <f t="shared" si="12"/>
        <v>16214.841734</v>
      </c>
    </row>
    <row r="23" spans="1:48" ht="15.5" customHeight="1" x14ac:dyDescent="0.35">
      <c r="A23" s="14">
        <v>20</v>
      </c>
      <c r="B23" s="24" t="s">
        <v>127</v>
      </c>
      <c r="C23" s="25" t="s">
        <v>128</v>
      </c>
      <c r="D23" s="26" t="s">
        <v>129</v>
      </c>
      <c r="E23" s="73">
        <f>VLOOKUP(B23,'[1]Gemshine Manpower DC&amp;T '!$B$3:$M$61,12,0)</f>
        <v>560240178208</v>
      </c>
      <c r="F23" s="27">
        <v>101108058274</v>
      </c>
      <c r="G23" s="28">
        <v>3319038001</v>
      </c>
      <c r="H23" s="28" t="s">
        <v>130</v>
      </c>
      <c r="I23" s="31" t="s">
        <v>54</v>
      </c>
      <c r="J23" s="56">
        <v>46192</v>
      </c>
      <c r="K23" s="29">
        <v>34660</v>
      </c>
      <c r="L23" s="30">
        <v>7709959990</v>
      </c>
      <c r="M23" s="28" t="s">
        <v>85</v>
      </c>
      <c r="N23" s="32">
        <v>16410</v>
      </c>
      <c r="O23" s="33">
        <v>2511</v>
      </c>
      <c r="P23" s="34">
        <f t="shared" si="0"/>
        <v>946.05000000000007</v>
      </c>
      <c r="Q23" s="34"/>
      <c r="R23" s="34">
        <v>8246</v>
      </c>
      <c r="S23" s="34">
        <f t="shared" si="1"/>
        <v>28113.05</v>
      </c>
      <c r="T23" s="34">
        <v>160</v>
      </c>
      <c r="U23" s="35">
        <f>VLOOKUP(B23,'[2]Aug 26'!$B$4:$AK$99,36,0)</f>
        <v>26</v>
      </c>
      <c r="V23" s="16">
        <f>VLOOKUP(B23,'[2]Aug 26'!$B$4:$AL$85,37,0)</f>
        <v>1</v>
      </c>
      <c r="W23" s="16">
        <f t="shared" si="13"/>
        <v>27</v>
      </c>
      <c r="X23" s="16">
        <f>VLOOKUP(B23,'[2]Aug 26'!$B$4:$AO$85,40,0)</f>
        <v>0</v>
      </c>
      <c r="Y23" s="15">
        <f t="shared" si="14"/>
        <v>17041</v>
      </c>
      <c r="Z23" s="15">
        <f t="shared" si="15"/>
        <v>2608</v>
      </c>
      <c r="AA23" s="15">
        <f t="shared" si="16"/>
        <v>982</v>
      </c>
      <c r="AB23" s="15">
        <f t="shared" si="17"/>
        <v>8563</v>
      </c>
      <c r="AC23" s="15">
        <v>0</v>
      </c>
      <c r="AD23" s="15">
        <f t="shared" si="18"/>
        <v>29194</v>
      </c>
      <c r="AE23" s="15">
        <f t="shared" si="2"/>
        <v>0</v>
      </c>
      <c r="AF23" s="15">
        <f t="shared" si="19"/>
        <v>29194</v>
      </c>
      <c r="AG23" s="17">
        <f t="shared" si="3"/>
        <v>1800</v>
      </c>
      <c r="AH23" s="17">
        <f t="shared" si="4"/>
        <v>219</v>
      </c>
      <c r="AI23" s="18">
        <f t="shared" si="5"/>
        <v>200</v>
      </c>
      <c r="AJ23" s="15">
        <v>0</v>
      </c>
      <c r="AK23" s="15">
        <f t="shared" si="23"/>
        <v>918</v>
      </c>
      <c r="AL23" s="15">
        <v>0</v>
      </c>
      <c r="AM23" s="15">
        <f t="shared" si="20"/>
        <v>3137</v>
      </c>
      <c r="AN23" s="21">
        <f t="shared" si="6"/>
        <v>26057</v>
      </c>
      <c r="AO23" s="17">
        <f t="shared" si="7"/>
        <v>1950</v>
      </c>
      <c r="AP23" s="17">
        <f t="shared" si="8"/>
        <v>1636.7617</v>
      </c>
      <c r="AQ23" s="17">
        <f t="shared" si="9"/>
        <v>948.80499999999995</v>
      </c>
      <c r="AR23" s="17">
        <v>0</v>
      </c>
      <c r="AS23" s="15">
        <f t="shared" si="10"/>
        <v>2627.46</v>
      </c>
      <c r="AT23" s="19">
        <f t="shared" si="21"/>
        <v>36357.026700000002</v>
      </c>
      <c r="AU23" s="18">
        <f t="shared" si="11"/>
        <v>6544.2648060000001</v>
      </c>
      <c r="AV23" s="19">
        <f t="shared" si="12"/>
        <v>42901.291506000001</v>
      </c>
    </row>
    <row r="24" spans="1:48" ht="15.5" customHeight="1" x14ac:dyDescent="0.35">
      <c r="A24" s="14">
        <v>21</v>
      </c>
      <c r="B24" s="24" t="s">
        <v>131</v>
      </c>
      <c r="C24" s="25" t="s">
        <v>132</v>
      </c>
      <c r="D24" s="26" t="s">
        <v>133</v>
      </c>
      <c r="E24" s="73">
        <f>VLOOKUP(B24,'[1]Gemshine Manpower DC&amp;T '!$B$3:$M$61,12,0)</f>
        <v>546030494087</v>
      </c>
      <c r="F24" s="27">
        <v>100710492325</v>
      </c>
      <c r="G24" s="28">
        <v>3317822851</v>
      </c>
      <c r="H24" s="28" t="s">
        <v>134</v>
      </c>
      <c r="I24" s="31" t="s">
        <v>54</v>
      </c>
      <c r="J24" s="56">
        <v>46192</v>
      </c>
      <c r="K24" s="29">
        <v>33812</v>
      </c>
      <c r="L24" s="30">
        <v>8888035597</v>
      </c>
      <c r="M24" s="28" t="s">
        <v>85</v>
      </c>
      <c r="N24" s="32">
        <v>16410</v>
      </c>
      <c r="O24" s="33">
        <v>2511</v>
      </c>
      <c r="P24" s="34">
        <f t="shared" si="0"/>
        <v>946.05000000000007</v>
      </c>
      <c r="Q24" s="34"/>
      <c r="R24" s="34">
        <v>8246</v>
      </c>
      <c r="S24" s="34">
        <f t="shared" si="1"/>
        <v>28113.05</v>
      </c>
      <c r="T24" s="34">
        <v>160</v>
      </c>
      <c r="U24" s="35">
        <f>VLOOKUP(B24,'[2]Aug 26'!$B$4:$AK$99,36,0)</f>
        <v>26</v>
      </c>
      <c r="V24" s="16">
        <f>VLOOKUP(B24,'[2]Aug 26'!$B$4:$AL$85,37,0)</f>
        <v>0</v>
      </c>
      <c r="W24" s="16">
        <f t="shared" si="13"/>
        <v>26</v>
      </c>
      <c r="X24" s="16">
        <f>VLOOKUP(B24,'[2]Aug 26'!$B$4:$AO$85,40,0)</f>
        <v>8</v>
      </c>
      <c r="Y24" s="15">
        <f t="shared" si="14"/>
        <v>16410</v>
      </c>
      <c r="Z24" s="15">
        <f t="shared" si="15"/>
        <v>2511</v>
      </c>
      <c r="AA24" s="15">
        <f t="shared" si="16"/>
        <v>946</v>
      </c>
      <c r="AB24" s="15">
        <f t="shared" si="17"/>
        <v>8246</v>
      </c>
      <c r="AC24" s="15">
        <v>0</v>
      </c>
      <c r="AD24" s="15">
        <f t="shared" si="18"/>
        <v>28113</v>
      </c>
      <c r="AE24" s="15">
        <f t="shared" si="2"/>
        <v>1280</v>
      </c>
      <c r="AF24" s="15">
        <f t="shared" si="19"/>
        <v>29393</v>
      </c>
      <c r="AG24" s="17">
        <f t="shared" si="3"/>
        <v>1800</v>
      </c>
      <c r="AH24" s="17">
        <f t="shared" si="4"/>
        <v>220</v>
      </c>
      <c r="AI24" s="18">
        <f t="shared" si="5"/>
        <v>200</v>
      </c>
      <c r="AJ24" s="15">
        <v>0</v>
      </c>
      <c r="AK24" s="15">
        <f t="shared" si="23"/>
        <v>884</v>
      </c>
      <c r="AL24" s="15">
        <v>0</v>
      </c>
      <c r="AM24" s="15">
        <f t="shared" si="20"/>
        <v>3104</v>
      </c>
      <c r="AN24" s="21">
        <f t="shared" si="6"/>
        <v>26289</v>
      </c>
      <c r="AO24" s="17">
        <f t="shared" si="7"/>
        <v>1950</v>
      </c>
      <c r="AP24" s="17">
        <f t="shared" si="8"/>
        <v>1576.1192999999998</v>
      </c>
      <c r="AQ24" s="17">
        <f t="shared" si="9"/>
        <v>955.27250000000004</v>
      </c>
      <c r="AR24" s="17">
        <v>0</v>
      </c>
      <c r="AS24" s="15">
        <f t="shared" si="10"/>
        <v>2645.37</v>
      </c>
      <c r="AT24" s="19">
        <f t="shared" si="21"/>
        <v>36519.7618</v>
      </c>
      <c r="AU24" s="18">
        <f t="shared" si="11"/>
        <v>6573.5571239999999</v>
      </c>
      <c r="AV24" s="19">
        <f t="shared" si="12"/>
        <v>43093.318923999999</v>
      </c>
    </row>
    <row r="25" spans="1:48" ht="15.5" customHeight="1" x14ac:dyDescent="0.35">
      <c r="A25" s="14">
        <v>22</v>
      </c>
      <c r="B25" s="24" t="s">
        <v>135</v>
      </c>
      <c r="C25" s="25" t="s">
        <v>136</v>
      </c>
      <c r="D25" s="26" t="s">
        <v>137</v>
      </c>
      <c r="E25" s="73">
        <f>VLOOKUP(B25,'[1]Gemshine Manpower DC&amp;T '!$B$3:$M$61,12,0)</f>
        <v>931633006688</v>
      </c>
      <c r="F25" s="27">
        <v>100973211312</v>
      </c>
      <c r="G25" s="28">
        <v>3307799050</v>
      </c>
      <c r="H25" s="28" t="s">
        <v>138</v>
      </c>
      <c r="I25" s="31" t="s">
        <v>54</v>
      </c>
      <c r="J25" s="56">
        <v>46192</v>
      </c>
      <c r="K25" s="29">
        <v>31267</v>
      </c>
      <c r="L25" s="30">
        <v>9579393288</v>
      </c>
      <c r="M25" s="28" t="s">
        <v>49</v>
      </c>
      <c r="N25" s="32">
        <v>14010</v>
      </c>
      <c r="O25" s="33">
        <v>2511</v>
      </c>
      <c r="P25" s="34">
        <f t="shared" si="0"/>
        <v>826.05000000000007</v>
      </c>
      <c r="Q25" s="34"/>
      <c r="R25" s="34">
        <v>3996</v>
      </c>
      <c r="S25" s="34">
        <f t="shared" si="1"/>
        <v>21343.05</v>
      </c>
      <c r="T25" s="34">
        <v>150</v>
      </c>
      <c r="U25" s="35">
        <f>VLOOKUP(B25,'[2]Aug 26'!$B$4:$AK$99,36,0)</f>
        <v>23</v>
      </c>
      <c r="V25" s="16">
        <f>VLOOKUP(B25,'[2]Aug 26'!$B$4:$AL$85,37,0)</f>
        <v>1</v>
      </c>
      <c r="W25" s="16">
        <f t="shared" si="13"/>
        <v>24</v>
      </c>
      <c r="X25" s="16">
        <f>VLOOKUP(B25,'[2]Aug 26'!$B$4:$AO$85,40,0)</f>
        <v>0</v>
      </c>
      <c r="Y25" s="15">
        <f t="shared" si="14"/>
        <v>12932</v>
      </c>
      <c r="Z25" s="15">
        <f t="shared" si="15"/>
        <v>2318</v>
      </c>
      <c r="AA25" s="15">
        <f t="shared" si="16"/>
        <v>763</v>
      </c>
      <c r="AB25" s="15">
        <f t="shared" si="17"/>
        <v>3689</v>
      </c>
      <c r="AC25" s="15">
        <v>0</v>
      </c>
      <c r="AD25" s="15">
        <f t="shared" si="18"/>
        <v>19702</v>
      </c>
      <c r="AE25" s="15">
        <f t="shared" si="2"/>
        <v>0</v>
      </c>
      <c r="AF25" s="15">
        <f t="shared" si="19"/>
        <v>19702</v>
      </c>
      <c r="AG25" s="17">
        <f t="shared" si="3"/>
        <v>1800</v>
      </c>
      <c r="AH25" s="17">
        <f t="shared" si="4"/>
        <v>148</v>
      </c>
      <c r="AI25" s="18">
        <f t="shared" si="5"/>
        <v>200</v>
      </c>
      <c r="AJ25" s="15">
        <v>0</v>
      </c>
      <c r="AK25" s="15">
        <f>W25*155</f>
        <v>3720</v>
      </c>
      <c r="AL25" s="15">
        <v>0</v>
      </c>
      <c r="AM25" s="15">
        <f t="shared" si="20"/>
        <v>5868</v>
      </c>
      <c r="AN25" s="21">
        <f t="shared" si="6"/>
        <v>13834</v>
      </c>
      <c r="AO25" s="17">
        <f t="shared" si="7"/>
        <v>1950</v>
      </c>
      <c r="AP25" s="17">
        <f t="shared" si="8"/>
        <v>1270.325</v>
      </c>
      <c r="AQ25" s="17">
        <f t="shared" si="9"/>
        <v>640.31500000000005</v>
      </c>
      <c r="AR25" s="17">
        <v>0</v>
      </c>
      <c r="AS25" s="15">
        <f t="shared" si="10"/>
        <v>1773.1799999999998</v>
      </c>
      <c r="AT25" s="19">
        <f t="shared" si="21"/>
        <v>25335.82</v>
      </c>
      <c r="AU25" s="18">
        <f t="shared" si="11"/>
        <v>4560.4475999999995</v>
      </c>
      <c r="AV25" s="19">
        <f t="shared" si="12"/>
        <v>29896.267599999999</v>
      </c>
    </row>
    <row r="26" spans="1:48" ht="15.5" customHeight="1" x14ac:dyDescent="0.35">
      <c r="A26" s="14">
        <v>23</v>
      </c>
      <c r="B26" s="24" t="s">
        <v>139</v>
      </c>
      <c r="C26" s="25" t="s">
        <v>140</v>
      </c>
      <c r="D26" s="26" t="s">
        <v>141</v>
      </c>
      <c r="E26" s="73">
        <f>VLOOKUP(B26,'[1]Gemshine Manpower DC&amp;T '!$B$3:$M$61,12,0)</f>
        <v>228418174388</v>
      </c>
      <c r="F26" s="27">
        <v>100973231036</v>
      </c>
      <c r="G26" s="28">
        <v>3307800182</v>
      </c>
      <c r="H26" s="28" t="s">
        <v>142</v>
      </c>
      <c r="I26" s="31" t="s">
        <v>48</v>
      </c>
      <c r="J26" s="56">
        <v>46192</v>
      </c>
      <c r="K26" s="29">
        <v>31787</v>
      </c>
      <c r="L26" s="30">
        <v>9356824034</v>
      </c>
      <c r="M26" s="28" t="s">
        <v>122</v>
      </c>
      <c r="N26" s="32">
        <v>15025</v>
      </c>
      <c r="O26" s="33">
        <v>2511</v>
      </c>
      <c r="P26" s="34">
        <f t="shared" si="0"/>
        <v>876.80000000000007</v>
      </c>
      <c r="Q26" s="34"/>
      <c r="R26" s="34">
        <v>7250</v>
      </c>
      <c r="S26" s="34">
        <f t="shared" si="1"/>
        <v>25662.799999999999</v>
      </c>
      <c r="T26" s="34">
        <v>150</v>
      </c>
      <c r="U26" s="35">
        <f>VLOOKUP(B26,'[2]Aug 26'!$B$4:$AK$99,36,0)</f>
        <v>24</v>
      </c>
      <c r="V26" s="16">
        <f>VLOOKUP(B26,'[2]Aug 26'!$B$4:$AL$85,37,0)</f>
        <v>1</v>
      </c>
      <c r="W26" s="16">
        <f t="shared" si="13"/>
        <v>25</v>
      </c>
      <c r="X26" s="16">
        <f>VLOOKUP(B26,'[2]Aug 26'!$B$4:$AO$85,40,0)</f>
        <v>0</v>
      </c>
      <c r="Y26" s="15">
        <f t="shared" si="14"/>
        <v>14447</v>
      </c>
      <c r="Z26" s="15">
        <f t="shared" si="15"/>
        <v>2414</v>
      </c>
      <c r="AA26" s="15">
        <f t="shared" si="16"/>
        <v>843</v>
      </c>
      <c r="AB26" s="15">
        <f t="shared" si="17"/>
        <v>6971</v>
      </c>
      <c r="AC26" s="15">
        <v>0</v>
      </c>
      <c r="AD26" s="15">
        <f t="shared" si="18"/>
        <v>24675</v>
      </c>
      <c r="AE26" s="15">
        <f t="shared" si="2"/>
        <v>0</v>
      </c>
      <c r="AF26" s="15">
        <f t="shared" si="19"/>
        <v>24675</v>
      </c>
      <c r="AG26" s="17">
        <f t="shared" si="3"/>
        <v>1800</v>
      </c>
      <c r="AH26" s="17">
        <f t="shared" si="4"/>
        <v>185</v>
      </c>
      <c r="AI26" s="18">
        <f t="shared" si="5"/>
        <v>0</v>
      </c>
      <c r="AJ26" s="15">
        <v>0</v>
      </c>
      <c r="AK26" s="15">
        <f>W26*209</f>
        <v>5225</v>
      </c>
      <c r="AL26" s="15">
        <v>0</v>
      </c>
      <c r="AM26" s="15">
        <f t="shared" si="20"/>
        <v>7210</v>
      </c>
      <c r="AN26" s="21">
        <f t="shared" si="6"/>
        <v>17465</v>
      </c>
      <c r="AO26" s="17">
        <f t="shared" si="7"/>
        <v>1950</v>
      </c>
      <c r="AP26" s="17">
        <f t="shared" si="8"/>
        <v>1404.5213000000001</v>
      </c>
      <c r="AQ26" s="17">
        <f t="shared" si="9"/>
        <v>801.9375</v>
      </c>
      <c r="AR26" s="17">
        <v>0</v>
      </c>
      <c r="AS26" s="15">
        <f t="shared" si="10"/>
        <v>2220.75</v>
      </c>
      <c r="AT26" s="19">
        <f t="shared" si="21"/>
        <v>31052.2088</v>
      </c>
      <c r="AU26" s="18">
        <f t="shared" si="11"/>
        <v>5589.3975840000003</v>
      </c>
      <c r="AV26" s="19">
        <f t="shared" si="12"/>
        <v>36641.606383999999</v>
      </c>
    </row>
    <row r="27" spans="1:48" ht="15.5" customHeight="1" x14ac:dyDescent="0.35">
      <c r="A27" s="14">
        <v>24</v>
      </c>
      <c r="B27" s="24" t="s">
        <v>143</v>
      </c>
      <c r="C27" s="25" t="s">
        <v>144</v>
      </c>
      <c r="D27" s="26" t="s">
        <v>145</v>
      </c>
      <c r="E27" s="73">
        <f>VLOOKUP(B27,'[1]Gemshine Manpower DC&amp;T '!$B$3:$M$61,12,0)</f>
        <v>432842782943</v>
      </c>
      <c r="F27" s="27">
        <v>102352401538</v>
      </c>
      <c r="G27" s="28">
        <v>3318930343</v>
      </c>
      <c r="H27" s="28" t="s">
        <v>146</v>
      </c>
      <c r="I27" s="31" t="s">
        <v>54</v>
      </c>
      <c r="J27" s="56">
        <v>46192</v>
      </c>
      <c r="K27" s="29">
        <v>36813</v>
      </c>
      <c r="L27" s="30">
        <v>9373315143</v>
      </c>
      <c r="M27" s="28" t="s">
        <v>49</v>
      </c>
      <c r="N27" s="36">
        <v>14010</v>
      </c>
      <c r="O27" s="36">
        <v>2511</v>
      </c>
      <c r="P27" s="34">
        <f t="shared" si="0"/>
        <v>826.05000000000007</v>
      </c>
      <c r="Q27" s="34"/>
      <c r="R27" s="34">
        <v>3996</v>
      </c>
      <c r="S27" s="34">
        <f t="shared" si="1"/>
        <v>21343.05</v>
      </c>
      <c r="T27" s="34">
        <v>150</v>
      </c>
      <c r="U27" s="35">
        <f>VLOOKUP(B27,'[2]Aug 26'!$B$4:$AK$99,36,0)</f>
        <v>12</v>
      </c>
      <c r="V27" s="16">
        <f>VLOOKUP(B27,'[2]Aug 26'!$B$4:$AL$85,37,0)</f>
        <v>1</v>
      </c>
      <c r="W27" s="16">
        <f t="shared" si="13"/>
        <v>13</v>
      </c>
      <c r="X27" s="16">
        <f>VLOOKUP(B27,'[2]Aug 26'!$B$4:$AO$85,40,0)</f>
        <v>0</v>
      </c>
      <c r="Y27" s="15">
        <f t="shared" si="14"/>
        <v>7005</v>
      </c>
      <c r="Z27" s="15">
        <f t="shared" si="15"/>
        <v>1256</v>
      </c>
      <c r="AA27" s="15">
        <f t="shared" si="16"/>
        <v>413</v>
      </c>
      <c r="AB27" s="15">
        <f t="shared" si="17"/>
        <v>1998</v>
      </c>
      <c r="AC27" s="15">
        <v>0</v>
      </c>
      <c r="AD27" s="15">
        <f t="shared" si="18"/>
        <v>10672</v>
      </c>
      <c r="AE27" s="15">
        <f t="shared" si="2"/>
        <v>0</v>
      </c>
      <c r="AF27" s="15">
        <f t="shared" si="19"/>
        <v>10672</v>
      </c>
      <c r="AG27" s="17">
        <f t="shared" si="3"/>
        <v>991.32</v>
      </c>
      <c r="AH27" s="17">
        <f t="shared" si="4"/>
        <v>80</v>
      </c>
      <c r="AI27" s="18">
        <f t="shared" si="5"/>
        <v>200</v>
      </c>
      <c r="AJ27" s="15">
        <v>0</v>
      </c>
      <c r="AK27" s="15">
        <f t="shared" ref="AK27:AK31" si="24">W27*155</f>
        <v>2015</v>
      </c>
      <c r="AL27" s="15">
        <v>0</v>
      </c>
      <c r="AM27" s="15">
        <f t="shared" si="20"/>
        <v>3286</v>
      </c>
      <c r="AN27" s="21">
        <f t="shared" si="6"/>
        <v>7386</v>
      </c>
      <c r="AO27" s="17">
        <f t="shared" si="7"/>
        <v>1073.93</v>
      </c>
      <c r="AP27" s="17">
        <f t="shared" si="8"/>
        <v>688.1413</v>
      </c>
      <c r="AQ27" s="17">
        <f t="shared" si="9"/>
        <v>346.84</v>
      </c>
      <c r="AR27" s="17">
        <v>0</v>
      </c>
      <c r="AS27" s="15">
        <f t="shared" si="10"/>
        <v>960.48</v>
      </c>
      <c r="AT27" s="19">
        <f t="shared" si="21"/>
        <v>13741.391299999999</v>
      </c>
      <c r="AU27" s="18">
        <f t="shared" si="11"/>
        <v>2473.4504339999999</v>
      </c>
      <c r="AV27" s="19">
        <f t="shared" si="12"/>
        <v>16214.841734</v>
      </c>
    </row>
    <row r="28" spans="1:48" ht="15.5" customHeight="1" x14ac:dyDescent="0.35">
      <c r="A28" s="14">
        <v>25</v>
      </c>
      <c r="B28" s="24" t="s">
        <v>147</v>
      </c>
      <c r="C28" s="25" t="s">
        <v>148</v>
      </c>
      <c r="D28" s="26" t="s">
        <v>149</v>
      </c>
      <c r="E28" s="73">
        <f>VLOOKUP(B28,'[1]Gemshine Manpower DC&amp;T '!$B$3:$M$61,12,0)</f>
        <v>603408165856</v>
      </c>
      <c r="F28" s="27">
        <v>101389098463</v>
      </c>
      <c r="G28" s="28">
        <v>3312874750</v>
      </c>
      <c r="H28" s="28" t="s">
        <v>150</v>
      </c>
      <c r="I28" s="31" t="s">
        <v>54</v>
      </c>
      <c r="J28" s="56">
        <v>46196</v>
      </c>
      <c r="K28" s="29">
        <v>30438</v>
      </c>
      <c r="L28" s="30">
        <v>8767421435</v>
      </c>
      <c r="M28" s="28" t="s">
        <v>49</v>
      </c>
      <c r="N28" s="36">
        <v>14010</v>
      </c>
      <c r="O28" s="36">
        <v>2511</v>
      </c>
      <c r="P28" s="34">
        <f t="shared" si="0"/>
        <v>826.05000000000007</v>
      </c>
      <c r="Q28" s="34"/>
      <c r="R28" s="34">
        <v>3996</v>
      </c>
      <c r="S28" s="34">
        <f t="shared" si="1"/>
        <v>21343.05</v>
      </c>
      <c r="T28" s="34">
        <v>150</v>
      </c>
      <c r="U28" s="35">
        <f>VLOOKUP(B28,'[2]Aug 26'!$B$4:$AK$99,36,0)</f>
        <v>23</v>
      </c>
      <c r="V28" s="16">
        <f>VLOOKUP(B28,'[2]Aug 26'!$B$4:$AL$85,37,0)</f>
        <v>1</v>
      </c>
      <c r="W28" s="16">
        <f t="shared" si="13"/>
        <v>24</v>
      </c>
      <c r="X28" s="16">
        <f>VLOOKUP(B28,'[2]Aug 26'!$B$4:$AO$85,40,0)</f>
        <v>0</v>
      </c>
      <c r="Y28" s="15">
        <f t="shared" si="14"/>
        <v>12932</v>
      </c>
      <c r="Z28" s="15">
        <f t="shared" si="15"/>
        <v>2318</v>
      </c>
      <c r="AA28" s="15">
        <f t="shared" si="16"/>
        <v>763</v>
      </c>
      <c r="AB28" s="15">
        <f t="shared" si="17"/>
        <v>3689</v>
      </c>
      <c r="AC28" s="15">
        <v>0</v>
      </c>
      <c r="AD28" s="15">
        <f t="shared" si="18"/>
        <v>19702</v>
      </c>
      <c r="AE28" s="15">
        <f t="shared" si="2"/>
        <v>0</v>
      </c>
      <c r="AF28" s="15">
        <f t="shared" si="19"/>
        <v>19702</v>
      </c>
      <c r="AG28" s="17">
        <f t="shared" si="3"/>
        <v>1800</v>
      </c>
      <c r="AH28" s="17">
        <f t="shared" si="4"/>
        <v>148</v>
      </c>
      <c r="AI28" s="18">
        <f t="shared" si="5"/>
        <v>200</v>
      </c>
      <c r="AJ28" s="15">
        <v>0</v>
      </c>
      <c r="AK28" s="15">
        <f t="shared" si="24"/>
        <v>3720</v>
      </c>
      <c r="AL28" s="15">
        <v>0</v>
      </c>
      <c r="AM28" s="15">
        <f t="shared" si="20"/>
        <v>5868</v>
      </c>
      <c r="AN28" s="21">
        <f t="shared" si="6"/>
        <v>13834</v>
      </c>
      <c r="AO28" s="17">
        <f t="shared" si="7"/>
        <v>1950</v>
      </c>
      <c r="AP28" s="17">
        <f t="shared" si="8"/>
        <v>1270.325</v>
      </c>
      <c r="AQ28" s="17">
        <f t="shared" si="9"/>
        <v>640.31500000000005</v>
      </c>
      <c r="AR28" s="17">
        <v>0</v>
      </c>
      <c r="AS28" s="15">
        <f t="shared" si="10"/>
        <v>1773.1799999999998</v>
      </c>
      <c r="AT28" s="19">
        <f t="shared" si="21"/>
        <v>25335.82</v>
      </c>
      <c r="AU28" s="18">
        <f t="shared" si="11"/>
        <v>4560.4475999999995</v>
      </c>
      <c r="AV28" s="19">
        <f t="shared" si="12"/>
        <v>29896.267599999999</v>
      </c>
    </row>
    <row r="29" spans="1:48" ht="15.5" customHeight="1" x14ac:dyDescent="0.35">
      <c r="A29" s="14">
        <v>26</v>
      </c>
      <c r="B29" s="24" t="s">
        <v>151</v>
      </c>
      <c r="C29" s="25" t="s">
        <v>152</v>
      </c>
      <c r="D29" s="26" t="s">
        <v>153</v>
      </c>
      <c r="E29" s="73">
        <f>VLOOKUP(B29,'[1]Gemshine Manpower DC&amp;T '!$B$3:$M$61,12,0)</f>
        <v>623883908468</v>
      </c>
      <c r="F29" s="27">
        <v>100884408537</v>
      </c>
      <c r="G29" s="28">
        <v>3310038925</v>
      </c>
      <c r="H29" s="28" t="s">
        <v>154</v>
      </c>
      <c r="I29" s="31" t="s">
        <v>54</v>
      </c>
      <c r="J29" s="56">
        <v>46197</v>
      </c>
      <c r="K29" s="29">
        <v>29738</v>
      </c>
      <c r="L29" s="30">
        <v>8484036964</v>
      </c>
      <c r="M29" s="28" t="s">
        <v>49</v>
      </c>
      <c r="N29" s="36">
        <v>14010</v>
      </c>
      <c r="O29" s="36">
        <v>2511</v>
      </c>
      <c r="P29" s="34">
        <f t="shared" si="0"/>
        <v>826.05000000000007</v>
      </c>
      <c r="Q29" s="34"/>
      <c r="R29" s="34">
        <v>3996</v>
      </c>
      <c r="S29" s="34">
        <f t="shared" si="1"/>
        <v>21343.05</v>
      </c>
      <c r="T29" s="34">
        <v>150</v>
      </c>
      <c r="U29" s="35">
        <f>VLOOKUP(B29,'[2]Aug 26'!$B$4:$AK$99,36,0)</f>
        <v>25</v>
      </c>
      <c r="V29" s="16">
        <f>VLOOKUP(B29,'[2]Aug 26'!$B$4:$AL$85,37,0)</f>
        <v>1</v>
      </c>
      <c r="W29" s="16">
        <f t="shared" si="13"/>
        <v>26</v>
      </c>
      <c r="X29" s="16">
        <f>VLOOKUP(B29,'[2]Aug 26'!$B$4:$AO$85,40,0)</f>
        <v>0</v>
      </c>
      <c r="Y29" s="15">
        <f t="shared" si="14"/>
        <v>14010</v>
      </c>
      <c r="Z29" s="15">
        <f t="shared" si="15"/>
        <v>2511</v>
      </c>
      <c r="AA29" s="15">
        <f t="shared" si="16"/>
        <v>826</v>
      </c>
      <c r="AB29" s="15">
        <f t="shared" si="17"/>
        <v>3996</v>
      </c>
      <c r="AC29" s="15">
        <v>0</v>
      </c>
      <c r="AD29" s="15">
        <f t="shared" si="18"/>
        <v>21343</v>
      </c>
      <c r="AE29" s="15">
        <f t="shared" si="2"/>
        <v>0</v>
      </c>
      <c r="AF29" s="15">
        <f t="shared" si="19"/>
        <v>21343</v>
      </c>
      <c r="AG29" s="17">
        <f t="shared" si="3"/>
        <v>1800</v>
      </c>
      <c r="AH29" s="17">
        <f t="shared" si="4"/>
        <v>160</v>
      </c>
      <c r="AI29" s="18">
        <f t="shared" si="5"/>
        <v>200</v>
      </c>
      <c r="AJ29" s="15">
        <v>0</v>
      </c>
      <c r="AK29" s="15">
        <f t="shared" si="24"/>
        <v>4030</v>
      </c>
      <c r="AL29" s="15">
        <v>0</v>
      </c>
      <c r="AM29" s="15">
        <f t="shared" si="20"/>
        <v>6190</v>
      </c>
      <c r="AN29" s="21">
        <f t="shared" si="6"/>
        <v>15153</v>
      </c>
      <c r="AO29" s="17">
        <f t="shared" si="7"/>
        <v>1950</v>
      </c>
      <c r="AP29" s="17">
        <f t="shared" si="8"/>
        <v>1376.1993</v>
      </c>
      <c r="AQ29" s="17">
        <f t="shared" si="9"/>
        <v>693.64750000000004</v>
      </c>
      <c r="AR29" s="17">
        <v>0</v>
      </c>
      <c r="AS29" s="15">
        <f t="shared" si="10"/>
        <v>1920.87</v>
      </c>
      <c r="AT29" s="19">
        <f t="shared" si="21"/>
        <v>27283.716799999998</v>
      </c>
      <c r="AU29" s="18">
        <f t="shared" si="11"/>
        <v>4911.0690239999994</v>
      </c>
      <c r="AV29" s="19">
        <f t="shared" si="12"/>
        <v>32194.785823999999</v>
      </c>
    </row>
    <row r="30" spans="1:48" ht="15.5" customHeight="1" x14ac:dyDescent="0.35">
      <c r="A30" s="14">
        <v>27</v>
      </c>
      <c r="B30" s="24" t="s">
        <v>155</v>
      </c>
      <c r="C30" s="25" t="s">
        <v>156</v>
      </c>
      <c r="D30" s="26" t="s">
        <v>157</v>
      </c>
      <c r="E30" s="73">
        <f>VLOOKUP(B30,'[1]Gemshine Manpower DC&amp;T '!$B$3:$M$61,12,0)</f>
        <v>661292011092</v>
      </c>
      <c r="F30" s="27">
        <v>102354894293</v>
      </c>
      <c r="G30" s="28">
        <v>3319029376</v>
      </c>
      <c r="H30" s="28" t="s">
        <v>158</v>
      </c>
      <c r="I30" s="31" t="s">
        <v>54</v>
      </c>
      <c r="J30" s="56">
        <v>46197</v>
      </c>
      <c r="K30" s="29">
        <v>32340</v>
      </c>
      <c r="L30" s="30">
        <v>9325738908</v>
      </c>
      <c r="M30" s="28" t="s">
        <v>49</v>
      </c>
      <c r="N30" s="36">
        <v>14010</v>
      </c>
      <c r="O30" s="36">
        <v>2511</v>
      </c>
      <c r="P30" s="34">
        <f t="shared" si="0"/>
        <v>826.05000000000007</v>
      </c>
      <c r="Q30" s="34"/>
      <c r="R30" s="34">
        <v>3996</v>
      </c>
      <c r="S30" s="34">
        <f t="shared" si="1"/>
        <v>21343.05</v>
      </c>
      <c r="T30" s="34">
        <v>150</v>
      </c>
      <c r="U30" s="35">
        <f>VLOOKUP(B30,'[2]Aug 26'!$B$4:$AK$99,36,0)</f>
        <v>20</v>
      </c>
      <c r="V30" s="16">
        <f>VLOOKUP(B30,'[2]Aug 26'!$B$4:$AL$85,37,0)</f>
        <v>1</v>
      </c>
      <c r="W30" s="16">
        <f t="shared" si="13"/>
        <v>21</v>
      </c>
      <c r="X30" s="16">
        <f>VLOOKUP(B30,'[2]Aug 26'!$B$4:$AO$85,40,0)</f>
        <v>0</v>
      </c>
      <c r="Y30" s="15">
        <f t="shared" si="14"/>
        <v>11316</v>
      </c>
      <c r="Z30" s="15">
        <f t="shared" si="15"/>
        <v>2028</v>
      </c>
      <c r="AA30" s="15">
        <f t="shared" si="16"/>
        <v>667</v>
      </c>
      <c r="AB30" s="15">
        <f t="shared" si="17"/>
        <v>3228</v>
      </c>
      <c r="AC30" s="15">
        <v>0</v>
      </c>
      <c r="AD30" s="15">
        <f t="shared" si="18"/>
        <v>17239</v>
      </c>
      <c r="AE30" s="15">
        <f t="shared" si="2"/>
        <v>0</v>
      </c>
      <c r="AF30" s="15">
        <f t="shared" si="19"/>
        <v>17239</v>
      </c>
      <c r="AG30" s="17">
        <f t="shared" si="3"/>
        <v>1601.28</v>
      </c>
      <c r="AH30" s="17">
        <f t="shared" si="4"/>
        <v>129</v>
      </c>
      <c r="AI30" s="18">
        <f t="shared" si="5"/>
        <v>200</v>
      </c>
      <c r="AJ30" s="15">
        <v>0</v>
      </c>
      <c r="AK30" s="15">
        <f t="shared" si="24"/>
        <v>3255</v>
      </c>
      <c r="AL30" s="15">
        <v>0</v>
      </c>
      <c r="AM30" s="15">
        <f t="shared" si="20"/>
        <v>5185</v>
      </c>
      <c r="AN30" s="21">
        <f t="shared" si="6"/>
        <v>12054</v>
      </c>
      <c r="AO30" s="17">
        <f t="shared" si="7"/>
        <v>1734.72</v>
      </c>
      <c r="AP30" s="17">
        <f t="shared" si="8"/>
        <v>1111.5552</v>
      </c>
      <c r="AQ30" s="17">
        <f t="shared" si="9"/>
        <v>560.26750000000004</v>
      </c>
      <c r="AR30" s="17">
        <v>0</v>
      </c>
      <c r="AS30" s="15">
        <f t="shared" si="10"/>
        <v>1551.51</v>
      </c>
      <c r="AT30" s="19">
        <f t="shared" si="21"/>
        <v>22197.0527</v>
      </c>
      <c r="AU30" s="18">
        <f t="shared" si="11"/>
        <v>3995.469486</v>
      </c>
      <c r="AV30" s="19">
        <f t="shared" si="12"/>
        <v>26192.522186000002</v>
      </c>
    </row>
    <row r="31" spans="1:48" ht="15.5" customHeight="1" x14ac:dyDescent="0.35">
      <c r="A31" s="14">
        <v>28</v>
      </c>
      <c r="B31" s="24" t="s">
        <v>159</v>
      </c>
      <c r="C31" s="25" t="s">
        <v>193</v>
      </c>
      <c r="D31" s="26" t="s">
        <v>160</v>
      </c>
      <c r="E31" s="73">
        <f>VLOOKUP(B31,'[1]Gemshine Manpower DC&amp;T '!$B$3:$M$61,12,0)</f>
        <v>430095671307</v>
      </c>
      <c r="F31" s="27">
        <v>101370620848</v>
      </c>
      <c r="G31" s="28">
        <v>3313633423</v>
      </c>
      <c r="H31" s="28" t="s">
        <v>161</v>
      </c>
      <c r="I31" s="31" t="s">
        <v>54</v>
      </c>
      <c r="J31" s="56">
        <v>46198</v>
      </c>
      <c r="K31" s="29">
        <v>32790</v>
      </c>
      <c r="L31" s="30">
        <v>7057690825</v>
      </c>
      <c r="M31" s="28" t="s">
        <v>49</v>
      </c>
      <c r="N31" s="36">
        <v>14010</v>
      </c>
      <c r="O31" s="36">
        <v>2511</v>
      </c>
      <c r="P31" s="34">
        <f t="shared" si="0"/>
        <v>826.05000000000007</v>
      </c>
      <c r="Q31" s="34"/>
      <c r="R31" s="34">
        <v>3996</v>
      </c>
      <c r="S31" s="34">
        <f t="shared" si="1"/>
        <v>21343.05</v>
      </c>
      <c r="T31" s="34">
        <v>150</v>
      </c>
      <c r="U31" s="35">
        <f>VLOOKUP(B31,'[2]Aug 26'!$B$4:$AK$99,36,0)</f>
        <v>15</v>
      </c>
      <c r="V31" s="16">
        <f>VLOOKUP(B31,'[2]Aug 26'!$B$4:$AL$85,37,0)</f>
        <v>0</v>
      </c>
      <c r="W31" s="16">
        <f t="shared" si="13"/>
        <v>15</v>
      </c>
      <c r="X31" s="16">
        <f>VLOOKUP(B31,'[2]Aug 26'!$B$4:$AO$85,40,0)</f>
        <v>0</v>
      </c>
      <c r="Y31" s="15">
        <f t="shared" si="14"/>
        <v>8083</v>
      </c>
      <c r="Z31" s="15">
        <f t="shared" si="15"/>
        <v>1449</v>
      </c>
      <c r="AA31" s="15">
        <f t="shared" si="16"/>
        <v>477</v>
      </c>
      <c r="AB31" s="15">
        <f t="shared" si="17"/>
        <v>2305</v>
      </c>
      <c r="AC31" s="15">
        <v>0</v>
      </c>
      <c r="AD31" s="15">
        <f t="shared" si="18"/>
        <v>12314</v>
      </c>
      <c r="AE31" s="15">
        <f t="shared" si="2"/>
        <v>0</v>
      </c>
      <c r="AF31" s="15">
        <f t="shared" si="19"/>
        <v>12314</v>
      </c>
      <c r="AG31" s="17">
        <f t="shared" si="3"/>
        <v>1143.8399999999999</v>
      </c>
      <c r="AH31" s="17">
        <f t="shared" si="4"/>
        <v>92</v>
      </c>
      <c r="AI31" s="18">
        <f t="shared" si="5"/>
        <v>200</v>
      </c>
      <c r="AJ31" s="15">
        <v>0</v>
      </c>
      <c r="AK31" s="15">
        <f t="shared" si="24"/>
        <v>2325</v>
      </c>
      <c r="AL31" s="15">
        <v>0</v>
      </c>
      <c r="AM31" s="15">
        <f t="shared" si="20"/>
        <v>3761</v>
      </c>
      <c r="AN31" s="21">
        <f t="shared" si="6"/>
        <v>8553</v>
      </c>
      <c r="AO31" s="17">
        <f t="shared" si="7"/>
        <v>1239.1600000000001</v>
      </c>
      <c r="AP31" s="17">
        <f t="shared" si="8"/>
        <v>794.01559999999995</v>
      </c>
      <c r="AQ31" s="17">
        <f t="shared" si="9"/>
        <v>400.20499999999998</v>
      </c>
      <c r="AR31" s="17">
        <v>0</v>
      </c>
      <c r="AS31" s="15">
        <f t="shared" si="10"/>
        <v>1108.26</v>
      </c>
      <c r="AT31" s="19">
        <f t="shared" si="21"/>
        <v>15855.640600000001</v>
      </c>
      <c r="AU31" s="18">
        <f t="shared" si="11"/>
        <v>2854.015308</v>
      </c>
      <c r="AV31" s="19">
        <f t="shared" si="12"/>
        <v>18709.655908000001</v>
      </c>
    </row>
    <row r="32" spans="1:48" ht="15.5" customHeight="1" x14ac:dyDescent="0.35">
      <c r="A32" s="14">
        <v>29</v>
      </c>
      <c r="B32" s="24" t="s">
        <v>162</v>
      </c>
      <c r="C32" s="25" t="s">
        <v>163</v>
      </c>
      <c r="D32" s="26" t="s">
        <v>171</v>
      </c>
      <c r="E32" s="73">
        <f>VLOOKUP(B32,'[1]Gemshine Manpower DC&amp;T '!$B$3:$M$61,12,0)</f>
        <v>411941476071</v>
      </c>
      <c r="F32" s="27">
        <v>101561780304</v>
      </c>
      <c r="G32" s="28">
        <v>3316596389</v>
      </c>
      <c r="H32" s="28" t="s">
        <v>172</v>
      </c>
      <c r="I32" s="31" t="s">
        <v>54</v>
      </c>
      <c r="J32" s="56">
        <v>46113</v>
      </c>
      <c r="K32" s="29">
        <v>37054</v>
      </c>
      <c r="L32" s="30">
        <v>7499300342</v>
      </c>
      <c r="M32" s="28" t="s">
        <v>85</v>
      </c>
      <c r="N32" s="36">
        <v>16410</v>
      </c>
      <c r="O32" s="36">
        <v>2511</v>
      </c>
      <c r="P32" s="34">
        <f t="shared" si="0"/>
        <v>946.05000000000007</v>
      </c>
      <c r="Q32" s="34"/>
      <c r="R32" s="34">
        <v>8246</v>
      </c>
      <c r="S32" s="34">
        <f t="shared" si="1"/>
        <v>28113.05</v>
      </c>
      <c r="T32" s="34">
        <v>160</v>
      </c>
      <c r="U32" s="35">
        <f>VLOOKUP(B32,'[2]Aug 26'!$B$4:$AK$99,36,0)</f>
        <v>25</v>
      </c>
      <c r="V32" s="16">
        <f>VLOOKUP(B32,'[2]Aug 26'!$B$4:$AL$85,37,0)</f>
        <v>1</v>
      </c>
      <c r="W32" s="16">
        <f t="shared" si="13"/>
        <v>26</v>
      </c>
      <c r="X32" s="16">
        <f>VLOOKUP(B32,'[2]Aug 26'!$B$4:$AO$85,40,0)</f>
        <v>0</v>
      </c>
      <c r="Y32" s="15">
        <f t="shared" si="14"/>
        <v>16410</v>
      </c>
      <c r="Z32" s="15">
        <f t="shared" si="15"/>
        <v>2511</v>
      </c>
      <c r="AA32" s="15">
        <f t="shared" si="16"/>
        <v>946</v>
      </c>
      <c r="AB32" s="15">
        <f t="shared" si="17"/>
        <v>8246</v>
      </c>
      <c r="AC32" s="15">
        <v>0</v>
      </c>
      <c r="AD32" s="15">
        <f t="shared" si="18"/>
        <v>28113</v>
      </c>
      <c r="AE32" s="15">
        <f t="shared" si="2"/>
        <v>0</v>
      </c>
      <c r="AF32" s="15">
        <f t="shared" si="19"/>
        <v>28113</v>
      </c>
      <c r="AG32" s="17">
        <f t="shared" si="3"/>
        <v>1800</v>
      </c>
      <c r="AH32" s="17">
        <f t="shared" si="4"/>
        <v>211</v>
      </c>
      <c r="AI32" s="18">
        <f t="shared" si="5"/>
        <v>200</v>
      </c>
      <c r="AJ32" s="15">
        <v>0</v>
      </c>
      <c r="AK32" s="15">
        <f>W32*220</f>
        <v>5720</v>
      </c>
      <c r="AL32" s="15">
        <v>0</v>
      </c>
      <c r="AM32" s="15">
        <f t="shared" si="20"/>
        <v>7931</v>
      </c>
      <c r="AN32" s="21">
        <f t="shared" si="6"/>
        <v>20182</v>
      </c>
      <c r="AO32" s="17">
        <f t="shared" si="7"/>
        <v>1950</v>
      </c>
      <c r="AP32" s="17">
        <f t="shared" si="8"/>
        <v>1576.1192999999998</v>
      </c>
      <c r="AQ32" s="17">
        <f t="shared" si="9"/>
        <v>913.67250000000001</v>
      </c>
      <c r="AR32" s="17">
        <v>0</v>
      </c>
      <c r="AS32" s="15">
        <f t="shared" si="10"/>
        <v>2530.17</v>
      </c>
      <c r="AT32" s="19">
        <f t="shared" si="21"/>
        <v>35082.961799999997</v>
      </c>
      <c r="AU32" s="18">
        <f t="shared" si="11"/>
        <v>6314.9331239999992</v>
      </c>
      <c r="AV32" s="19">
        <f t="shared" si="12"/>
        <v>41397.894923999993</v>
      </c>
    </row>
    <row r="33" spans="1:48" ht="15.5" x14ac:dyDescent="0.35">
      <c r="A33" s="14">
        <v>30</v>
      </c>
      <c r="B33" s="24" t="s">
        <v>165</v>
      </c>
      <c r="C33" s="25" t="s">
        <v>173</v>
      </c>
      <c r="D33" s="26" t="s">
        <v>174</v>
      </c>
      <c r="E33" s="73">
        <f>VLOOKUP(B33,'[1]Gemshine Manpower DC&amp;T '!$B$3:$M$61,12,0)</f>
        <v>746266493157</v>
      </c>
      <c r="F33" s="27">
        <v>101189902024</v>
      </c>
      <c r="G33" s="28">
        <v>3315694618</v>
      </c>
      <c r="H33" s="28" t="s">
        <v>175</v>
      </c>
      <c r="I33" s="31" t="s">
        <v>54</v>
      </c>
      <c r="J33" s="56">
        <v>46205</v>
      </c>
      <c r="K33" s="29">
        <v>34585</v>
      </c>
      <c r="L33" s="30">
        <v>7021873746</v>
      </c>
      <c r="M33" s="28" t="s">
        <v>80</v>
      </c>
      <c r="N33" s="36">
        <v>15025</v>
      </c>
      <c r="O33" s="36">
        <v>2511</v>
      </c>
      <c r="P33" s="34">
        <f t="shared" si="0"/>
        <v>876.80000000000007</v>
      </c>
      <c r="Q33" s="34"/>
      <c r="R33" s="34">
        <v>7250</v>
      </c>
      <c r="S33" s="34">
        <f t="shared" si="1"/>
        <v>25662.799999999999</v>
      </c>
      <c r="T33" s="34">
        <v>150</v>
      </c>
      <c r="U33" s="35">
        <f>VLOOKUP(B33,'[2]Aug 26'!$B$4:$AK$99,36,0)</f>
        <v>25</v>
      </c>
      <c r="V33" s="16">
        <f>VLOOKUP(B33,'[2]Aug 26'!$B$4:$AL$85,37,0)</f>
        <v>1</v>
      </c>
      <c r="W33" s="16">
        <f t="shared" si="13"/>
        <v>26</v>
      </c>
      <c r="X33" s="16">
        <f>VLOOKUP(B33,'[2]Aug 26'!$B$4:$AO$85,40,0)</f>
        <v>6</v>
      </c>
      <c r="Y33" s="15">
        <f t="shared" si="14"/>
        <v>15025</v>
      </c>
      <c r="Z33" s="15">
        <f t="shared" si="15"/>
        <v>2511</v>
      </c>
      <c r="AA33" s="15">
        <f t="shared" si="16"/>
        <v>877</v>
      </c>
      <c r="AB33" s="15">
        <f t="shared" si="17"/>
        <v>7250</v>
      </c>
      <c r="AC33" s="15">
        <v>0</v>
      </c>
      <c r="AD33" s="15">
        <f t="shared" si="18"/>
        <v>25663</v>
      </c>
      <c r="AE33" s="15">
        <f t="shared" si="2"/>
        <v>900</v>
      </c>
      <c r="AF33" s="15">
        <f t="shared" ref="AF33:AF34" si="25">ROUND(AD33+AE33,0)</f>
        <v>26563</v>
      </c>
      <c r="AG33" s="17">
        <f t="shared" si="3"/>
        <v>1800</v>
      </c>
      <c r="AH33" s="17">
        <f t="shared" ref="AH33:AH34" si="26">ROUND(AF33*0.75%,0)</f>
        <v>199</v>
      </c>
      <c r="AI33" s="18">
        <f t="shared" si="5"/>
        <v>200</v>
      </c>
      <c r="AJ33" s="15">
        <v>0</v>
      </c>
      <c r="AK33" s="15">
        <f>W33*208</f>
        <v>5408</v>
      </c>
      <c r="AL33" s="15">
        <v>0</v>
      </c>
      <c r="AM33" s="15">
        <f t="shared" ref="AM33:AM34" si="27">ROUND(SUM(AG33:AK33),0)</f>
        <v>7607</v>
      </c>
      <c r="AN33" s="21">
        <f t="shared" si="6"/>
        <v>18956</v>
      </c>
      <c r="AO33" s="17">
        <f t="shared" si="7"/>
        <v>1950</v>
      </c>
      <c r="AP33" s="17">
        <f t="shared" si="8"/>
        <v>1460.7488000000001</v>
      </c>
      <c r="AQ33" s="17">
        <f t="shared" ref="AQ33:AQ34" si="28">(AF33)*3.25/100</f>
        <v>863.29750000000001</v>
      </c>
      <c r="AR33" s="17">
        <v>0</v>
      </c>
      <c r="AS33" s="15">
        <f t="shared" ref="AS33:AS34" si="29">AF33*9%</f>
        <v>2390.67</v>
      </c>
      <c r="AT33" s="19">
        <f t="shared" si="21"/>
        <v>33227.7163</v>
      </c>
      <c r="AU33" s="18">
        <f t="shared" ref="AU33:AU34" si="30">AT33*18%</f>
        <v>5980.988934</v>
      </c>
      <c r="AV33" s="19">
        <f t="shared" ref="AV33:AV34" si="31">AT33+AU33</f>
        <v>39208.705234000001</v>
      </c>
    </row>
    <row r="34" spans="1:48" ht="15.5" x14ac:dyDescent="0.35">
      <c r="A34" s="14">
        <v>31</v>
      </c>
      <c r="B34" s="24" t="s">
        <v>166</v>
      </c>
      <c r="C34" s="25" t="s">
        <v>176</v>
      </c>
      <c r="D34" s="26" t="s">
        <v>177</v>
      </c>
      <c r="E34" s="73">
        <f>VLOOKUP(B34,'[1]Gemshine Manpower DC&amp;T '!$B$3:$M$61,12,0)</f>
        <v>260456833570</v>
      </c>
      <c r="F34" s="27">
        <v>101804912424</v>
      </c>
      <c r="G34" s="28">
        <v>3316975181</v>
      </c>
      <c r="H34" s="28" t="s">
        <v>178</v>
      </c>
      <c r="I34" s="31" t="s">
        <v>54</v>
      </c>
      <c r="J34" s="56">
        <v>46214</v>
      </c>
      <c r="K34" s="29">
        <v>37666</v>
      </c>
      <c r="L34" s="30">
        <v>8087985188</v>
      </c>
      <c r="M34" s="28" t="s">
        <v>169</v>
      </c>
      <c r="N34" s="36">
        <v>16410</v>
      </c>
      <c r="O34" s="36">
        <v>2511</v>
      </c>
      <c r="P34" s="34">
        <f t="shared" si="0"/>
        <v>946.05000000000007</v>
      </c>
      <c r="Q34" s="34"/>
      <c r="R34" s="34">
        <v>8246</v>
      </c>
      <c r="S34" s="34">
        <f t="shared" si="1"/>
        <v>28113.05</v>
      </c>
      <c r="T34" s="34">
        <v>160</v>
      </c>
      <c r="U34" s="35">
        <f>VLOOKUP(B34,'[2]Aug 26'!$B$4:$AK$99,36,0)</f>
        <v>25</v>
      </c>
      <c r="V34" s="16">
        <f>VLOOKUP(B34,'[2]Aug 26'!$B$4:$AL$85,37,0)</f>
        <v>1</v>
      </c>
      <c r="W34" s="16">
        <f t="shared" si="13"/>
        <v>26</v>
      </c>
      <c r="X34" s="16">
        <f>VLOOKUP(B34,'[2]Aug 26'!$B$4:$AO$85,40,0)</f>
        <v>0</v>
      </c>
      <c r="Y34" s="15">
        <f t="shared" si="14"/>
        <v>16410</v>
      </c>
      <c r="Z34" s="15">
        <f t="shared" si="15"/>
        <v>2511</v>
      </c>
      <c r="AA34" s="15">
        <f t="shared" si="16"/>
        <v>946</v>
      </c>
      <c r="AB34" s="15">
        <f t="shared" si="17"/>
        <v>8246</v>
      </c>
      <c r="AC34" s="15">
        <v>3219</v>
      </c>
      <c r="AD34" s="15">
        <f t="shared" si="18"/>
        <v>31332</v>
      </c>
      <c r="AE34" s="15">
        <f t="shared" si="2"/>
        <v>0</v>
      </c>
      <c r="AF34" s="15">
        <f t="shared" si="25"/>
        <v>31332</v>
      </c>
      <c r="AG34" s="17">
        <f t="shared" si="3"/>
        <v>1800</v>
      </c>
      <c r="AH34" s="17">
        <f t="shared" si="26"/>
        <v>235</v>
      </c>
      <c r="AI34" s="18">
        <f t="shared" si="5"/>
        <v>200</v>
      </c>
      <c r="AJ34" s="15">
        <v>0</v>
      </c>
      <c r="AK34" s="15">
        <f t="shared" ref="AK34" si="32">W34*34</f>
        <v>884</v>
      </c>
      <c r="AL34" s="15">
        <v>0</v>
      </c>
      <c r="AM34" s="15">
        <f t="shared" si="27"/>
        <v>3119</v>
      </c>
      <c r="AN34" s="21">
        <f t="shared" si="6"/>
        <v>28213</v>
      </c>
      <c r="AO34" s="17">
        <f t="shared" si="7"/>
        <v>1950</v>
      </c>
      <c r="AP34" s="17">
        <f t="shared" si="8"/>
        <v>1576.1192999999998</v>
      </c>
      <c r="AQ34" s="17">
        <f t="shared" si="28"/>
        <v>1018.29</v>
      </c>
      <c r="AR34" s="17">
        <v>0</v>
      </c>
      <c r="AS34" s="15">
        <f t="shared" si="29"/>
        <v>2819.88</v>
      </c>
      <c r="AT34" s="19">
        <f t="shared" si="21"/>
        <v>38696.289299999997</v>
      </c>
      <c r="AU34" s="18">
        <f t="shared" si="30"/>
        <v>6965.332073999999</v>
      </c>
      <c r="AV34" s="19">
        <f t="shared" si="31"/>
        <v>45661.621373999995</v>
      </c>
    </row>
    <row r="35" spans="1:48" ht="15.5" x14ac:dyDescent="0.35">
      <c r="A35" s="14">
        <v>32</v>
      </c>
      <c r="B35" s="24" t="s">
        <v>167</v>
      </c>
      <c r="C35" s="25" t="s">
        <v>179</v>
      </c>
      <c r="D35" s="26" t="s">
        <v>180</v>
      </c>
      <c r="E35" s="73">
        <f>VLOOKUP(B35,'[1]Gemshine Manpower DC&amp;T '!$B$3:$M$61,12,0)</f>
        <v>523092057891</v>
      </c>
      <c r="F35" s="27">
        <v>102006614491</v>
      </c>
      <c r="G35" s="28">
        <v>3317838801</v>
      </c>
      <c r="H35" s="28" t="s">
        <v>181</v>
      </c>
      <c r="I35" s="31" t="s">
        <v>54</v>
      </c>
      <c r="J35" s="56">
        <v>46218</v>
      </c>
      <c r="K35" s="29">
        <v>38398</v>
      </c>
      <c r="L35" s="30">
        <v>8767355594</v>
      </c>
      <c r="M35" s="28" t="s">
        <v>170</v>
      </c>
      <c r="N35" s="36">
        <v>14010</v>
      </c>
      <c r="O35" s="36">
        <v>2511</v>
      </c>
      <c r="P35" s="34">
        <f t="shared" ref="P35" si="33">(N35+O35)*5%</f>
        <v>826.05000000000007</v>
      </c>
      <c r="Q35" s="34"/>
      <c r="R35" s="34">
        <v>3996</v>
      </c>
      <c r="S35" s="34">
        <f t="shared" ref="S35" si="34">SUM(N35:R35)</f>
        <v>21343.05</v>
      </c>
      <c r="T35" s="34">
        <v>150</v>
      </c>
      <c r="U35" s="35">
        <f>VLOOKUP(B35,'[2]Aug 26'!$B$4:$AK$99,36,0)</f>
        <v>23</v>
      </c>
      <c r="V35" s="16">
        <f>VLOOKUP(B35,'[2]Aug 26'!$B$4:$AL$85,37,0)</f>
        <v>1</v>
      </c>
      <c r="W35" s="16">
        <f t="shared" si="13"/>
        <v>24</v>
      </c>
      <c r="X35" s="16">
        <f>VLOOKUP(B35,'[2]Aug 26'!$B$4:$AO$85,40,0)</f>
        <v>0</v>
      </c>
      <c r="Y35" s="15">
        <f t="shared" ref="Y35:Y36" si="35">ROUND(N35/26*W35,0)</f>
        <v>12932</v>
      </c>
      <c r="Z35" s="15">
        <f t="shared" ref="Z35:Z36" si="36">ROUND(O35/26*W35,0)</f>
        <v>2318</v>
      </c>
      <c r="AA35" s="15">
        <f t="shared" ref="AA35:AA36" si="37">ROUND(P35/26*W35,0)</f>
        <v>763</v>
      </c>
      <c r="AB35" s="15">
        <f t="shared" si="17"/>
        <v>3689</v>
      </c>
      <c r="AC35" s="15">
        <v>0</v>
      </c>
      <c r="AD35" s="15">
        <f t="shared" si="18"/>
        <v>19702</v>
      </c>
      <c r="AE35" s="15">
        <f t="shared" si="2"/>
        <v>0</v>
      </c>
      <c r="AF35" s="15">
        <f t="shared" ref="AF35:AF38" si="38">ROUND(AD35+AE35,0)</f>
        <v>19702</v>
      </c>
      <c r="AG35" s="17">
        <f t="shared" si="3"/>
        <v>1800</v>
      </c>
      <c r="AH35" s="17">
        <f t="shared" ref="AH35:AH38" si="39">ROUND(AF35*0.75%,0)</f>
        <v>148</v>
      </c>
      <c r="AI35" s="18">
        <f t="shared" si="5"/>
        <v>200</v>
      </c>
      <c r="AJ35" s="15">
        <v>0</v>
      </c>
      <c r="AK35" s="15">
        <f t="shared" ref="AK35" si="40">W35*155</f>
        <v>3720</v>
      </c>
      <c r="AL35" s="15">
        <v>0</v>
      </c>
      <c r="AM35" s="15">
        <f t="shared" ref="AM35:AM38" si="41">ROUND(SUM(AG35:AK35),0)</f>
        <v>5868</v>
      </c>
      <c r="AN35" s="21">
        <f t="shared" si="6"/>
        <v>13834</v>
      </c>
      <c r="AO35" s="17">
        <f t="shared" si="7"/>
        <v>1950</v>
      </c>
      <c r="AP35" s="17">
        <f t="shared" si="8"/>
        <v>1270.325</v>
      </c>
      <c r="AQ35" s="17">
        <f t="shared" ref="AQ35:AQ38" si="42">(AF35)*3.25/100</f>
        <v>640.31500000000005</v>
      </c>
      <c r="AR35" s="17">
        <v>0</v>
      </c>
      <c r="AS35" s="15">
        <f t="shared" ref="AS35:AS38" si="43">AF35*9%</f>
        <v>1773.1799999999998</v>
      </c>
      <c r="AT35" s="19">
        <f t="shared" si="21"/>
        <v>25335.82</v>
      </c>
      <c r="AU35" s="18">
        <f t="shared" ref="AU35:AU38" si="44">AT35*18%</f>
        <v>4560.4475999999995</v>
      </c>
      <c r="AV35" s="19">
        <f t="shared" ref="AV35:AV38" si="45">AT35+AU35</f>
        <v>29896.267599999999</v>
      </c>
    </row>
    <row r="36" spans="1:48" ht="15.5" x14ac:dyDescent="0.35">
      <c r="A36" s="14">
        <v>33</v>
      </c>
      <c r="B36" s="24" t="s">
        <v>168</v>
      </c>
      <c r="C36" s="25" t="s">
        <v>182</v>
      </c>
      <c r="D36" s="26" t="s">
        <v>183</v>
      </c>
      <c r="E36" s="73">
        <f>VLOOKUP(B36,'[1]Gemshine Manpower DC&amp;T '!$B$3:$M$61,12,0)</f>
        <v>605371491418</v>
      </c>
      <c r="F36" s="27">
        <v>101272078983</v>
      </c>
      <c r="G36" s="28">
        <v>3317741911</v>
      </c>
      <c r="H36" s="28" t="s">
        <v>184</v>
      </c>
      <c r="I36" s="31" t="s">
        <v>54</v>
      </c>
      <c r="J36" s="56">
        <v>46218</v>
      </c>
      <c r="K36" s="29">
        <v>32213</v>
      </c>
      <c r="L36" s="30">
        <v>9370393861</v>
      </c>
      <c r="M36" s="28" t="s">
        <v>122</v>
      </c>
      <c r="N36" s="32">
        <v>15025</v>
      </c>
      <c r="O36" s="33">
        <v>2511</v>
      </c>
      <c r="P36" s="34">
        <f t="shared" si="0"/>
        <v>876.80000000000007</v>
      </c>
      <c r="Q36" s="34"/>
      <c r="R36" s="34">
        <v>7250</v>
      </c>
      <c r="S36" s="34">
        <f t="shared" si="1"/>
        <v>25662.799999999999</v>
      </c>
      <c r="T36" s="34">
        <v>150</v>
      </c>
      <c r="U36" s="35">
        <f>VLOOKUP(B36,'[2]Aug 26'!$B$4:$AK$99,36,0)</f>
        <v>23</v>
      </c>
      <c r="V36" s="16">
        <f>VLOOKUP(B36,'[2]Aug 26'!$B$4:$AL$85,37,0)</f>
        <v>1</v>
      </c>
      <c r="W36" s="16">
        <f t="shared" si="13"/>
        <v>24</v>
      </c>
      <c r="X36" s="16">
        <f>VLOOKUP(B36,'[2]Aug 26'!$B$4:$AO$85,40,0)</f>
        <v>0</v>
      </c>
      <c r="Y36" s="15">
        <f t="shared" si="35"/>
        <v>13869</v>
      </c>
      <c r="Z36" s="15">
        <f t="shared" si="36"/>
        <v>2318</v>
      </c>
      <c r="AA36" s="15">
        <f t="shared" si="37"/>
        <v>809</v>
      </c>
      <c r="AB36" s="15">
        <f t="shared" si="17"/>
        <v>6692</v>
      </c>
      <c r="AC36" s="15">
        <v>0</v>
      </c>
      <c r="AD36" s="15">
        <f t="shared" si="18"/>
        <v>23688</v>
      </c>
      <c r="AE36" s="15">
        <f t="shared" si="2"/>
        <v>0</v>
      </c>
      <c r="AF36" s="15">
        <f t="shared" si="38"/>
        <v>23688</v>
      </c>
      <c r="AG36" s="17">
        <f t="shared" si="3"/>
        <v>1800</v>
      </c>
      <c r="AH36" s="17">
        <f t="shared" si="39"/>
        <v>178</v>
      </c>
      <c r="AI36" s="18">
        <f t="shared" si="5"/>
        <v>200</v>
      </c>
      <c r="AJ36" s="15">
        <v>0</v>
      </c>
      <c r="AK36" s="15">
        <f>W36*209</f>
        <v>5016</v>
      </c>
      <c r="AL36" s="15">
        <v>0</v>
      </c>
      <c r="AM36" s="15">
        <f t="shared" si="41"/>
        <v>7194</v>
      </c>
      <c r="AN36" s="21">
        <f t="shared" si="6"/>
        <v>16494</v>
      </c>
      <c r="AO36" s="17">
        <f t="shared" si="7"/>
        <v>1950</v>
      </c>
      <c r="AP36" s="17">
        <f t="shared" si="8"/>
        <v>1348.3770999999999</v>
      </c>
      <c r="AQ36" s="17">
        <f t="shared" si="42"/>
        <v>769.86</v>
      </c>
      <c r="AR36" s="17">
        <v>0</v>
      </c>
      <c r="AS36" s="15">
        <f t="shared" si="43"/>
        <v>2131.92</v>
      </c>
      <c r="AT36" s="19">
        <f t="shared" si="21"/>
        <v>29888.157100000004</v>
      </c>
      <c r="AU36" s="18">
        <f t="shared" si="44"/>
        <v>5379.8682780000008</v>
      </c>
      <c r="AV36" s="19">
        <f t="shared" si="45"/>
        <v>35268.025378000006</v>
      </c>
    </row>
    <row r="37" spans="1:48" ht="15.5" x14ac:dyDescent="0.35">
      <c r="A37" s="14">
        <v>34</v>
      </c>
      <c r="B37" s="24" t="s">
        <v>185</v>
      </c>
      <c r="C37" s="25" t="s">
        <v>194</v>
      </c>
      <c r="D37" s="26" t="s">
        <v>195</v>
      </c>
      <c r="E37" s="73">
        <f>VLOOKUP(B37,'[1]Gemshine Manpower DC&amp;T '!$B$3:$M$61,12,0)</f>
        <v>207762991178</v>
      </c>
      <c r="F37" s="27" t="s">
        <v>218</v>
      </c>
      <c r="G37" s="28">
        <v>3319029558</v>
      </c>
      <c r="H37" s="28" t="s">
        <v>196</v>
      </c>
      <c r="I37" s="31" t="s">
        <v>48</v>
      </c>
      <c r="J37" s="56">
        <v>46235</v>
      </c>
      <c r="K37" s="29">
        <v>37921</v>
      </c>
      <c r="L37" s="30">
        <v>9067924160</v>
      </c>
      <c r="M37" s="28" t="s">
        <v>170</v>
      </c>
      <c r="N37" s="36">
        <v>14010</v>
      </c>
      <c r="O37" s="36">
        <v>2511</v>
      </c>
      <c r="P37" s="34">
        <f t="shared" si="0"/>
        <v>826.05000000000007</v>
      </c>
      <c r="Q37" s="34"/>
      <c r="R37" s="34">
        <v>3996</v>
      </c>
      <c r="S37" s="34">
        <f t="shared" si="1"/>
        <v>21343.05</v>
      </c>
      <c r="T37" s="34">
        <v>150</v>
      </c>
      <c r="U37" s="35">
        <f>VLOOKUP(B37,'[2]Aug 26'!$B$4:$AK$99,36,0)</f>
        <v>24</v>
      </c>
      <c r="V37" s="16">
        <f>VLOOKUP(B37,'[2]Aug 26'!$B$4:$AL$85,37,0)</f>
        <v>1</v>
      </c>
      <c r="W37" s="16">
        <f t="shared" si="13"/>
        <v>25</v>
      </c>
      <c r="X37" s="16">
        <f>VLOOKUP(B37,'[2]Aug 26'!$B$4:$AO$85,40,0)</f>
        <v>0</v>
      </c>
      <c r="Y37" s="15">
        <f t="shared" si="14"/>
        <v>13471</v>
      </c>
      <c r="Z37" s="15">
        <f t="shared" si="15"/>
        <v>2414</v>
      </c>
      <c r="AA37" s="15">
        <f t="shared" si="16"/>
        <v>794</v>
      </c>
      <c r="AB37" s="15">
        <f t="shared" si="17"/>
        <v>3842</v>
      </c>
      <c r="AC37" s="15">
        <v>0</v>
      </c>
      <c r="AD37" s="15">
        <f t="shared" si="18"/>
        <v>20521</v>
      </c>
      <c r="AE37" s="15">
        <f t="shared" si="2"/>
        <v>0</v>
      </c>
      <c r="AF37" s="15">
        <f t="shared" si="38"/>
        <v>20521</v>
      </c>
      <c r="AG37" s="17">
        <f t="shared" si="3"/>
        <v>1800</v>
      </c>
      <c r="AH37" s="17">
        <f t="shared" si="39"/>
        <v>154</v>
      </c>
      <c r="AI37" s="18">
        <f t="shared" si="5"/>
        <v>0</v>
      </c>
      <c r="AJ37" s="15">
        <v>0</v>
      </c>
      <c r="AK37" s="15">
        <f t="shared" ref="AK37:AK38" si="46">W37*155</f>
        <v>3875</v>
      </c>
      <c r="AL37" s="15">
        <v>0</v>
      </c>
      <c r="AM37" s="15">
        <f t="shared" si="41"/>
        <v>5829</v>
      </c>
      <c r="AN37" s="21">
        <f t="shared" si="6"/>
        <v>14692</v>
      </c>
      <c r="AO37" s="17">
        <f t="shared" si="7"/>
        <v>1950</v>
      </c>
      <c r="AP37" s="17">
        <f t="shared" si="8"/>
        <v>1323.2204999999999</v>
      </c>
      <c r="AQ37" s="17">
        <f t="shared" si="42"/>
        <v>666.9325</v>
      </c>
      <c r="AR37" s="17">
        <v>0</v>
      </c>
      <c r="AS37" s="15">
        <f t="shared" si="43"/>
        <v>1846.8899999999999</v>
      </c>
      <c r="AT37" s="19">
        <f t="shared" si="21"/>
        <v>26308.042999999998</v>
      </c>
      <c r="AU37" s="18">
        <f t="shared" si="44"/>
        <v>4735.4477399999996</v>
      </c>
      <c r="AV37" s="19">
        <f t="shared" si="45"/>
        <v>31043.490739999997</v>
      </c>
    </row>
    <row r="38" spans="1:48" ht="15.5" x14ac:dyDescent="0.35">
      <c r="A38" s="14">
        <v>35</v>
      </c>
      <c r="B38" s="24" t="s">
        <v>186</v>
      </c>
      <c r="C38" s="25" t="s">
        <v>197</v>
      </c>
      <c r="D38" s="26" t="s">
        <v>198</v>
      </c>
      <c r="E38" s="73">
        <f>VLOOKUP(B38,'[1]Gemshine Manpower DC&amp;T '!$B$3:$M$61,12,0)</f>
        <v>369360610035</v>
      </c>
      <c r="F38" s="27">
        <v>102377580467</v>
      </c>
      <c r="G38" s="28">
        <v>3319058976</v>
      </c>
      <c r="H38" s="28" t="s">
        <v>199</v>
      </c>
      <c r="I38" s="31" t="s">
        <v>48</v>
      </c>
      <c r="J38" s="56">
        <v>46235</v>
      </c>
      <c r="K38" s="29">
        <v>27395</v>
      </c>
      <c r="L38" s="30">
        <v>8856014232</v>
      </c>
      <c r="M38" s="28" t="s">
        <v>170</v>
      </c>
      <c r="N38" s="36">
        <v>14010</v>
      </c>
      <c r="O38" s="36">
        <v>2511</v>
      </c>
      <c r="P38" s="34">
        <f t="shared" si="0"/>
        <v>826.05000000000007</v>
      </c>
      <c r="Q38" s="34"/>
      <c r="R38" s="34">
        <v>3996</v>
      </c>
      <c r="S38" s="34">
        <f t="shared" si="1"/>
        <v>21343.05</v>
      </c>
      <c r="T38" s="34">
        <v>150</v>
      </c>
      <c r="U38" s="35">
        <f>VLOOKUP(B38,'[2]Aug 26'!$B$4:$AK$99,36,0)</f>
        <v>24</v>
      </c>
      <c r="V38" s="16">
        <f>VLOOKUP(B38,'[2]Aug 26'!$B$4:$AL$85,37,0)</f>
        <v>1</v>
      </c>
      <c r="W38" s="16">
        <f t="shared" si="13"/>
        <v>25</v>
      </c>
      <c r="X38" s="16">
        <f>VLOOKUP(B38,'[2]Aug 26'!$B$4:$AO$85,40,0)</f>
        <v>0</v>
      </c>
      <c r="Y38" s="15">
        <f t="shared" si="14"/>
        <v>13471</v>
      </c>
      <c r="Z38" s="15">
        <f t="shared" si="15"/>
        <v>2414</v>
      </c>
      <c r="AA38" s="15">
        <f t="shared" si="16"/>
        <v>794</v>
      </c>
      <c r="AB38" s="15">
        <f t="shared" si="17"/>
        <v>3842</v>
      </c>
      <c r="AC38" s="15">
        <v>0</v>
      </c>
      <c r="AD38" s="15">
        <f t="shared" si="18"/>
        <v>20521</v>
      </c>
      <c r="AE38" s="15">
        <f t="shared" si="2"/>
        <v>0</v>
      </c>
      <c r="AF38" s="15">
        <f t="shared" si="38"/>
        <v>20521</v>
      </c>
      <c r="AG38" s="17">
        <f t="shared" si="3"/>
        <v>1800</v>
      </c>
      <c r="AH38" s="17">
        <f t="shared" si="39"/>
        <v>154</v>
      </c>
      <c r="AI38" s="18">
        <f t="shared" si="5"/>
        <v>0</v>
      </c>
      <c r="AJ38" s="15">
        <v>0</v>
      </c>
      <c r="AK38" s="15">
        <f t="shared" si="46"/>
        <v>3875</v>
      </c>
      <c r="AL38" s="15">
        <v>0</v>
      </c>
      <c r="AM38" s="15">
        <f t="shared" si="41"/>
        <v>5829</v>
      </c>
      <c r="AN38" s="21">
        <f t="shared" si="6"/>
        <v>14692</v>
      </c>
      <c r="AO38" s="17">
        <f t="shared" si="7"/>
        <v>1950</v>
      </c>
      <c r="AP38" s="17">
        <f t="shared" si="8"/>
        <v>1323.2204999999999</v>
      </c>
      <c r="AQ38" s="17">
        <f t="shared" si="42"/>
        <v>666.9325</v>
      </c>
      <c r="AR38" s="17">
        <v>0</v>
      </c>
      <c r="AS38" s="15">
        <f t="shared" si="43"/>
        <v>1846.8899999999999</v>
      </c>
      <c r="AT38" s="19">
        <f t="shared" si="21"/>
        <v>26308.042999999998</v>
      </c>
      <c r="AU38" s="18">
        <f t="shared" si="44"/>
        <v>4735.4477399999996</v>
      </c>
      <c r="AV38" s="19">
        <f t="shared" si="45"/>
        <v>31043.490739999997</v>
      </c>
    </row>
    <row r="39" spans="1:48" ht="15.5" x14ac:dyDescent="0.35">
      <c r="A39" s="14">
        <v>36</v>
      </c>
      <c r="B39" s="24" t="s">
        <v>187</v>
      </c>
      <c r="C39" s="25" t="s">
        <v>200</v>
      </c>
      <c r="D39" s="26" t="s">
        <v>201</v>
      </c>
      <c r="E39" s="73">
        <f>VLOOKUP(B39,'[1]Gemshine Manpower DC&amp;T '!$B$3:$M$61,12,0)</f>
        <v>590269596565</v>
      </c>
      <c r="F39" s="27">
        <v>101642110788</v>
      </c>
      <c r="G39" s="28">
        <v>3319029707</v>
      </c>
      <c r="H39" s="28" t="s">
        <v>202</v>
      </c>
      <c r="I39" s="31" t="s">
        <v>48</v>
      </c>
      <c r="J39" s="56">
        <v>46235</v>
      </c>
      <c r="K39" s="29">
        <v>33618</v>
      </c>
      <c r="L39" s="30">
        <v>9767968942</v>
      </c>
      <c r="M39" s="28" t="s">
        <v>170</v>
      </c>
      <c r="N39" s="36">
        <v>14010</v>
      </c>
      <c r="O39" s="36">
        <v>2511</v>
      </c>
      <c r="P39" s="34">
        <f t="shared" si="0"/>
        <v>826.05000000000007</v>
      </c>
      <c r="Q39" s="34"/>
      <c r="R39" s="34">
        <v>3996</v>
      </c>
      <c r="S39" s="34">
        <f t="shared" si="1"/>
        <v>21343.05</v>
      </c>
      <c r="T39" s="34">
        <v>150</v>
      </c>
      <c r="U39" s="35">
        <f>VLOOKUP(B39,'[2]Aug 26'!$B$4:$AK$99,36,0)</f>
        <v>24</v>
      </c>
      <c r="V39" s="16">
        <f>VLOOKUP(B39,'[2]Aug 26'!$B$4:$AL$85,37,0)</f>
        <v>1</v>
      </c>
      <c r="W39" s="16">
        <f t="shared" ref="W39:W45" si="47">U39+V39</f>
        <v>25</v>
      </c>
      <c r="X39" s="16">
        <f>VLOOKUP(B39,'[2]Aug 26'!$B$4:$AO$85,40,0)</f>
        <v>0</v>
      </c>
      <c r="Y39" s="15">
        <f t="shared" ref="Y39:Y45" si="48">ROUND(N39/26*W39,0)</f>
        <v>13471</v>
      </c>
      <c r="Z39" s="15">
        <f t="shared" ref="Z39:Z45" si="49">ROUND(O39/26*W39,0)</f>
        <v>2414</v>
      </c>
      <c r="AA39" s="15">
        <f t="shared" ref="AA39:AA45" si="50">ROUND(P39/26*W39,0)</f>
        <v>794</v>
      </c>
      <c r="AB39" s="15">
        <f t="shared" si="17"/>
        <v>3842</v>
      </c>
      <c r="AC39" s="15">
        <v>0</v>
      </c>
      <c r="AD39" s="15">
        <f t="shared" si="18"/>
        <v>20521</v>
      </c>
      <c r="AE39" s="15">
        <f t="shared" ref="AE39:AE44" si="51">ROUND(T39*X39,0)</f>
        <v>0</v>
      </c>
      <c r="AF39" s="15">
        <f t="shared" ref="AF39:AF44" si="52">ROUND(AD39+AE39,0)</f>
        <v>20521</v>
      </c>
      <c r="AG39" s="17">
        <f t="shared" ref="AG39:AG44" si="53">IF((Y39+Z39)&lt;=15000,(Y39+Z39)*12/100,1800)</f>
        <v>1800</v>
      </c>
      <c r="AH39" s="17">
        <f t="shared" ref="AH39:AH44" si="54">ROUND(AF39*0.75%,0)</f>
        <v>154</v>
      </c>
      <c r="AI39" s="18">
        <f t="shared" ref="AI39:AI44" si="55">IF(I39="M",IF(AF39&gt;10000,200,IF(7500,175,0)),IF(I39="F",IF(AF39&gt;25000,200,0)))</f>
        <v>0</v>
      </c>
      <c r="AJ39" s="15">
        <v>0</v>
      </c>
      <c r="AK39" s="15">
        <f t="shared" ref="AK39:AK43" si="56">W39*155</f>
        <v>3875</v>
      </c>
      <c r="AL39" s="15">
        <v>0</v>
      </c>
      <c r="AM39" s="15">
        <f t="shared" ref="AM39:AM44" si="57">ROUND(SUM(AG39:AK39),0)</f>
        <v>5829</v>
      </c>
      <c r="AN39" s="21">
        <f t="shared" ref="AN39:AN44" si="58">ROUND(AF39-AM39,0)</f>
        <v>14692</v>
      </c>
      <c r="AO39" s="17">
        <f t="shared" ref="AO39:AO44" si="59">IF((Y39+Z39)&lt;=15000,(Y39+Z39)*13/100,1950)</f>
        <v>1950</v>
      </c>
      <c r="AP39" s="17">
        <f t="shared" ref="AP39:AP44" si="60">(Y39+Z39)*8.33/100</f>
        <v>1323.2204999999999</v>
      </c>
      <c r="AQ39" s="17">
        <f t="shared" ref="AQ39:AQ44" si="61">(AF39)*3.25/100</f>
        <v>666.9325</v>
      </c>
      <c r="AR39" s="17">
        <v>0</v>
      </c>
      <c r="AS39" s="15">
        <f t="shared" ref="AS39:AS44" si="62">AF39*9%</f>
        <v>1846.8899999999999</v>
      </c>
      <c r="AT39" s="19">
        <f t="shared" ref="AT39:AT44" si="63">AF39+AO39+AP39+AQ39+AR39+AS39</f>
        <v>26308.042999999998</v>
      </c>
      <c r="AU39" s="18">
        <f t="shared" ref="AU39:AU44" si="64">AT39*18%</f>
        <v>4735.4477399999996</v>
      </c>
      <c r="AV39" s="19">
        <f t="shared" ref="AV39:AV44" si="65">AT39+AU39</f>
        <v>31043.490739999997</v>
      </c>
    </row>
    <row r="40" spans="1:48" ht="15.5" x14ac:dyDescent="0.35">
      <c r="A40" s="14">
        <v>37</v>
      </c>
      <c r="B40" s="24" t="s">
        <v>188</v>
      </c>
      <c r="C40" s="25" t="s">
        <v>203</v>
      </c>
      <c r="D40" s="26" t="s">
        <v>204</v>
      </c>
      <c r="E40" s="73">
        <f>VLOOKUP(B40,'[1]Gemshine Manpower DC&amp;T '!$B$3:$M$61,12,0)</f>
        <v>867712177345</v>
      </c>
      <c r="F40" s="27">
        <v>101239737561</v>
      </c>
      <c r="G40" s="28">
        <v>3313263062</v>
      </c>
      <c r="H40" s="28" t="s">
        <v>205</v>
      </c>
      <c r="I40" s="31" t="s">
        <v>54</v>
      </c>
      <c r="J40" s="56">
        <v>46235</v>
      </c>
      <c r="K40" s="29">
        <v>31234</v>
      </c>
      <c r="L40" s="30">
        <v>7720817238</v>
      </c>
      <c r="M40" s="28" t="s">
        <v>170</v>
      </c>
      <c r="N40" s="36">
        <v>14010</v>
      </c>
      <c r="O40" s="36">
        <v>2511</v>
      </c>
      <c r="P40" s="34">
        <f t="shared" si="0"/>
        <v>826.05000000000007</v>
      </c>
      <c r="Q40" s="34"/>
      <c r="R40" s="34">
        <v>3996</v>
      </c>
      <c r="S40" s="34">
        <f t="shared" si="1"/>
        <v>21343.05</v>
      </c>
      <c r="T40" s="34">
        <v>150</v>
      </c>
      <c r="U40" s="35">
        <f>VLOOKUP(B40,'[2]Aug 26'!$B$4:$AK$99,36,0)</f>
        <v>21</v>
      </c>
      <c r="V40" s="16">
        <f>VLOOKUP(B40,'[2]Aug 26'!$B$4:$AL$85,37,0)</f>
        <v>1</v>
      </c>
      <c r="W40" s="16">
        <f t="shared" si="47"/>
        <v>22</v>
      </c>
      <c r="X40" s="16">
        <f>VLOOKUP(B40,'[2]Aug 26'!$B$4:$AO$85,40,0)</f>
        <v>0</v>
      </c>
      <c r="Y40" s="15">
        <f t="shared" si="48"/>
        <v>11855</v>
      </c>
      <c r="Z40" s="15">
        <f t="shared" si="49"/>
        <v>2125</v>
      </c>
      <c r="AA40" s="15">
        <f t="shared" si="50"/>
        <v>699</v>
      </c>
      <c r="AB40" s="15">
        <f t="shared" si="17"/>
        <v>3381</v>
      </c>
      <c r="AC40" s="15">
        <v>0</v>
      </c>
      <c r="AD40" s="15">
        <f t="shared" si="18"/>
        <v>18060</v>
      </c>
      <c r="AE40" s="15">
        <f t="shared" si="51"/>
        <v>0</v>
      </c>
      <c r="AF40" s="15">
        <f t="shared" si="52"/>
        <v>18060</v>
      </c>
      <c r="AG40" s="17">
        <f t="shared" si="53"/>
        <v>1677.6</v>
      </c>
      <c r="AH40" s="17">
        <f t="shared" si="54"/>
        <v>135</v>
      </c>
      <c r="AI40" s="18">
        <f t="shared" si="55"/>
        <v>200</v>
      </c>
      <c r="AJ40" s="15">
        <v>0</v>
      </c>
      <c r="AK40" s="15">
        <f t="shared" si="56"/>
        <v>3410</v>
      </c>
      <c r="AL40" s="15">
        <v>0</v>
      </c>
      <c r="AM40" s="15">
        <f t="shared" si="57"/>
        <v>5423</v>
      </c>
      <c r="AN40" s="21">
        <f t="shared" si="58"/>
        <v>12637</v>
      </c>
      <c r="AO40" s="17">
        <f t="shared" si="59"/>
        <v>1817.4</v>
      </c>
      <c r="AP40" s="17">
        <f t="shared" si="60"/>
        <v>1164.5339999999999</v>
      </c>
      <c r="AQ40" s="17">
        <f t="shared" si="61"/>
        <v>586.95000000000005</v>
      </c>
      <c r="AR40" s="17">
        <v>0</v>
      </c>
      <c r="AS40" s="15">
        <f t="shared" si="62"/>
        <v>1625.3999999999999</v>
      </c>
      <c r="AT40" s="19">
        <f t="shared" si="63"/>
        <v>23254.284000000003</v>
      </c>
      <c r="AU40" s="18">
        <f t="shared" si="64"/>
        <v>4185.7711200000003</v>
      </c>
      <c r="AV40" s="19">
        <f t="shared" si="65"/>
        <v>27440.055120000005</v>
      </c>
    </row>
    <row r="41" spans="1:48" ht="15.5" x14ac:dyDescent="0.35">
      <c r="A41" s="14">
        <v>38</v>
      </c>
      <c r="B41" s="24" t="s">
        <v>189</v>
      </c>
      <c r="C41" s="25" t="s">
        <v>206</v>
      </c>
      <c r="D41" s="26" t="s">
        <v>207</v>
      </c>
      <c r="E41" s="73">
        <f>VLOOKUP(B41,'[1]Gemshine Manpower DC&amp;T '!$B$3:$M$61,12,0)</f>
        <v>331811499148</v>
      </c>
      <c r="F41" s="27">
        <v>101939667203</v>
      </c>
      <c r="G41" s="28">
        <v>3314554215</v>
      </c>
      <c r="H41" s="28" t="s">
        <v>208</v>
      </c>
      <c r="I41" s="31" t="s">
        <v>54</v>
      </c>
      <c r="J41" s="56">
        <v>46235</v>
      </c>
      <c r="K41" s="29">
        <v>29448</v>
      </c>
      <c r="L41" s="30">
        <v>8380837515</v>
      </c>
      <c r="M41" s="28" t="s">
        <v>170</v>
      </c>
      <c r="N41" s="36">
        <v>14010</v>
      </c>
      <c r="O41" s="36">
        <v>2511</v>
      </c>
      <c r="P41" s="34">
        <f t="shared" si="0"/>
        <v>826.05000000000007</v>
      </c>
      <c r="Q41" s="34"/>
      <c r="R41" s="34">
        <v>3996</v>
      </c>
      <c r="S41" s="34">
        <f t="shared" si="1"/>
        <v>21343.05</v>
      </c>
      <c r="T41" s="34">
        <v>150</v>
      </c>
      <c r="U41" s="35">
        <f>VLOOKUP(B41,'[2]Aug 26'!$B$4:$AK$99,36,0)</f>
        <v>22</v>
      </c>
      <c r="V41" s="16">
        <f>VLOOKUP(B41,'[2]Aug 26'!$B$4:$AL$85,37,0)</f>
        <v>1</v>
      </c>
      <c r="W41" s="16">
        <f t="shared" si="47"/>
        <v>23</v>
      </c>
      <c r="X41" s="16">
        <f>VLOOKUP(B41,'[2]Aug 26'!$B$4:$AO$85,40,0)</f>
        <v>0</v>
      </c>
      <c r="Y41" s="15">
        <f t="shared" si="48"/>
        <v>12393</v>
      </c>
      <c r="Z41" s="15">
        <f t="shared" si="49"/>
        <v>2221</v>
      </c>
      <c r="AA41" s="15">
        <f t="shared" si="50"/>
        <v>731</v>
      </c>
      <c r="AB41" s="15">
        <f t="shared" si="17"/>
        <v>3535</v>
      </c>
      <c r="AC41" s="15">
        <v>0</v>
      </c>
      <c r="AD41" s="15">
        <f t="shared" si="18"/>
        <v>18880</v>
      </c>
      <c r="AE41" s="15">
        <f t="shared" si="51"/>
        <v>0</v>
      </c>
      <c r="AF41" s="15">
        <f t="shared" si="52"/>
        <v>18880</v>
      </c>
      <c r="AG41" s="17">
        <f t="shared" si="53"/>
        <v>1753.68</v>
      </c>
      <c r="AH41" s="17">
        <f t="shared" si="54"/>
        <v>142</v>
      </c>
      <c r="AI41" s="18">
        <f t="shared" si="55"/>
        <v>200</v>
      </c>
      <c r="AJ41" s="15">
        <v>0</v>
      </c>
      <c r="AK41" s="15">
        <f t="shared" si="56"/>
        <v>3565</v>
      </c>
      <c r="AL41" s="15">
        <v>0</v>
      </c>
      <c r="AM41" s="15">
        <f t="shared" si="57"/>
        <v>5661</v>
      </c>
      <c r="AN41" s="21">
        <f t="shared" si="58"/>
        <v>13219</v>
      </c>
      <c r="AO41" s="17">
        <f t="shared" si="59"/>
        <v>1899.82</v>
      </c>
      <c r="AP41" s="17">
        <f t="shared" si="60"/>
        <v>1217.3462</v>
      </c>
      <c r="AQ41" s="17">
        <f t="shared" si="61"/>
        <v>613.6</v>
      </c>
      <c r="AR41" s="17">
        <v>0</v>
      </c>
      <c r="AS41" s="15">
        <f t="shared" si="62"/>
        <v>1699.2</v>
      </c>
      <c r="AT41" s="19">
        <f t="shared" si="63"/>
        <v>24309.966199999999</v>
      </c>
      <c r="AU41" s="18">
        <f t="shared" si="64"/>
        <v>4375.7939159999996</v>
      </c>
      <c r="AV41" s="19">
        <f t="shared" si="65"/>
        <v>28685.760115999998</v>
      </c>
    </row>
    <row r="42" spans="1:48" ht="15.5" x14ac:dyDescent="0.35">
      <c r="A42" s="14">
        <v>39</v>
      </c>
      <c r="B42" s="24" t="s">
        <v>190</v>
      </c>
      <c r="C42" s="25" t="s">
        <v>209</v>
      </c>
      <c r="D42" s="26" t="s">
        <v>210</v>
      </c>
      <c r="E42" s="73">
        <f>VLOOKUP(B42,'[1]Gemshine Manpower DC&amp;T '!$B$3:$M$61,12,0)</f>
        <v>349781524594</v>
      </c>
      <c r="F42" s="27">
        <v>102297826464</v>
      </c>
      <c r="G42" s="28">
        <v>3319033477</v>
      </c>
      <c r="H42" s="28" t="s">
        <v>211</v>
      </c>
      <c r="I42" s="31" t="s">
        <v>54</v>
      </c>
      <c r="J42" s="56">
        <v>46235</v>
      </c>
      <c r="K42" s="29">
        <v>24473</v>
      </c>
      <c r="L42" s="30">
        <v>9702907598</v>
      </c>
      <c r="M42" s="28" t="s">
        <v>170</v>
      </c>
      <c r="N42" s="36">
        <v>14010</v>
      </c>
      <c r="O42" s="36">
        <v>2511</v>
      </c>
      <c r="P42" s="34">
        <f t="shared" si="0"/>
        <v>826.05000000000007</v>
      </c>
      <c r="Q42" s="34"/>
      <c r="R42" s="34">
        <v>3996</v>
      </c>
      <c r="S42" s="34">
        <f t="shared" si="1"/>
        <v>21343.05</v>
      </c>
      <c r="T42" s="34">
        <v>150</v>
      </c>
      <c r="U42" s="35">
        <f>VLOOKUP(B42,'[2]Aug 26'!$B$4:$AK$99,36,0)</f>
        <v>25</v>
      </c>
      <c r="V42" s="16">
        <f>VLOOKUP(B42,'[2]Aug 26'!$B$4:$AL$85,37,0)</f>
        <v>1</v>
      </c>
      <c r="W42" s="16">
        <f t="shared" si="47"/>
        <v>26</v>
      </c>
      <c r="X42" s="16">
        <f>VLOOKUP(B42,'[2]Aug 26'!$B$4:$AO$85,40,0)</f>
        <v>0</v>
      </c>
      <c r="Y42" s="15">
        <f t="shared" si="48"/>
        <v>14010</v>
      </c>
      <c r="Z42" s="15">
        <f t="shared" si="49"/>
        <v>2511</v>
      </c>
      <c r="AA42" s="15">
        <f t="shared" si="50"/>
        <v>826</v>
      </c>
      <c r="AB42" s="15">
        <f t="shared" si="17"/>
        <v>3996</v>
      </c>
      <c r="AC42" s="15">
        <v>0</v>
      </c>
      <c r="AD42" s="15">
        <f t="shared" si="18"/>
        <v>21343</v>
      </c>
      <c r="AE42" s="15">
        <f t="shared" si="51"/>
        <v>0</v>
      </c>
      <c r="AF42" s="15">
        <f t="shared" si="52"/>
        <v>21343</v>
      </c>
      <c r="AG42" s="17">
        <f t="shared" si="53"/>
        <v>1800</v>
      </c>
      <c r="AH42" s="17">
        <f t="shared" si="54"/>
        <v>160</v>
      </c>
      <c r="AI42" s="18">
        <f t="shared" si="55"/>
        <v>200</v>
      </c>
      <c r="AJ42" s="15">
        <v>0</v>
      </c>
      <c r="AK42" s="15">
        <f t="shared" si="56"/>
        <v>4030</v>
      </c>
      <c r="AL42" s="15">
        <v>0</v>
      </c>
      <c r="AM42" s="15">
        <f t="shared" si="57"/>
        <v>6190</v>
      </c>
      <c r="AN42" s="21">
        <f t="shared" si="58"/>
        <v>15153</v>
      </c>
      <c r="AO42" s="17">
        <f t="shared" si="59"/>
        <v>1950</v>
      </c>
      <c r="AP42" s="17">
        <f t="shared" si="60"/>
        <v>1376.1993</v>
      </c>
      <c r="AQ42" s="17">
        <f t="shared" si="61"/>
        <v>693.64750000000004</v>
      </c>
      <c r="AR42" s="17">
        <v>0</v>
      </c>
      <c r="AS42" s="15">
        <f t="shared" si="62"/>
        <v>1920.87</v>
      </c>
      <c r="AT42" s="19">
        <f t="shared" si="63"/>
        <v>27283.716799999998</v>
      </c>
      <c r="AU42" s="18">
        <f t="shared" si="64"/>
        <v>4911.0690239999994</v>
      </c>
      <c r="AV42" s="19">
        <f t="shared" si="65"/>
        <v>32194.785823999999</v>
      </c>
    </row>
    <row r="43" spans="1:48" ht="15.5" x14ac:dyDescent="0.35">
      <c r="A43" s="14">
        <v>40</v>
      </c>
      <c r="B43" s="24" t="s">
        <v>191</v>
      </c>
      <c r="C43" s="25" t="s">
        <v>212</v>
      </c>
      <c r="D43" s="26" t="s">
        <v>213</v>
      </c>
      <c r="E43" s="73">
        <f>VLOOKUP(B43,'[1]Gemshine Manpower DC&amp;T '!$B$3:$M$61,12,0)</f>
        <v>444159549264</v>
      </c>
      <c r="F43" s="27">
        <v>101794156994</v>
      </c>
      <c r="G43" s="28">
        <v>3316909292</v>
      </c>
      <c r="H43" s="28" t="s">
        <v>214</v>
      </c>
      <c r="I43" s="31" t="s">
        <v>48</v>
      </c>
      <c r="J43" s="56">
        <v>46238</v>
      </c>
      <c r="K43" s="29">
        <v>33533</v>
      </c>
      <c r="L43" s="30">
        <v>8767343213</v>
      </c>
      <c r="M43" s="28" t="s">
        <v>170</v>
      </c>
      <c r="N43" s="36">
        <v>14010</v>
      </c>
      <c r="O43" s="36">
        <v>2511</v>
      </c>
      <c r="P43" s="34">
        <f t="shared" si="0"/>
        <v>826.05000000000007</v>
      </c>
      <c r="Q43" s="34"/>
      <c r="R43" s="34">
        <v>3996</v>
      </c>
      <c r="S43" s="34">
        <f t="shared" si="1"/>
        <v>21343.05</v>
      </c>
      <c r="T43" s="34">
        <v>150</v>
      </c>
      <c r="U43" s="35">
        <f>VLOOKUP(B43,'[2]Aug 26'!$B$4:$AK$99,36,0)</f>
        <v>22</v>
      </c>
      <c r="V43" s="16">
        <f>VLOOKUP(B43,'[2]Aug 26'!$B$4:$AL$85,37,0)</f>
        <v>1</v>
      </c>
      <c r="W43" s="16">
        <f t="shared" si="47"/>
        <v>23</v>
      </c>
      <c r="X43" s="16">
        <f>VLOOKUP(B43,'[2]Aug 26'!$B$4:$AO$85,40,0)</f>
        <v>0</v>
      </c>
      <c r="Y43" s="15">
        <f t="shared" si="48"/>
        <v>12393</v>
      </c>
      <c r="Z43" s="15">
        <f t="shared" si="49"/>
        <v>2221</v>
      </c>
      <c r="AA43" s="15">
        <f t="shared" si="50"/>
        <v>731</v>
      </c>
      <c r="AB43" s="15">
        <f t="shared" si="17"/>
        <v>3535</v>
      </c>
      <c r="AC43" s="15">
        <v>0</v>
      </c>
      <c r="AD43" s="15">
        <f t="shared" si="18"/>
        <v>18880</v>
      </c>
      <c r="AE43" s="15">
        <f t="shared" si="51"/>
        <v>0</v>
      </c>
      <c r="AF43" s="15">
        <f t="shared" si="52"/>
        <v>18880</v>
      </c>
      <c r="AG43" s="17">
        <f t="shared" si="53"/>
        <v>1753.68</v>
      </c>
      <c r="AH43" s="17">
        <f t="shared" si="54"/>
        <v>142</v>
      </c>
      <c r="AI43" s="18">
        <f t="shared" si="55"/>
        <v>0</v>
      </c>
      <c r="AJ43" s="15">
        <v>0</v>
      </c>
      <c r="AK43" s="15">
        <f t="shared" si="56"/>
        <v>3565</v>
      </c>
      <c r="AL43" s="15">
        <v>0</v>
      </c>
      <c r="AM43" s="15">
        <f t="shared" si="57"/>
        <v>5461</v>
      </c>
      <c r="AN43" s="21">
        <f t="shared" si="58"/>
        <v>13419</v>
      </c>
      <c r="AO43" s="17">
        <f t="shared" si="59"/>
        <v>1899.82</v>
      </c>
      <c r="AP43" s="17">
        <f t="shared" si="60"/>
        <v>1217.3462</v>
      </c>
      <c r="AQ43" s="17">
        <f t="shared" si="61"/>
        <v>613.6</v>
      </c>
      <c r="AR43" s="17">
        <v>0</v>
      </c>
      <c r="AS43" s="15">
        <f t="shared" si="62"/>
        <v>1699.2</v>
      </c>
      <c r="AT43" s="19">
        <f t="shared" si="63"/>
        <v>24309.966199999999</v>
      </c>
      <c r="AU43" s="18">
        <f t="shared" si="64"/>
        <v>4375.7939159999996</v>
      </c>
      <c r="AV43" s="19">
        <f t="shared" si="65"/>
        <v>28685.760115999998</v>
      </c>
    </row>
    <row r="44" spans="1:48" ht="15.5" x14ac:dyDescent="0.35">
      <c r="A44" s="14">
        <v>41</v>
      </c>
      <c r="B44" s="24" t="s">
        <v>192</v>
      </c>
      <c r="C44" s="25" t="s">
        <v>215</v>
      </c>
      <c r="D44" s="26" t="s">
        <v>216</v>
      </c>
      <c r="E44" s="73">
        <f>VLOOKUP(B44,'[1]Gemshine Manpower DC&amp;T '!$B$3:$M$61,12,0)</f>
        <v>986483261984</v>
      </c>
      <c r="F44" s="27">
        <v>101229238849</v>
      </c>
      <c r="G44" s="28">
        <v>3314554215</v>
      </c>
      <c r="H44" s="28" t="s">
        <v>217</v>
      </c>
      <c r="I44" s="31" t="s">
        <v>54</v>
      </c>
      <c r="J44" s="56">
        <v>46247</v>
      </c>
      <c r="K44" s="29">
        <v>29011</v>
      </c>
      <c r="L44" s="30">
        <v>7769027179</v>
      </c>
      <c r="M44" s="28" t="s">
        <v>169</v>
      </c>
      <c r="N44" s="36">
        <v>16410</v>
      </c>
      <c r="O44" s="36">
        <v>2511</v>
      </c>
      <c r="P44" s="34">
        <f t="shared" si="0"/>
        <v>946.05000000000007</v>
      </c>
      <c r="Q44" s="34"/>
      <c r="R44" s="34">
        <v>8246</v>
      </c>
      <c r="S44" s="34">
        <f t="shared" si="1"/>
        <v>28113.05</v>
      </c>
      <c r="T44" s="34">
        <v>160</v>
      </c>
      <c r="U44" s="35">
        <f>VLOOKUP(B44,'[2]Aug 26'!$B$4:$AK$99,36,0)</f>
        <v>15</v>
      </c>
      <c r="V44" s="16">
        <f>VLOOKUP(B44,'[2]Aug 26'!$B$4:$AL$85,37,0)</f>
        <v>1</v>
      </c>
      <c r="W44" s="16">
        <f t="shared" si="47"/>
        <v>16</v>
      </c>
      <c r="X44" s="16">
        <f>VLOOKUP(B44,'[2]Aug 26'!$B$4:$AO$85,40,0)</f>
        <v>0</v>
      </c>
      <c r="Y44" s="15">
        <f t="shared" si="48"/>
        <v>10098</v>
      </c>
      <c r="Z44" s="15">
        <f t="shared" si="49"/>
        <v>1545</v>
      </c>
      <c r="AA44" s="15">
        <f t="shared" si="50"/>
        <v>582</v>
      </c>
      <c r="AB44" s="15">
        <f t="shared" si="17"/>
        <v>5074</v>
      </c>
      <c r="AC44" s="15">
        <v>0</v>
      </c>
      <c r="AD44" s="15">
        <f t="shared" si="18"/>
        <v>17299</v>
      </c>
      <c r="AE44" s="15">
        <f t="shared" si="51"/>
        <v>0</v>
      </c>
      <c r="AF44" s="15">
        <f t="shared" si="52"/>
        <v>17299</v>
      </c>
      <c r="AG44" s="17">
        <f t="shared" si="53"/>
        <v>1397.16</v>
      </c>
      <c r="AH44" s="17">
        <f t="shared" si="54"/>
        <v>130</v>
      </c>
      <c r="AI44" s="18">
        <f t="shared" si="55"/>
        <v>200</v>
      </c>
      <c r="AJ44" s="15">
        <v>0</v>
      </c>
      <c r="AK44" s="15">
        <f>W44*150</f>
        <v>2400</v>
      </c>
      <c r="AL44" s="15">
        <v>0</v>
      </c>
      <c r="AM44" s="15">
        <f t="shared" si="57"/>
        <v>4127</v>
      </c>
      <c r="AN44" s="21">
        <f t="shared" si="58"/>
        <v>13172</v>
      </c>
      <c r="AO44" s="17">
        <f t="shared" si="59"/>
        <v>1513.59</v>
      </c>
      <c r="AP44" s="17">
        <f t="shared" si="60"/>
        <v>969.86189999999999</v>
      </c>
      <c r="AQ44" s="17">
        <f t="shared" si="61"/>
        <v>562.21749999999997</v>
      </c>
      <c r="AR44" s="17">
        <v>0</v>
      </c>
      <c r="AS44" s="15">
        <f t="shared" si="62"/>
        <v>1556.9099999999999</v>
      </c>
      <c r="AT44" s="19">
        <f t="shared" si="63"/>
        <v>21901.579399999999</v>
      </c>
      <c r="AU44" s="18">
        <f t="shared" si="64"/>
        <v>3942.2842919999998</v>
      </c>
      <c r="AV44" s="19">
        <f t="shared" si="65"/>
        <v>25843.863691999999</v>
      </c>
    </row>
    <row r="45" spans="1:48" ht="15.5" x14ac:dyDescent="0.35">
      <c r="A45" s="14">
        <v>42</v>
      </c>
      <c r="B45" s="24" t="s">
        <v>220</v>
      </c>
      <c r="C45" s="25" t="s">
        <v>221</v>
      </c>
      <c r="D45" s="25" t="s">
        <v>222</v>
      </c>
      <c r="E45" s="73">
        <f>VLOOKUP(B45,'[1]Gemshine Manpower DC&amp;T '!$B$3:$M$61,12,0)</f>
        <v>857144495740</v>
      </c>
      <c r="F45" s="66">
        <v>100949431694</v>
      </c>
      <c r="G45" s="24">
        <v>3312461085</v>
      </c>
      <c r="H45" s="24" t="s">
        <v>223</v>
      </c>
      <c r="I45" s="24" t="s">
        <v>54</v>
      </c>
      <c r="J45" s="59">
        <v>46113</v>
      </c>
      <c r="K45" s="59">
        <v>46113</v>
      </c>
      <c r="L45" s="24">
        <v>9503295153</v>
      </c>
      <c r="M45" s="24" t="s">
        <v>85</v>
      </c>
      <c r="N45" s="39">
        <v>20000</v>
      </c>
      <c r="O45" s="40">
        <v>2511</v>
      </c>
      <c r="P45" s="15">
        <v>10000</v>
      </c>
      <c r="Q45" s="15"/>
      <c r="R45" s="15">
        <v>8246</v>
      </c>
      <c r="S45" s="15">
        <f t="shared" si="1"/>
        <v>40757</v>
      </c>
      <c r="T45" s="15">
        <v>160</v>
      </c>
      <c r="U45" s="16">
        <v>26</v>
      </c>
      <c r="V45" s="16">
        <v>0</v>
      </c>
      <c r="W45" s="16">
        <f t="shared" si="47"/>
        <v>26</v>
      </c>
      <c r="X45" s="41">
        <v>0</v>
      </c>
      <c r="Y45" s="15">
        <f t="shared" si="48"/>
        <v>20000</v>
      </c>
      <c r="Z45" s="15">
        <f t="shared" si="49"/>
        <v>2511</v>
      </c>
      <c r="AA45" s="15">
        <f t="shared" si="50"/>
        <v>10000</v>
      </c>
      <c r="AB45" s="15">
        <f t="shared" ref="AB45" si="66">ROUND(R45/26*U45,0)</f>
        <v>8246</v>
      </c>
      <c r="AC45" s="15">
        <v>0</v>
      </c>
      <c r="AD45" s="15">
        <f>ROUND(SUM(Y45:AB45),0)</f>
        <v>40757</v>
      </c>
      <c r="AE45" s="15">
        <f>ROUND(T45*X45,0)</f>
        <v>0</v>
      </c>
      <c r="AF45" s="15">
        <f t="shared" ref="AF45" si="67">ROUND(AD45+AE45,0)</f>
        <v>40757</v>
      </c>
      <c r="AG45" s="17">
        <f>IF((Y45+Z45)&lt;=15000,(Y45+Z45)*12/100,1800)</f>
        <v>1800</v>
      </c>
      <c r="AH45" s="17">
        <f t="shared" ref="AH45" si="68">ROUND(AF45*0.75%,0)</f>
        <v>306</v>
      </c>
      <c r="AI45" s="18">
        <f>IF(I45="M",IF(AF45&gt;10000,200,IF(7500,175,0)),IF(I45="F",IF(AF45&gt;25000,200,0)))</f>
        <v>200</v>
      </c>
      <c r="AJ45" s="15">
        <v>0</v>
      </c>
      <c r="AK45" s="15">
        <v>0</v>
      </c>
      <c r="AL45" s="15">
        <v>0</v>
      </c>
      <c r="AM45" s="15">
        <f t="shared" ref="AM45" si="69">ROUND(SUM(AG45:AK45),0)</f>
        <v>2306</v>
      </c>
      <c r="AN45" s="21">
        <f t="shared" ref="AN45" si="70">ROUND(AF45-AM45,0)</f>
        <v>38451</v>
      </c>
      <c r="AO45" s="17">
        <f>IF((Y45+Z45)&lt;=15000,(Y45+Z45)*13/100,1950)</f>
        <v>1950</v>
      </c>
      <c r="AP45" s="17">
        <f>(Y45+Z45)*8.33/100</f>
        <v>1875.1663000000001</v>
      </c>
      <c r="AQ45" s="17">
        <f t="shared" ref="AQ45" si="71">(AF45)*3.25/100</f>
        <v>1324.6025</v>
      </c>
      <c r="AR45" s="17">
        <v>50</v>
      </c>
      <c r="AS45" s="15">
        <f t="shared" ref="AS45" si="72">AF45*9%</f>
        <v>3668.1299999999997</v>
      </c>
      <c r="AT45" s="19">
        <f t="shared" ref="AT45" si="73">AF45+AO45+AP45+AQ45+AR45+AS45</f>
        <v>49624.898799999995</v>
      </c>
      <c r="AU45" s="18">
        <f t="shared" ref="AU45" si="74">AT45*18%</f>
        <v>8932.4817839999996</v>
      </c>
      <c r="AV45" s="19">
        <f t="shared" ref="AV45" si="75">AT45+AU45</f>
        <v>58557.380583999999</v>
      </c>
    </row>
    <row r="46" spans="1:48" ht="15.5" x14ac:dyDescent="0.35">
      <c r="A46" s="14">
        <v>43</v>
      </c>
      <c r="B46" s="51" t="s">
        <v>235</v>
      </c>
      <c r="C46" s="25" t="s">
        <v>224</v>
      </c>
      <c r="D46" s="25"/>
      <c r="E46" s="73" t="str">
        <f>VLOOKUP(B46,'[1]Gemshine Manpower DC&amp;T '!$B$3:$M$61,12,0)</f>
        <v>921943178594</v>
      </c>
      <c r="F46" s="66"/>
      <c r="G46" s="24"/>
      <c r="H46" s="24"/>
      <c r="I46" s="24"/>
      <c r="J46" s="59"/>
      <c r="K46" s="59">
        <v>46235</v>
      </c>
      <c r="L46" s="24"/>
      <c r="M46" s="24" t="s">
        <v>80</v>
      </c>
      <c r="N46" s="36"/>
      <c r="O46" s="36"/>
      <c r="P46" s="34"/>
      <c r="Q46" s="34"/>
      <c r="R46" s="34"/>
      <c r="S46" s="34"/>
      <c r="T46" s="34"/>
      <c r="U46" s="35"/>
      <c r="V46" s="16"/>
      <c r="W46" s="16"/>
      <c r="X46" s="16"/>
      <c r="Y46" s="15"/>
      <c r="Z46" s="15"/>
      <c r="AA46" s="15"/>
      <c r="AB46" s="15"/>
      <c r="AC46" s="15">
        <v>0</v>
      </c>
      <c r="AD46" s="15"/>
      <c r="AE46" s="15"/>
      <c r="AF46" s="15"/>
      <c r="AG46" s="17"/>
      <c r="AH46" s="17"/>
      <c r="AI46" s="18"/>
      <c r="AJ46" s="15">
        <v>0</v>
      </c>
      <c r="AK46" s="15">
        <v>0</v>
      </c>
      <c r="AL46" s="15">
        <v>0</v>
      </c>
      <c r="AM46" s="15"/>
      <c r="AN46" s="21">
        <v>15000</v>
      </c>
      <c r="AO46" s="17"/>
      <c r="AP46" s="17"/>
      <c r="AQ46" s="17"/>
      <c r="AR46" s="17"/>
      <c r="AS46" s="15"/>
      <c r="AT46" s="19"/>
      <c r="AU46" s="18"/>
      <c r="AV46" s="19"/>
    </row>
    <row r="47" spans="1:48" x14ac:dyDescent="0.35">
      <c r="A47" s="14">
        <v>44</v>
      </c>
      <c r="B47" s="24">
        <v>1001</v>
      </c>
      <c r="C47" s="25" t="s">
        <v>225</v>
      </c>
      <c r="D47" s="25" t="s">
        <v>226</v>
      </c>
      <c r="E47" s="73">
        <v>439542870883</v>
      </c>
      <c r="F47" s="66">
        <v>102250744478</v>
      </c>
      <c r="G47" s="24">
        <v>3318004608</v>
      </c>
      <c r="H47" s="24" t="s">
        <v>227</v>
      </c>
      <c r="I47" s="24" t="s">
        <v>54</v>
      </c>
      <c r="J47" s="59">
        <v>46188</v>
      </c>
      <c r="K47" s="59">
        <v>46188</v>
      </c>
      <c r="L47" s="24">
        <v>8010173559</v>
      </c>
      <c r="M47" s="24" t="s">
        <v>49</v>
      </c>
      <c r="N47" s="42">
        <v>14010</v>
      </c>
      <c r="O47" s="43">
        <v>2511</v>
      </c>
      <c r="P47" s="44">
        <f t="shared" ref="P47" si="76">(N47+O47)*5%</f>
        <v>826.05000000000007</v>
      </c>
      <c r="Q47" s="44"/>
      <c r="R47" s="44">
        <v>3996</v>
      </c>
      <c r="S47" s="44">
        <f t="shared" ref="S47" si="77">SUM(N47:R47)</f>
        <v>21343.05</v>
      </c>
      <c r="T47" s="44">
        <v>150</v>
      </c>
      <c r="U47" s="45">
        <v>19</v>
      </c>
      <c r="V47" s="45">
        <f>VLOOKUP(B47,[3]Sheet1!$B$4:$AM$12,38,0)</f>
        <v>4</v>
      </c>
      <c r="W47" s="45">
        <f t="shared" ref="W47:W49" si="78">U47+V47</f>
        <v>23</v>
      </c>
      <c r="X47" s="46">
        <v>0</v>
      </c>
      <c r="Y47" s="44">
        <f>ROUND(N47/31*W47,0)</f>
        <v>10395</v>
      </c>
      <c r="Z47" s="44">
        <f>ROUND(O47/31*W47,0)</f>
        <v>1863</v>
      </c>
      <c r="AA47" s="44">
        <f>ROUND(P47/31*W47,0)</f>
        <v>613</v>
      </c>
      <c r="AB47" s="44">
        <f>ROUND(R47/31*W47,0)</f>
        <v>2965</v>
      </c>
      <c r="AC47" s="15">
        <v>0</v>
      </c>
      <c r="AD47" s="44">
        <f t="shared" ref="AD47:AD49" si="79">ROUND(SUM(Y47:AB47),0)</f>
        <v>15836</v>
      </c>
      <c r="AE47" s="44">
        <f t="shared" ref="AE47:AE49" si="80">ROUND(T47*X47,0)</f>
        <v>0</v>
      </c>
      <c r="AF47" s="44">
        <f t="shared" ref="AF47:AF49" si="81">ROUND(AD47+AE47,0)</f>
        <v>15836</v>
      </c>
      <c r="AG47" s="47">
        <f>IF((Y47+Z47)&lt;=15000,(Y47+Z47)*12/100,1800)</f>
        <v>1470.96</v>
      </c>
      <c r="AH47" s="47">
        <f t="shared" ref="AH47:AH49" si="82">ROUND(AF47*0.75%,0)</f>
        <v>119</v>
      </c>
      <c r="AI47" s="48">
        <f t="shared" ref="AI47:AI49" si="83">IF(I47="M",IF(AF47&gt;10000,200,IF(7500,175,0)),IF(I47="F",IF(AF47&gt;25000,200,0)))</f>
        <v>200</v>
      </c>
      <c r="AJ47" s="15">
        <v>0</v>
      </c>
      <c r="AK47" s="44">
        <f>W47*100</f>
        <v>2300</v>
      </c>
      <c r="AL47" s="15">
        <v>0</v>
      </c>
      <c r="AM47" s="44">
        <f>ROUND(SUM(AG47:AL47),0)</f>
        <v>4090</v>
      </c>
      <c r="AN47" s="21">
        <f t="shared" ref="AN47:AN49" si="84">ROUND(AF47-AM47,0)</f>
        <v>11746</v>
      </c>
      <c r="AO47" s="47">
        <f t="shared" ref="AO47:AO49" si="85">IF((Y47+Z47)&lt;=15000,(Y47+Z47)*13/100,1950)</f>
        <v>1593.54</v>
      </c>
      <c r="AP47" s="47">
        <f t="shared" ref="AP47:AP49" si="86">(Y47+Z47)*8.33/100</f>
        <v>1021.0914</v>
      </c>
      <c r="AQ47" s="47">
        <f t="shared" ref="AQ47:AQ49" si="87">(AF47)*3.25/100</f>
        <v>514.66999999999996</v>
      </c>
      <c r="AR47" s="47"/>
      <c r="AS47" s="44">
        <f t="shared" ref="AS47:AS49" si="88">AF47*8%</f>
        <v>1266.8800000000001</v>
      </c>
      <c r="AT47" s="44">
        <f t="shared" ref="AT47:AT49" si="89">AF47+AO47+AP47+AQ47+AR47+AS47</f>
        <v>20232.181400000001</v>
      </c>
      <c r="AU47" s="48">
        <f t="shared" ref="AU47:AU53" si="90">AT47*18%</f>
        <v>3641.7926520000001</v>
      </c>
      <c r="AV47" s="44">
        <f t="shared" ref="AV47:AV53" si="91">AT47+AU47</f>
        <v>23873.974052000001</v>
      </c>
    </row>
    <row r="48" spans="1:48" x14ac:dyDescent="0.35">
      <c r="A48" s="14">
        <v>45</v>
      </c>
      <c r="B48" s="24">
        <v>1002</v>
      </c>
      <c r="C48" s="25" t="s">
        <v>228</v>
      </c>
      <c r="D48" s="25" t="s">
        <v>229</v>
      </c>
      <c r="E48" s="73">
        <v>560412041721</v>
      </c>
      <c r="F48" s="66">
        <v>101678130416</v>
      </c>
      <c r="G48" s="24">
        <v>3316319988</v>
      </c>
      <c r="H48" s="24" t="s">
        <v>230</v>
      </c>
      <c r="I48" s="24" t="s">
        <v>54</v>
      </c>
      <c r="J48" s="59">
        <v>46176</v>
      </c>
      <c r="K48" s="59">
        <v>37348</v>
      </c>
      <c r="L48" s="24">
        <v>9623909675</v>
      </c>
      <c r="M48" s="24" t="s">
        <v>49</v>
      </c>
      <c r="N48" s="42">
        <v>14010</v>
      </c>
      <c r="O48" s="43">
        <v>2511</v>
      </c>
      <c r="P48" s="44">
        <f>(N48+O48)*5%</f>
        <v>826.05000000000007</v>
      </c>
      <c r="Q48" s="44"/>
      <c r="R48" s="44">
        <v>3996</v>
      </c>
      <c r="S48" s="44">
        <f t="shared" ref="S48:S53" si="92">SUM(N48:R48)</f>
        <v>21343.05</v>
      </c>
      <c r="T48" s="44">
        <v>150</v>
      </c>
      <c r="U48" s="45">
        <f>VLOOKUP(B48,[3]Sheet1!$B$4:$AK$12,36,0)</f>
        <v>4</v>
      </c>
      <c r="V48" s="45">
        <f>VLOOKUP(B48,[3]Sheet1!$B$4:$AM$12,38,0)</f>
        <v>0</v>
      </c>
      <c r="W48" s="45">
        <f t="shared" si="78"/>
        <v>4</v>
      </c>
      <c r="X48" s="46">
        <v>0</v>
      </c>
      <c r="Y48" s="44">
        <f t="shared" ref="Y48:Y49" si="93">ROUND(N48/31*W48,0)</f>
        <v>1808</v>
      </c>
      <c r="Z48" s="44">
        <f t="shared" ref="Z48:Z49" si="94">ROUND(O48/31*W48,0)</f>
        <v>324</v>
      </c>
      <c r="AA48" s="44">
        <f t="shared" ref="AA48:AA49" si="95">ROUND(P48/31*W48,0)</f>
        <v>107</v>
      </c>
      <c r="AB48" s="44">
        <f t="shared" ref="AB48:AB49" si="96">ROUND(R48/31*W48,0)</f>
        <v>516</v>
      </c>
      <c r="AC48" s="15">
        <v>0</v>
      </c>
      <c r="AD48" s="44">
        <f t="shared" si="79"/>
        <v>2755</v>
      </c>
      <c r="AE48" s="44">
        <f t="shared" si="80"/>
        <v>0</v>
      </c>
      <c r="AF48" s="44">
        <f t="shared" si="81"/>
        <v>2755</v>
      </c>
      <c r="AG48" s="47">
        <f t="shared" ref="AG48:AG49" si="97">IF((Y48+Z48)&lt;=15000,(Y48+Z48)*12/100,1800)</f>
        <v>255.84</v>
      </c>
      <c r="AH48" s="47">
        <f t="shared" si="82"/>
        <v>21</v>
      </c>
      <c r="AI48" s="48">
        <f t="shared" si="83"/>
        <v>175</v>
      </c>
      <c r="AJ48" s="15">
        <v>0</v>
      </c>
      <c r="AK48" s="44">
        <f t="shared" ref="AK48:AK49" si="98">W48*100</f>
        <v>400</v>
      </c>
      <c r="AL48" s="44">
        <v>1000</v>
      </c>
      <c r="AM48" s="44">
        <f>ROUND(SUM(AG48:AL48),0)</f>
        <v>1852</v>
      </c>
      <c r="AN48" s="21">
        <f t="shared" si="84"/>
        <v>903</v>
      </c>
      <c r="AO48" s="47">
        <f t="shared" si="85"/>
        <v>277.16000000000003</v>
      </c>
      <c r="AP48" s="47">
        <f t="shared" si="86"/>
        <v>177.59560000000002</v>
      </c>
      <c r="AQ48" s="47">
        <f t="shared" si="87"/>
        <v>89.537499999999994</v>
      </c>
      <c r="AR48" s="47"/>
      <c r="AS48" s="44">
        <f t="shared" si="88"/>
        <v>220.4</v>
      </c>
      <c r="AT48" s="44">
        <f t="shared" si="89"/>
        <v>3519.6931</v>
      </c>
      <c r="AU48" s="48">
        <f t="shared" si="90"/>
        <v>633.544758</v>
      </c>
      <c r="AV48" s="44">
        <f t="shared" si="91"/>
        <v>4153.2378580000004</v>
      </c>
    </row>
    <row r="49" spans="1:49" ht="17.5" customHeight="1" x14ac:dyDescent="0.35">
      <c r="A49" s="14">
        <v>46</v>
      </c>
      <c r="B49" s="24">
        <v>1004</v>
      </c>
      <c r="C49" s="25" t="s">
        <v>231</v>
      </c>
      <c r="D49" s="25" t="s">
        <v>232</v>
      </c>
      <c r="E49" s="73">
        <v>560412041721</v>
      </c>
      <c r="F49" s="66">
        <v>102003913914</v>
      </c>
      <c r="G49" s="24">
        <v>3318442966</v>
      </c>
      <c r="H49" s="24" t="s">
        <v>233</v>
      </c>
      <c r="I49" s="24" t="s">
        <v>54</v>
      </c>
      <c r="J49" s="59">
        <v>46258</v>
      </c>
      <c r="K49" s="59">
        <v>36983</v>
      </c>
      <c r="L49" s="24">
        <v>9637923353</v>
      </c>
      <c r="M49" s="24" t="s">
        <v>49</v>
      </c>
      <c r="N49" s="42">
        <v>14010</v>
      </c>
      <c r="O49" s="43">
        <v>2511</v>
      </c>
      <c r="P49" s="44">
        <f>(N49+O49)*5%</f>
        <v>826.05000000000007</v>
      </c>
      <c r="Q49" s="44"/>
      <c r="R49" s="44">
        <v>3996</v>
      </c>
      <c r="S49" s="44">
        <f t="shared" si="92"/>
        <v>21343.05</v>
      </c>
      <c r="T49" s="42">
        <v>150</v>
      </c>
      <c r="U49" s="45">
        <v>17</v>
      </c>
      <c r="V49" s="45">
        <f>VLOOKUP(B49,[3]Sheet1!$B$4:$AM$12,38,0)</f>
        <v>3</v>
      </c>
      <c r="W49" s="45">
        <f t="shared" si="78"/>
        <v>20</v>
      </c>
      <c r="X49" s="46">
        <v>0</v>
      </c>
      <c r="Y49" s="44">
        <f t="shared" si="93"/>
        <v>9039</v>
      </c>
      <c r="Z49" s="44">
        <f t="shared" si="94"/>
        <v>1620</v>
      </c>
      <c r="AA49" s="44">
        <f t="shared" si="95"/>
        <v>533</v>
      </c>
      <c r="AB49" s="44">
        <f t="shared" si="96"/>
        <v>2578</v>
      </c>
      <c r="AC49" s="15">
        <v>0</v>
      </c>
      <c r="AD49" s="44">
        <f t="shared" si="79"/>
        <v>13770</v>
      </c>
      <c r="AE49" s="44">
        <f t="shared" si="80"/>
        <v>0</v>
      </c>
      <c r="AF49" s="44">
        <f t="shared" si="81"/>
        <v>13770</v>
      </c>
      <c r="AG49" s="47">
        <f t="shared" si="97"/>
        <v>1279.08</v>
      </c>
      <c r="AH49" s="47">
        <f t="shared" si="82"/>
        <v>103</v>
      </c>
      <c r="AI49" s="48">
        <f t="shared" si="83"/>
        <v>200</v>
      </c>
      <c r="AJ49" s="15">
        <v>0</v>
      </c>
      <c r="AK49" s="44">
        <f t="shared" si="98"/>
        <v>2000</v>
      </c>
      <c r="AL49" s="15">
        <v>0</v>
      </c>
      <c r="AM49" s="44">
        <f t="shared" ref="AM49" si="99">ROUND(SUM(AG49:AL49),0)</f>
        <v>3582</v>
      </c>
      <c r="AN49" s="21">
        <f t="shared" si="84"/>
        <v>10188</v>
      </c>
      <c r="AO49" s="47">
        <f t="shared" si="85"/>
        <v>1385.67</v>
      </c>
      <c r="AP49" s="47">
        <f t="shared" si="86"/>
        <v>887.89470000000006</v>
      </c>
      <c r="AQ49" s="47">
        <f t="shared" si="87"/>
        <v>447.52499999999998</v>
      </c>
      <c r="AR49" s="47"/>
      <c r="AS49" s="44">
        <f t="shared" si="88"/>
        <v>1101.6000000000001</v>
      </c>
      <c r="AT49" s="44">
        <f t="shared" si="89"/>
        <v>17592.689699999999</v>
      </c>
      <c r="AU49" s="48">
        <f t="shared" si="90"/>
        <v>3166.6841459999996</v>
      </c>
      <c r="AV49" s="44">
        <f t="shared" si="91"/>
        <v>20759.373845999999</v>
      </c>
    </row>
    <row r="50" spans="1:49" ht="17.5" customHeight="1" x14ac:dyDescent="0.35">
      <c r="A50" s="14">
        <v>47</v>
      </c>
      <c r="B50" s="24" t="s">
        <v>236</v>
      </c>
      <c r="C50" s="25" t="s">
        <v>237</v>
      </c>
      <c r="D50" s="25" t="s">
        <v>238</v>
      </c>
      <c r="E50" s="73">
        <f>VLOOKUP(B50,'[1]Gemshine Manpower DC&amp;T '!$B$3:$M$61,12,0)</f>
        <v>266639180533</v>
      </c>
      <c r="F50" s="66">
        <v>102034590074</v>
      </c>
      <c r="G50" s="24">
        <v>3601428331</v>
      </c>
      <c r="H50" s="24" t="s">
        <v>239</v>
      </c>
      <c r="I50" s="24" t="s">
        <v>54</v>
      </c>
      <c r="J50" s="59">
        <v>46235</v>
      </c>
      <c r="K50" s="59">
        <v>37457</v>
      </c>
      <c r="L50" s="24">
        <v>8459680694</v>
      </c>
      <c r="M50" s="24" t="s">
        <v>240</v>
      </c>
      <c r="N50" s="24">
        <v>20000</v>
      </c>
      <c r="O50" s="42">
        <v>2511</v>
      </c>
      <c r="P50" s="43">
        <f t="shared" ref="P50:P53" si="100">(N50+O50)*5%</f>
        <v>1125.55</v>
      </c>
      <c r="Q50" s="44">
        <v>1126</v>
      </c>
      <c r="R50" s="44">
        <v>7480</v>
      </c>
      <c r="S50" s="44">
        <f t="shared" si="92"/>
        <v>32242.55</v>
      </c>
      <c r="T50" s="42">
        <v>127</v>
      </c>
      <c r="U50" s="45">
        <v>25</v>
      </c>
      <c r="V50" s="45">
        <v>1</v>
      </c>
      <c r="W50" s="45">
        <f t="shared" ref="W50:W53" si="101">U50+V50</f>
        <v>26</v>
      </c>
      <c r="X50" s="46">
        <v>0</v>
      </c>
      <c r="Y50" s="44">
        <f>ROUND(N50/26*W50,0)</f>
        <v>20000</v>
      </c>
      <c r="Z50" s="44">
        <f>ROUND(O50/26*W50,0)</f>
        <v>2511</v>
      </c>
      <c r="AA50" s="44">
        <v>2252</v>
      </c>
      <c r="AB50" s="15">
        <f>ROUND(R50/26*U50,0)</f>
        <v>7192</v>
      </c>
      <c r="AC50" s="15">
        <v>0</v>
      </c>
      <c r="AD50" s="44">
        <f>ROUND(SUM(Y50:AB50),0)</f>
        <v>31955</v>
      </c>
      <c r="AE50" s="44">
        <f>ROUND(T50*X50,0)</f>
        <v>0</v>
      </c>
      <c r="AF50" s="44">
        <f t="shared" ref="AF50:AF53" si="102">ROUND(AD50+AE50,0)</f>
        <v>31955</v>
      </c>
      <c r="AG50" s="47">
        <f t="shared" ref="AG50:AG53" si="103">IF((Y50+Z50)&lt;=15000,(Y50+Z50)*12/100,1800)</f>
        <v>1800</v>
      </c>
      <c r="AH50" s="47">
        <f t="shared" ref="AH50:AH53" si="104">ROUND(AF50*0.75%,0)</f>
        <v>240</v>
      </c>
      <c r="AI50" s="48">
        <f>IF(I50="M",IF(AF50&gt;10000,200,IF(7500,175,0)),IF(I50="F",IF(AF50&gt;25000,200,0)))</f>
        <v>200</v>
      </c>
      <c r="AJ50" s="15">
        <v>0</v>
      </c>
      <c r="AK50" s="15">
        <v>0</v>
      </c>
      <c r="AL50" s="44">
        <v>0</v>
      </c>
      <c r="AM50" s="44">
        <f>ROUND(SUM(AG50:AL50),0)</f>
        <v>2240</v>
      </c>
      <c r="AN50" s="21">
        <f>ROUND(AF50-AM50,0)</f>
        <v>29715</v>
      </c>
      <c r="AO50" s="15">
        <f>IF((Y50+Z50)&lt;=15000,(Y50+Z50)*13/100,1950)</f>
        <v>1950</v>
      </c>
      <c r="AP50" s="47">
        <f>(Y50+Z50)*8.33/100</f>
        <v>1875.1663000000001</v>
      </c>
      <c r="AQ50" s="47">
        <f>(AF50)*3.25/100</f>
        <v>1038.5374999999999</v>
      </c>
      <c r="AR50" s="47">
        <v>0</v>
      </c>
      <c r="AS50" s="47">
        <f>AF50*9%</f>
        <v>2875.95</v>
      </c>
      <c r="AT50" s="44">
        <f>AF50+AO50+AP50+AQ50+AR50+AS50</f>
        <v>39694.653799999993</v>
      </c>
      <c r="AU50" s="44">
        <f t="shared" si="90"/>
        <v>7145.0376839999981</v>
      </c>
      <c r="AV50" s="48">
        <f t="shared" si="91"/>
        <v>46839.691483999988</v>
      </c>
      <c r="AW50" s="52"/>
    </row>
    <row r="51" spans="1:49" ht="17.5" customHeight="1" x14ac:dyDescent="0.35">
      <c r="A51" s="14">
        <v>48</v>
      </c>
      <c r="B51" s="24" t="s">
        <v>241</v>
      </c>
      <c r="C51" s="25" t="s">
        <v>242</v>
      </c>
      <c r="D51" s="25" t="s">
        <v>243</v>
      </c>
      <c r="E51" s="73">
        <f>VLOOKUP(B51,'[1]Gemshine Manpower DC&amp;T '!$B$3:$M$61,12,0)</f>
        <v>218366413425</v>
      </c>
      <c r="F51" s="66">
        <v>0</v>
      </c>
      <c r="G51" s="24">
        <v>0</v>
      </c>
      <c r="H51" s="24" t="s">
        <v>244</v>
      </c>
      <c r="I51" s="24" t="s">
        <v>54</v>
      </c>
      <c r="J51" s="59">
        <v>46235</v>
      </c>
      <c r="K51" s="59">
        <v>36772</v>
      </c>
      <c r="L51" s="24">
        <v>7769051164</v>
      </c>
      <c r="M51" s="24" t="s">
        <v>245</v>
      </c>
      <c r="N51" s="24">
        <v>20000</v>
      </c>
      <c r="O51" s="42">
        <v>2511</v>
      </c>
      <c r="P51" s="43">
        <f t="shared" si="100"/>
        <v>1125.55</v>
      </c>
      <c r="Q51" s="44">
        <v>1126</v>
      </c>
      <c r="R51" s="44">
        <v>5465</v>
      </c>
      <c r="S51" s="44">
        <f t="shared" si="92"/>
        <v>30227.55</v>
      </c>
      <c r="T51" s="42">
        <v>127</v>
      </c>
      <c r="U51" s="45">
        <v>23</v>
      </c>
      <c r="V51" s="45">
        <v>1</v>
      </c>
      <c r="W51" s="45">
        <f t="shared" si="101"/>
        <v>24</v>
      </c>
      <c r="X51" s="46">
        <v>7</v>
      </c>
      <c r="Y51" s="44">
        <f>ROUND(N51/26*W51,0)</f>
        <v>18462</v>
      </c>
      <c r="Z51" s="44">
        <f>ROUND(O51/26*W51,0)</f>
        <v>2318</v>
      </c>
      <c r="AA51" s="44">
        <v>2078</v>
      </c>
      <c r="AB51" s="15">
        <f>ROUND(R51/26*U51,0)</f>
        <v>4834</v>
      </c>
      <c r="AC51" s="15">
        <v>0</v>
      </c>
      <c r="AD51" s="44">
        <f>ROUND(SUM(Y51:AB51),0)</f>
        <v>27692</v>
      </c>
      <c r="AE51" s="44">
        <f t="shared" ref="AE51:AE53" si="105">ROUND(T51*X51,0)</f>
        <v>889</v>
      </c>
      <c r="AF51" s="44">
        <f t="shared" si="102"/>
        <v>28581</v>
      </c>
      <c r="AG51" s="47">
        <f t="shared" si="103"/>
        <v>1800</v>
      </c>
      <c r="AH51" s="47">
        <f t="shared" si="104"/>
        <v>214</v>
      </c>
      <c r="AI51" s="48">
        <f>IF(I51="M",IF(AF51&gt;10000,200,IF(7500,175,0)),IF(I51="F",IF(AF51&gt;25000,200,0)))</f>
        <v>200</v>
      </c>
      <c r="AJ51" s="15">
        <v>0</v>
      </c>
      <c r="AK51" s="15">
        <v>0</v>
      </c>
      <c r="AL51" s="44">
        <v>0</v>
      </c>
      <c r="AM51" s="44">
        <f>ROUND(SUM(AG51:AL51),0)</f>
        <v>2214</v>
      </c>
      <c r="AN51" s="21">
        <f>ROUND(AF51-AM51,0)</f>
        <v>26367</v>
      </c>
      <c r="AO51" s="15">
        <f>IF((Y51+Z51)&lt;=15000,(Y51+Z51)*13/100,1950)</f>
        <v>1950</v>
      </c>
      <c r="AP51" s="47">
        <f>(Y51+Z51)*8.33/100</f>
        <v>1730.9739999999999</v>
      </c>
      <c r="AQ51" s="47">
        <f>(AF51)*3.25/100</f>
        <v>928.88250000000005</v>
      </c>
      <c r="AR51" s="47">
        <v>0</v>
      </c>
      <c r="AS51" s="47">
        <f>AF51*9%</f>
        <v>2572.29</v>
      </c>
      <c r="AT51" s="44">
        <f>AF51+AO51+AP51+AQ51+AR51+AS51</f>
        <v>35763.146500000003</v>
      </c>
      <c r="AU51" s="44">
        <f t="shared" si="90"/>
        <v>6437.3663700000006</v>
      </c>
      <c r="AV51" s="48">
        <f t="shared" si="91"/>
        <v>42200.512870000006</v>
      </c>
      <c r="AW51" s="52"/>
    </row>
    <row r="52" spans="1:49" ht="17.5" customHeight="1" x14ac:dyDescent="0.35">
      <c r="A52" s="14">
        <v>49</v>
      </c>
      <c r="B52" s="24" t="s">
        <v>246</v>
      </c>
      <c r="C52" s="25" t="s">
        <v>247</v>
      </c>
      <c r="D52" s="25" t="s">
        <v>248</v>
      </c>
      <c r="E52" s="73">
        <f>VLOOKUP(B52,'[1]Gemshine Manpower DC&amp;T '!$B$3:$M$61,12,0)</f>
        <v>991323467883</v>
      </c>
      <c r="F52" s="66">
        <v>101620474226</v>
      </c>
      <c r="G52" s="24">
        <v>3312023433</v>
      </c>
      <c r="H52" s="24" t="s">
        <v>249</v>
      </c>
      <c r="I52" s="24" t="s">
        <v>54</v>
      </c>
      <c r="J52" s="59">
        <v>46239</v>
      </c>
      <c r="K52" s="59">
        <v>35845</v>
      </c>
      <c r="L52" s="24">
        <v>9637476172</v>
      </c>
      <c r="M52" s="24" t="s">
        <v>240</v>
      </c>
      <c r="N52" s="24">
        <v>20000</v>
      </c>
      <c r="O52" s="42">
        <v>2511</v>
      </c>
      <c r="P52" s="43">
        <f t="shared" si="100"/>
        <v>1125.55</v>
      </c>
      <c r="Q52" s="44">
        <v>1126</v>
      </c>
      <c r="R52" s="44">
        <v>7480</v>
      </c>
      <c r="S52" s="44">
        <f t="shared" si="92"/>
        <v>32242.55</v>
      </c>
      <c r="T52" s="42">
        <v>127</v>
      </c>
      <c r="U52" s="45">
        <v>22</v>
      </c>
      <c r="V52" s="45">
        <v>1</v>
      </c>
      <c r="W52" s="45">
        <f t="shared" si="101"/>
        <v>23</v>
      </c>
      <c r="X52" s="46">
        <v>72</v>
      </c>
      <c r="Y52" s="44">
        <f>ROUND(N52/26*W52,0)</f>
        <v>17692</v>
      </c>
      <c r="Z52" s="44">
        <f>ROUND(O52/26*W52,0)</f>
        <v>2221</v>
      </c>
      <c r="AA52" s="44">
        <f>ROUND(P52/26*W52,0)+996</f>
        <v>1992</v>
      </c>
      <c r="AB52" s="15">
        <f>ROUND(R52/26*U52,0)</f>
        <v>6329</v>
      </c>
      <c r="AC52" s="15">
        <v>0</v>
      </c>
      <c r="AD52" s="44">
        <f>ROUND(SUM(Y52:AB52),0)</f>
        <v>28234</v>
      </c>
      <c r="AE52" s="44">
        <f t="shared" si="105"/>
        <v>9144</v>
      </c>
      <c r="AF52" s="44">
        <f t="shared" si="102"/>
        <v>37378</v>
      </c>
      <c r="AG52" s="47">
        <f t="shared" si="103"/>
        <v>1800</v>
      </c>
      <c r="AH52" s="47">
        <f t="shared" si="104"/>
        <v>280</v>
      </c>
      <c r="AI52" s="48">
        <f>IF(I52="M",IF(AF52&gt;10000,200,IF(7500,175,0)),IF(I52="F",IF(AF52&gt;25000,200,0)))</f>
        <v>200</v>
      </c>
      <c r="AJ52" s="15">
        <v>0</v>
      </c>
      <c r="AK52" s="15">
        <v>0</v>
      </c>
      <c r="AL52" s="44">
        <v>0</v>
      </c>
      <c r="AM52" s="44">
        <f>ROUND(SUM(AG52:AL52),0)</f>
        <v>2280</v>
      </c>
      <c r="AN52" s="21">
        <f>ROUND(AF52-AM52,0)</f>
        <v>35098</v>
      </c>
      <c r="AO52" s="15">
        <f>IF((Y52+Z52)&lt;=15000,(Y52+Z52)*13/100,1950)</f>
        <v>1950</v>
      </c>
      <c r="AP52" s="47">
        <f>(Y52+Z52)*8.33/100</f>
        <v>1658.7529000000002</v>
      </c>
      <c r="AQ52" s="47">
        <f>(AF52)*3.25/100</f>
        <v>1214.7850000000001</v>
      </c>
      <c r="AR52" s="47">
        <v>0</v>
      </c>
      <c r="AS52" s="47">
        <f>AF52*9%</f>
        <v>3364.02</v>
      </c>
      <c r="AT52" s="44">
        <f>AF52+AO52+AP52+AQ52+AR52+AS52</f>
        <v>45565.5579</v>
      </c>
      <c r="AU52" s="44">
        <f t="shared" si="90"/>
        <v>8201.8004220000003</v>
      </c>
      <c r="AV52" s="48">
        <f t="shared" si="91"/>
        <v>53767.358322</v>
      </c>
      <c r="AW52" s="52"/>
    </row>
    <row r="53" spans="1:49" ht="17.5" customHeight="1" x14ac:dyDescent="0.55000000000000004">
      <c r="A53" s="14">
        <v>50</v>
      </c>
      <c r="B53" s="24" t="s">
        <v>250</v>
      </c>
      <c r="C53" s="25" t="s">
        <v>251</v>
      </c>
      <c r="D53" s="25" t="s">
        <v>252</v>
      </c>
      <c r="E53" s="73">
        <f>VLOOKUP(B53,'[1]Gemshine Manpower DC&amp;T '!$B$3:$M$61,12,0)</f>
        <v>552776653368</v>
      </c>
      <c r="F53" s="66">
        <v>101740641447</v>
      </c>
      <c r="G53" s="24">
        <v>3313378729</v>
      </c>
      <c r="H53" s="24" t="s">
        <v>253</v>
      </c>
      <c r="I53" s="24" t="s">
        <v>54</v>
      </c>
      <c r="J53" s="59">
        <v>46245</v>
      </c>
      <c r="K53" s="59">
        <v>33239</v>
      </c>
      <c r="L53" s="24">
        <v>8237528684</v>
      </c>
      <c r="M53" s="24" t="s">
        <v>245</v>
      </c>
      <c r="N53" s="24">
        <v>20000</v>
      </c>
      <c r="O53" s="42">
        <v>2511</v>
      </c>
      <c r="P53" s="43">
        <f t="shared" si="100"/>
        <v>1125.55</v>
      </c>
      <c r="Q53" s="44">
        <v>1126</v>
      </c>
      <c r="R53" s="44">
        <v>5465</v>
      </c>
      <c r="S53" s="44">
        <f t="shared" si="92"/>
        <v>30227.55</v>
      </c>
      <c r="T53" s="42">
        <v>127</v>
      </c>
      <c r="U53" s="45">
        <v>16</v>
      </c>
      <c r="V53" s="45">
        <v>1</v>
      </c>
      <c r="W53" s="45">
        <f t="shared" si="101"/>
        <v>17</v>
      </c>
      <c r="X53" s="46">
        <v>41</v>
      </c>
      <c r="Y53" s="44">
        <f>ROUND(N53/26*W53,0)</f>
        <v>13077</v>
      </c>
      <c r="Z53" s="44">
        <f>ROUND(O53/26*W53,0)</f>
        <v>1642</v>
      </c>
      <c r="AA53" s="44">
        <f>ROUND(P53/26*W53,0)+736</f>
        <v>1472</v>
      </c>
      <c r="AB53" s="15">
        <f>ROUND(R53/26*U53,0)</f>
        <v>3363</v>
      </c>
      <c r="AC53" s="15">
        <v>0</v>
      </c>
      <c r="AD53" s="44">
        <f>ROUND(SUM(Y53:AB53),0)</f>
        <v>19554</v>
      </c>
      <c r="AE53" s="44">
        <f t="shared" si="105"/>
        <v>5207</v>
      </c>
      <c r="AF53" s="44">
        <f t="shared" si="102"/>
        <v>24761</v>
      </c>
      <c r="AG53" s="47">
        <f t="shared" si="103"/>
        <v>1766.28</v>
      </c>
      <c r="AH53" s="47">
        <f t="shared" si="104"/>
        <v>186</v>
      </c>
      <c r="AI53" s="48">
        <f>IF(I53="M",IF(AF53&gt;10000,200,IF(7500,175,0)),IF(I53="F",IF(AF53&gt;25000,200,0)))</f>
        <v>200</v>
      </c>
      <c r="AJ53" s="15">
        <v>0</v>
      </c>
      <c r="AK53" s="15">
        <v>0</v>
      </c>
      <c r="AL53" s="44">
        <v>0</v>
      </c>
      <c r="AM53" s="44">
        <f>ROUND(SUM(AG53:AL53),0)</f>
        <v>2152</v>
      </c>
      <c r="AN53" s="21">
        <f>ROUND(AF53-AM53,0)</f>
        <v>22609</v>
      </c>
      <c r="AO53" s="15">
        <f>IF((Y53+Z53)&lt;=15000,(Y53+Z53)*13/100,1950)</f>
        <v>1913.47</v>
      </c>
      <c r="AP53" s="47">
        <f>(Y53+Z53)*8.33/100</f>
        <v>1226.0927000000001</v>
      </c>
      <c r="AQ53" s="47">
        <f>(AF53)*3.25/100</f>
        <v>804.73249999999996</v>
      </c>
      <c r="AR53" s="47">
        <v>0</v>
      </c>
      <c r="AS53" s="47">
        <f>AF53*9%</f>
        <v>2228.4899999999998</v>
      </c>
      <c r="AT53" s="44">
        <f>AF53+AO53+AP53+AQ53+AR53+AS53</f>
        <v>30933.785199999998</v>
      </c>
      <c r="AU53" s="44">
        <f t="shared" si="90"/>
        <v>5568.0813359999993</v>
      </c>
      <c r="AV53" s="48">
        <f t="shared" si="91"/>
        <v>36501.866536000001</v>
      </c>
      <c r="AW53" s="53"/>
    </row>
    <row r="54" spans="1:49" s="20" customFormat="1" x14ac:dyDescent="0.35">
      <c r="A54" s="14"/>
      <c r="B54" s="14"/>
      <c r="C54" s="38"/>
      <c r="D54" s="38"/>
      <c r="E54" s="74"/>
      <c r="F54" s="63"/>
      <c r="G54" s="14"/>
      <c r="H54" s="14"/>
      <c r="I54" s="14"/>
      <c r="J54" s="57"/>
      <c r="K54" s="57"/>
      <c r="L54" s="14"/>
      <c r="M54" s="14"/>
      <c r="N54" s="14"/>
      <c r="O54" s="14"/>
      <c r="P54" s="14"/>
      <c r="Q54" s="14"/>
      <c r="R54" s="14"/>
      <c r="S54" s="14"/>
      <c r="T54" s="14"/>
      <c r="U54" s="37">
        <f>SUM(U4:U53)</f>
        <v>1085</v>
      </c>
      <c r="V54" s="37">
        <f t="shared" ref="V54:AN54" si="106">SUM(V4:V53)</f>
        <v>48</v>
      </c>
      <c r="W54" s="37">
        <f t="shared" si="106"/>
        <v>1133</v>
      </c>
      <c r="X54" s="37">
        <f t="shared" si="106"/>
        <v>209</v>
      </c>
      <c r="Y54" s="37">
        <f t="shared" si="106"/>
        <v>673649</v>
      </c>
      <c r="Z54" s="37">
        <f t="shared" si="106"/>
        <v>108690</v>
      </c>
      <c r="AA54" s="37">
        <f t="shared" si="106"/>
        <v>51890</v>
      </c>
      <c r="AB54" s="37">
        <f>SUM(AB4:AB53)</f>
        <v>267912</v>
      </c>
      <c r="AC54" s="37">
        <f t="shared" si="106"/>
        <v>3219</v>
      </c>
      <c r="AD54" s="37">
        <f t="shared" si="106"/>
        <v>1105360</v>
      </c>
      <c r="AE54" s="37">
        <f t="shared" si="106"/>
        <v>29200</v>
      </c>
      <c r="AF54" s="37">
        <f t="shared" si="106"/>
        <v>1134560</v>
      </c>
      <c r="AG54" s="37">
        <f t="shared" si="106"/>
        <v>81979.56</v>
      </c>
      <c r="AH54" s="37">
        <f t="shared" si="106"/>
        <v>8512</v>
      </c>
      <c r="AI54" s="37">
        <f t="shared" si="106"/>
        <v>8575</v>
      </c>
      <c r="AJ54" s="37">
        <f t="shared" si="106"/>
        <v>0</v>
      </c>
      <c r="AK54" s="37">
        <f t="shared" si="106"/>
        <v>134254</v>
      </c>
      <c r="AL54" s="37">
        <f t="shared" si="106"/>
        <v>1000</v>
      </c>
      <c r="AM54" s="37">
        <f t="shared" si="106"/>
        <v>234321</v>
      </c>
      <c r="AN54" s="37">
        <f t="shared" si="106"/>
        <v>915239</v>
      </c>
      <c r="AO54" s="37">
        <f t="shared" ref="AO54:AV54" si="107">SUM(AO4:AO49)</f>
        <v>81047.72</v>
      </c>
      <c r="AP54" s="37">
        <f t="shared" si="107"/>
        <v>58677.852799999993</v>
      </c>
      <c r="AQ54" s="37">
        <f t="shared" si="107"/>
        <v>32886.26249999999</v>
      </c>
      <c r="AR54" s="37">
        <f t="shared" si="107"/>
        <v>50</v>
      </c>
      <c r="AS54" s="37">
        <f t="shared" si="107"/>
        <v>90746.040000000008</v>
      </c>
      <c r="AT54" s="37">
        <f t="shared" si="107"/>
        <v>1275292.8752999997</v>
      </c>
      <c r="AU54" s="37">
        <f t="shared" si="107"/>
        <v>229552.71755400003</v>
      </c>
      <c r="AV54" s="37">
        <f t="shared" si="107"/>
        <v>1504845.5928540002</v>
      </c>
    </row>
    <row r="55" spans="1:49" x14ac:dyDescent="0.35">
      <c r="AT55" s="22"/>
    </row>
  </sheetData>
  <autoFilter ref="A1:AV55" xr:uid="{00000000-0001-0000-0000-000000000000}"/>
  <mergeCells count="7">
    <mergeCell ref="N2:T2"/>
    <mergeCell ref="AO2:AV2"/>
    <mergeCell ref="I2:M2"/>
    <mergeCell ref="A2:C2"/>
    <mergeCell ref="U2:X2"/>
    <mergeCell ref="Y2:AF2"/>
    <mergeCell ref="AG2:AN2"/>
  </mergeCells>
  <phoneticPr fontId="13" type="noConversion"/>
  <conditionalFormatting sqref="K2 L3:M3">
    <cfRule type="duplicateValues" dxfId="0" priority="8"/>
  </conditionalFormatting>
  <pageMargins left="0.7" right="0.7" top="0.75" bottom="0.75" header="0.3" footer="0.3"/>
  <pageSetup scale="2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Wages Sheet </vt:lpstr>
      <vt:lpstr>'Wages Sheet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Parshu</dc:creator>
  <cp:lastModifiedBy>Parshu Kale</cp:lastModifiedBy>
  <cp:lastPrinted>2026-09-12T06:32:38Z</cp:lastPrinted>
  <dcterms:created xsi:type="dcterms:W3CDTF">2015-06-05T18:17:20Z</dcterms:created>
  <dcterms:modified xsi:type="dcterms:W3CDTF">2026-09-12T08:43:58Z</dcterms:modified>
</cp:coreProperties>
</file>