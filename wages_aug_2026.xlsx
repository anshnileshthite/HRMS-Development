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mpany Data\DAS\Sagar Enterprises\Aug 26 Sagar Enterprises\"/>
    </mc:Choice>
  </mc:AlternateContent>
  <xr:revisionPtr revIDLastSave="0" documentId="13_ncr:1_{C57E404C-ADB1-4ADB-9414-F501A6738E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ges sheet " sheetId="1" r:id="rId1"/>
  </sheets>
  <externalReferences>
    <externalReference r:id="rId2"/>
  </externalReferences>
  <definedNames>
    <definedName name="_xlnm._FilterDatabase" localSheetId="0" hidden="1">'Wages sheet '!$A$3:$AS$89</definedName>
    <definedName name="_xlnm.Print_Area" localSheetId="0">'Wages sheet '!$A$1:$AS$89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9" i="1" l="1"/>
  <c r="AJ89" i="1"/>
  <c r="AI89" i="1"/>
  <c r="S26" i="1"/>
  <c r="S88" i="1"/>
  <c r="T88" i="1" s="1"/>
  <c r="S87" i="1"/>
  <c r="T87" i="1" s="1"/>
  <c r="S86" i="1"/>
  <c r="T86" i="1" s="1"/>
  <c r="S85" i="1"/>
  <c r="T85" i="1" s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7" i="1"/>
  <c r="T77" i="1" s="1"/>
  <c r="S76" i="1"/>
  <c r="T76" i="1" s="1"/>
  <c r="S75" i="1"/>
  <c r="T75" i="1" s="1"/>
  <c r="S74" i="1"/>
  <c r="T74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S65" i="1"/>
  <c r="T65" i="1" s="1"/>
  <c r="S64" i="1"/>
  <c r="T64" i="1" s="1"/>
  <c r="S63" i="1"/>
  <c r="T63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S52" i="1"/>
  <c r="T52" i="1" s="1"/>
  <c r="S51" i="1"/>
  <c r="T51" i="1" s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0" i="1"/>
  <c r="S9" i="1"/>
  <c r="S8" i="1"/>
  <c r="S7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Z35" i="1" l="1"/>
  <c r="T42" i="1"/>
  <c r="T41" i="1"/>
  <c r="T40" i="1"/>
  <c r="T39" i="1"/>
  <c r="T38" i="1"/>
  <c r="T37" i="1"/>
  <c r="T36" i="1"/>
  <c r="T35" i="1"/>
  <c r="T34" i="1"/>
  <c r="T33" i="1"/>
  <c r="T32" i="1"/>
  <c r="T31" i="1"/>
  <c r="T29" i="1"/>
  <c r="T27" i="1"/>
  <c r="U26" i="1"/>
  <c r="T26" i="1"/>
  <c r="T25" i="1"/>
  <c r="T23" i="1"/>
  <c r="T22" i="1"/>
  <c r="T30" i="1"/>
  <c r="AD35" i="1" l="1"/>
  <c r="T28" i="1"/>
  <c r="AA35" i="1"/>
  <c r="AF35" i="1" s="1"/>
  <c r="T24" i="1"/>
  <c r="AB35" i="1"/>
  <c r="T16" i="1"/>
  <c r="AC35" i="1" l="1"/>
  <c r="AE35" i="1" s="1"/>
  <c r="AN35" i="1" s="1"/>
  <c r="AM35" i="1"/>
  <c r="S11" i="1"/>
  <c r="T11" i="1" s="1"/>
  <c r="AP35" i="1" l="1"/>
  <c r="AQ35" i="1" s="1"/>
  <c r="AR35" i="1" s="1"/>
  <c r="AS35" i="1" s="1"/>
  <c r="AG35" i="1"/>
  <c r="AH35" i="1"/>
  <c r="T21" i="1"/>
  <c r="T20" i="1"/>
  <c r="T19" i="1"/>
  <c r="T18" i="1"/>
  <c r="T17" i="1"/>
  <c r="T15" i="1"/>
  <c r="T14" i="1"/>
  <c r="T13" i="1"/>
  <c r="T12" i="1"/>
  <c r="T10" i="1"/>
  <c r="T8" i="1"/>
  <c r="T7" i="1"/>
  <c r="S6" i="1"/>
  <c r="T6" i="1" s="1"/>
  <c r="AK35" i="1" l="1"/>
  <c r="AL35" i="1" s="1"/>
  <c r="T9" i="1"/>
  <c r="AD63" i="1" l="1"/>
  <c r="AD72" i="1"/>
  <c r="AD88" i="1"/>
  <c r="AD87" i="1"/>
  <c r="AD86" i="1"/>
  <c r="AD85" i="1"/>
  <c r="AD84" i="1"/>
  <c r="AD83" i="1"/>
  <c r="AD82" i="1"/>
  <c r="AD81" i="1"/>
  <c r="AD80" i="1"/>
  <c r="AA82" i="1" l="1"/>
  <c r="Z85" i="1"/>
  <c r="AB87" i="1"/>
  <c r="Z82" i="1"/>
  <c r="AA87" i="1" l="1"/>
  <c r="Z87" i="1"/>
  <c r="AB85" i="1"/>
  <c r="AA85" i="1"/>
  <c r="AM85" i="1" s="1"/>
  <c r="AB82" i="1"/>
  <c r="AC82" i="1" s="1"/>
  <c r="AE82" i="1" s="1"/>
  <c r="AM82" i="1"/>
  <c r="AF82" i="1"/>
  <c r="AB86" i="1"/>
  <c r="Z86" i="1"/>
  <c r="AA86" i="1"/>
  <c r="Z81" i="1"/>
  <c r="AB81" i="1"/>
  <c r="AA81" i="1"/>
  <c r="AB80" i="1"/>
  <c r="AA80" i="1"/>
  <c r="Z80" i="1"/>
  <c r="AA83" i="1"/>
  <c r="AB83" i="1"/>
  <c r="Z83" i="1"/>
  <c r="AB84" i="1"/>
  <c r="AA84" i="1"/>
  <c r="Z84" i="1"/>
  <c r="Z88" i="1"/>
  <c r="AB88" i="1"/>
  <c r="AA88" i="1"/>
  <c r="AD79" i="1"/>
  <c r="AD78" i="1"/>
  <c r="AD77" i="1"/>
  <c r="AD76" i="1"/>
  <c r="AD75" i="1"/>
  <c r="AD74" i="1"/>
  <c r="AD73" i="1"/>
  <c r="AD71" i="1"/>
  <c r="AD70" i="1"/>
  <c r="AD69" i="1"/>
  <c r="AD68" i="1"/>
  <c r="AD67" i="1"/>
  <c r="AD66" i="1"/>
  <c r="AD65" i="1"/>
  <c r="AD64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M87" i="1" l="1"/>
  <c r="AC87" i="1"/>
  <c r="AE87" i="1" s="1"/>
  <c r="AF87" i="1"/>
  <c r="AF85" i="1"/>
  <c r="AC85" i="1"/>
  <c r="AE85" i="1" s="1"/>
  <c r="AH85" i="1" s="1"/>
  <c r="Z8" i="1"/>
  <c r="Z13" i="1"/>
  <c r="AA21" i="1"/>
  <c r="AA29" i="1"/>
  <c r="AA38" i="1"/>
  <c r="AA46" i="1"/>
  <c r="AA54" i="1"/>
  <c r="AA62" i="1"/>
  <c r="AA67" i="1"/>
  <c r="AA15" i="1"/>
  <c r="AA23" i="1"/>
  <c r="AA31" i="1"/>
  <c r="AB40" i="1"/>
  <c r="AA48" i="1"/>
  <c r="Z56" i="1"/>
  <c r="AB9" i="1"/>
  <c r="AA14" i="1"/>
  <c r="AA22" i="1"/>
  <c r="Z30" i="1"/>
  <c r="AA39" i="1"/>
  <c r="AA47" i="1"/>
  <c r="AB55" i="1"/>
  <c r="Z63" i="1"/>
  <c r="AB16" i="1"/>
  <c r="Z24" i="1"/>
  <c r="AB32" i="1"/>
  <c r="AB41" i="1"/>
  <c r="AB49" i="1"/>
  <c r="AA57" i="1"/>
  <c r="AB70" i="1"/>
  <c r="AA75" i="1"/>
  <c r="Z10" i="1"/>
  <c r="Z18" i="1"/>
  <c r="AB26" i="1"/>
  <c r="Z34" i="1"/>
  <c r="AA43" i="1"/>
  <c r="Z51" i="1"/>
  <c r="Z59" i="1"/>
  <c r="AB64" i="1"/>
  <c r="Z17" i="1"/>
  <c r="Z25" i="1"/>
  <c r="AB33" i="1"/>
  <c r="AA42" i="1"/>
  <c r="AA50" i="1"/>
  <c r="AA58" i="1"/>
  <c r="AB61" i="1"/>
  <c r="Z71" i="1"/>
  <c r="Z76" i="1"/>
  <c r="AA68" i="1"/>
  <c r="Z73" i="1"/>
  <c r="AM84" i="1"/>
  <c r="AC84" i="1"/>
  <c r="AE84" i="1" s="1"/>
  <c r="AF84" i="1"/>
  <c r="AC80" i="1"/>
  <c r="AE80" i="1" s="1"/>
  <c r="AH82" i="1"/>
  <c r="AP82" i="1"/>
  <c r="AG82" i="1"/>
  <c r="AN82" i="1"/>
  <c r="AF80" i="1"/>
  <c r="AM80" i="1"/>
  <c r="AA40" i="1"/>
  <c r="W89" i="1"/>
  <c r="AC86" i="1"/>
  <c r="AE86" i="1" s="1"/>
  <c r="AM86" i="1"/>
  <c r="AB8" i="1"/>
  <c r="Z38" i="1"/>
  <c r="Y89" i="1"/>
  <c r="AD6" i="1"/>
  <c r="AD89" i="1" s="1"/>
  <c r="AM88" i="1"/>
  <c r="AF83" i="1"/>
  <c r="AM83" i="1"/>
  <c r="AC83" i="1"/>
  <c r="AE83" i="1" s="1"/>
  <c r="AF88" i="1"/>
  <c r="AC88" i="1"/>
  <c r="AE88" i="1" s="1"/>
  <c r="AC81" i="1"/>
  <c r="AE81" i="1" s="1"/>
  <c r="AM81" i="1"/>
  <c r="AF81" i="1"/>
  <c r="V89" i="1"/>
  <c r="AF86" i="1"/>
  <c r="AH87" i="1"/>
  <c r="AP87" i="1"/>
  <c r="AN87" i="1"/>
  <c r="AG87" i="1"/>
  <c r="Z23" i="1" l="1"/>
  <c r="Z29" i="1"/>
  <c r="AM29" i="1" s="1"/>
  <c r="AA8" i="1"/>
  <c r="AG85" i="1"/>
  <c r="AK85" i="1" s="1"/>
  <c r="AL85" i="1" s="1"/>
  <c r="AB15" i="1"/>
  <c r="AB23" i="1"/>
  <c r="AA30" i="1"/>
  <c r="AF30" i="1" s="1"/>
  <c r="AB21" i="1"/>
  <c r="AB62" i="1"/>
  <c r="AB29" i="1"/>
  <c r="AC29" i="1" s="1"/>
  <c r="AE29" i="1" s="1"/>
  <c r="AP85" i="1"/>
  <c r="AN85" i="1"/>
  <c r="AB39" i="1"/>
  <c r="AB31" i="1"/>
  <c r="Z21" i="1"/>
  <c r="AB54" i="1"/>
  <c r="AB46" i="1"/>
  <c r="AB57" i="1"/>
  <c r="AB38" i="1"/>
  <c r="AC38" i="1" s="1"/>
  <c r="AE38" i="1" s="1"/>
  <c r="Z61" i="1"/>
  <c r="Z46" i="1"/>
  <c r="AF46" i="1" s="1"/>
  <c r="AB34" i="1"/>
  <c r="Z55" i="1"/>
  <c r="Z48" i="1"/>
  <c r="AM48" i="1" s="1"/>
  <c r="Z62" i="1"/>
  <c r="AM62" i="1" s="1"/>
  <c r="Z54" i="1"/>
  <c r="AF54" i="1" s="1"/>
  <c r="AA13" i="1"/>
  <c r="AF13" i="1" s="1"/>
  <c r="Z67" i="1"/>
  <c r="AM67" i="1" s="1"/>
  <c r="AB13" i="1"/>
  <c r="AA32" i="1"/>
  <c r="AB67" i="1"/>
  <c r="AA16" i="1"/>
  <c r="Z40" i="1"/>
  <c r="AF40" i="1" s="1"/>
  <c r="AB47" i="1"/>
  <c r="AA51" i="1"/>
  <c r="AM51" i="1" s="1"/>
  <c r="Z57" i="1"/>
  <c r="AB48" i="1"/>
  <c r="AB22" i="1"/>
  <c r="AA26" i="1"/>
  <c r="Z26" i="1"/>
  <c r="AA33" i="1"/>
  <c r="Z15" i="1"/>
  <c r="AM15" i="1" s="1"/>
  <c r="AB73" i="1"/>
  <c r="Z32" i="1"/>
  <c r="AA25" i="1"/>
  <c r="AM25" i="1" s="1"/>
  <c r="AA76" i="1"/>
  <c r="AM76" i="1" s="1"/>
  <c r="AB18" i="1"/>
  <c r="Z68" i="1"/>
  <c r="AM68" i="1" s="1"/>
  <c r="AB56" i="1"/>
  <c r="Z75" i="1"/>
  <c r="AM75" i="1" s="1"/>
  <c r="AB68" i="1"/>
  <c r="Z14" i="1"/>
  <c r="AM14" i="1" s="1"/>
  <c r="AA56" i="1"/>
  <c r="AM56" i="1" s="1"/>
  <c r="AA63" i="1"/>
  <c r="AM63" i="1" s="1"/>
  <c r="AB14" i="1"/>
  <c r="Z31" i="1"/>
  <c r="AC31" i="1" s="1"/>
  <c r="AE31" i="1" s="1"/>
  <c r="AA59" i="1"/>
  <c r="AM59" i="1" s="1"/>
  <c r="AB63" i="1"/>
  <c r="AA9" i="1"/>
  <c r="AA24" i="1"/>
  <c r="AM24" i="1" s="1"/>
  <c r="Z49" i="1"/>
  <c r="Z41" i="1"/>
  <c r="AA49" i="1"/>
  <c r="AA73" i="1"/>
  <c r="AM73" i="1" s="1"/>
  <c r="Z33" i="1"/>
  <c r="AF33" i="1" s="1"/>
  <c r="AA41" i="1"/>
  <c r="Z39" i="1"/>
  <c r="AM39" i="1" s="1"/>
  <c r="Z22" i="1"/>
  <c r="AF22" i="1" s="1"/>
  <c r="Z43" i="1"/>
  <c r="AF43" i="1" s="1"/>
  <c r="Z50" i="1"/>
  <c r="AM50" i="1" s="1"/>
  <c r="AB75" i="1"/>
  <c r="AB30" i="1"/>
  <c r="Z9" i="1"/>
  <c r="AB10" i="1"/>
  <c r="Z16" i="1"/>
  <c r="AA34" i="1"/>
  <c r="AB24" i="1"/>
  <c r="AA55" i="1"/>
  <c r="AA18" i="1"/>
  <c r="AM18" i="1" s="1"/>
  <c r="AB25" i="1"/>
  <c r="Z47" i="1"/>
  <c r="AM47" i="1" s="1"/>
  <c r="AB51" i="1"/>
  <c r="AA10" i="1"/>
  <c r="Z70" i="1"/>
  <c r="AA61" i="1"/>
  <c r="Z58" i="1"/>
  <c r="AM58" i="1" s="1"/>
  <c r="AA70" i="1"/>
  <c r="AB17" i="1"/>
  <c r="AB58" i="1"/>
  <c r="AA17" i="1"/>
  <c r="AB76" i="1"/>
  <c r="AA64" i="1"/>
  <c r="Z64" i="1"/>
  <c r="AB71" i="1"/>
  <c r="AA71" i="1"/>
  <c r="AM71" i="1" s="1"/>
  <c r="AQ82" i="1"/>
  <c r="AR82" i="1" s="1"/>
  <c r="AS82" i="1" s="1"/>
  <c r="AB59" i="1"/>
  <c r="AB43" i="1"/>
  <c r="AB50" i="1"/>
  <c r="AK82" i="1"/>
  <c r="AL82" i="1" s="1"/>
  <c r="Z42" i="1"/>
  <c r="AQ87" i="1"/>
  <c r="AR87" i="1" s="1"/>
  <c r="AS87" i="1" s="1"/>
  <c r="AB42" i="1"/>
  <c r="AK87" i="1"/>
  <c r="AL87" i="1" s="1"/>
  <c r="X89" i="1"/>
  <c r="Z6" i="1"/>
  <c r="AA6" i="1"/>
  <c r="AB6" i="1"/>
  <c r="AB53" i="1"/>
  <c r="AA53" i="1"/>
  <c r="Z53" i="1"/>
  <c r="AN80" i="1"/>
  <c r="AG80" i="1"/>
  <c r="AP80" i="1"/>
  <c r="AH80" i="1"/>
  <c r="Z65" i="1"/>
  <c r="AA65" i="1"/>
  <c r="AB65" i="1"/>
  <c r="AB60" i="1"/>
  <c r="Z60" i="1"/>
  <c r="AA60" i="1"/>
  <c r="AH81" i="1"/>
  <c r="AP81" i="1"/>
  <c r="AG81" i="1"/>
  <c r="AN81" i="1"/>
  <c r="Z79" i="1"/>
  <c r="AB79" i="1"/>
  <c r="AA79" i="1"/>
  <c r="AF38" i="1"/>
  <c r="AM38" i="1"/>
  <c r="AA11" i="1"/>
  <c r="AB11" i="1"/>
  <c r="Z11" i="1"/>
  <c r="AB66" i="1"/>
  <c r="Z66" i="1"/>
  <c r="AA66" i="1"/>
  <c r="Z45" i="1"/>
  <c r="AB45" i="1"/>
  <c r="AA45" i="1"/>
  <c r="AA52" i="1"/>
  <c r="Z52" i="1"/>
  <c r="AB52" i="1"/>
  <c r="AP88" i="1"/>
  <c r="AH88" i="1"/>
  <c r="AN88" i="1"/>
  <c r="AG88" i="1"/>
  <c r="Z37" i="1"/>
  <c r="AA37" i="1"/>
  <c r="AB37" i="1"/>
  <c r="AM8" i="1"/>
  <c r="AC8" i="1"/>
  <c r="AE8" i="1" s="1"/>
  <c r="AF8" i="1"/>
  <c r="AB74" i="1"/>
  <c r="Z74" i="1"/>
  <c r="AA74" i="1"/>
  <c r="AG84" i="1"/>
  <c r="AP84" i="1"/>
  <c r="AH84" i="1"/>
  <c r="AN84" i="1"/>
  <c r="Z19" i="1"/>
  <c r="AA19" i="1"/>
  <c r="AB19" i="1"/>
  <c r="AB7" i="1"/>
  <c r="AA7" i="1"/>
  <c r="Z7" i="1"/>
  <c r="AM23" i="1"/>
  <c r="AF23" i="1"/>
  <c r="AC23" i="1"/>
  <c r="AE23" i="1" s="1"/>
  <c r="AB44" i="1"/>
  <c r="AA44" i="1"/>
  <c r="Z44" i="1"/>
  <c r="Z28" i="1"/>
  <c r="AA28" i="1"/>
  <c r="AB28" i="1"/>
  <c r="AF62" i="1"/>
  <c r="AA69" i="1"/>
  <c r="AB69" i="1"/>
  <c r="Z69" i="1"/>
  <c r="AP86" i="1"/>
  <c r="AG86" i="1"/>
  <c r="AN86" i="1"/>
  <c r="AH86" i="1"/>
  <c r="AA78" i="1"/>
  <c r="AB78" i="1"/>
  <c r="Z78" i="1"/>
  <c r="AA36" i="1"/>
  <c r="Z36" i="1"/>
  <c r="AB36" i="1"/>
  <c r="AP83" i="1"/>
  <c r="AN83" i="1"/>
  <c r="AG83" i="1"/>
  <c r="AH83" i="1"/>
  <c r="AA20" i="1"/>
  <c r="AB20" i="1"/>
  <c r="Z20" i="1"/>
  <c r="AA77" i="1"/>
  <c r="Z77" i="1"/>
  <c r="AB77" i="1"/>
  <c r="Z27" i="1"/>
  <c r="AA27" i="1"/>
  <c r="AB27" i="1"/>
  <c r="AA12" i="1"/>
  <c r="Z12" i="1"/>
  <c r="AB12" i="1"/>
  <c r="AM21" i="1"/>
  <c r="AA72" i="1"/>
  <c r="Z72" i="1"/>
  <c r="AB72" i="1"/>
  <c r="AM55" i="1" l="1"/>
  <c r="AM30" i="1"/>
  <c r="AF29" i="1"/>
  <c r="AF73" i="1"/>
  <c r="AC57" i="1"/>
  <c r="AE57" i="1" s="1"/>
  <c r="AP57" i="1" s="1"/>
  <c r="AF75" i="1"/>
  <c r="AQ85" i="1"/>
  <c r="AR85" i="1" s="1"/>
  <c r="AS85" i="1" s="1"/>
  <c r="AC30" i="1"/>
  <c r="AE30" i="1" s="1"/>
  <c r="AP30" i="1" s="1"/>
  <c r="AC15" i="1"/>
  <c r="AE15" i="1" s="1"/>
  <c r="AH15" i="1" s="1"/>
  <c r="AM61" i="1"/>
  <c r="AC46" i="1"/>
  <c r="AE46" i="1" s="1"/>
  <c r="AC13" i="1"/>
  <c r="AE13" i="1" s="1"/>
  <c r="AG13" i="1" s="1"/>
  <c r="AM46" i="1"/>
  <c r="AM13" i="1"/>
  <c r="AC21" i="1"/>
  <c r="AE21" i="1" s="1"/>
  <c r="AH21" i="1" s="1"/>
  <c r="AF15" i="1"/>
  <c r="AF21" i="1"/>
  <c r="AC48" i="1"/>
  <c r="AE48" i="1" s="1"/>
  <c r="AP48" i="1" s="1"/>
  <c r="AF32" i="1"/>
  <c r="AF48" i="1"/>
  <c r="AC54" i="1"/>
  <c r="AE54" i="1" s="1"/>
  <c r="AG54" i="1" s="1"/>
  <c r="AF61" i="1"/>
  <c r="AM43" i="1"/>
  <c r="AF56" i="1"/>
  <c r="AC34" i="1"/>
  <c r="AE34" i="1" s="1"/>
  <c r="AP34" i="1" s="1"/>
  <c r="AC32" i="1"/>
  <c r="AE32" i="1" s="1"/>
  <c r="AH32" i="1" s="1"/>
  <c r="AC67" i="1"/>
  <c r="AE67" i="1" s="1"/>
  <c r="AP67" i="1" s="1"/>
  <c r="AC75" i="1"/>
  <c r="AE75" i="1" s="1"/>
  <c r="AG75" i="1" s="1"/>
  <c r="AM54" i="1"/>
  <c r="AC33" i="1"/>
  <c r="AE33" i="1" s="1"/>
  <c r="AN33" i="1" s="1"/>
  <c r="AM33" i="1"/>
  <c r="AC17" i="1"/>
  <c r="AE17" i="1" s="1"/>
  <c r="AG17" i="1" s="1"/>
  <c r="AC10" i="1"/>
  <c r="AE10" i="1" s="1"/>
  <c r="AN10" i="1" s="1"/>
  <c r="AC62" i="1"/>
  <c r="AE62" i="1" s="1"/>
  <c r="AP62" i="1" s="1"/>
  <c r="AC26" i="1"/>
  <c r="AE26" i="1" s="1"/>
  <c r="AH26" i="1" s="1"/>
  <c r="AC40" i="1"/>
  <c r="AE40" i="1" s="1"/>
  <c r="AN40" i="1" s="1"/>
  <c r="AF68" i="1"/>
  <c r="AM40" i="1"/>
  <c r="AF71" i="1"/>
  <c r="AF31" i="1"/>
  <c r="AF57" i="1"/>
  <c r="AC68" i="1"/>
  <c r="AE68" i="1" s="1"/>
  <c r="AN68" i="1" s="1"/>
  <c r="AC73" i="1"/>
  <c r="AE73" i="1" s="1"/>
  <c r="AP73" i="1" s="1"/>
  <c r="AM31" i="1"/>
  <c r="AF70" i="1"/>
  <c r="AM32" i="1"/>
  <c r="AM57" i="1"/>
  <c r="AC59" i="1"/>
  <c r="AE59" i="1" s="1"/>
  <c r="AH59" i="1" s="1"/>
  <c r="AF67" i="1"/>
  <c r="AF9" i="1"/>
  <c r="AF16" i="1"/>
  <c r="AF59" i="1"/>
  <c r="AF26" i="1"/>
  <c r="AC47" i="1"/>
  <c r="AE47" i="1" s="1"/>
  <c r="AP47" i="1" s="1"/>
  <c r="AM9" i="1"/>
  <c r="AF51" i="1"/>
  <c r="AC51" i="1"/>
  <c r="AE51" i="1" s="1"/>
  <c r="AN51" i="1" s="1"/>
  <c r="AF58" i="1"/>
  <c r="AF25" i="1"/>
  <c r="AC61" i="1"/>
  <c r="AE61" i="1" s="1"/>
  <c r="AP61" i="1" s="1"/>
  <c r="AC24" i="1"/>
  <c r="AE24" i="1" s="1"/>
  <c r="AN24" i="1" s="1"/>
  <c r="AC43" i="1"/>
  <c r="AE43" i="1" s="1"/>
  <c r="AH43" i="1" s="1"/>
  <c r="AF24" i="1"/>
  <c r="AC56" i="1"/>
  <c r="AE56" i="1" s="1"/>
  <c r="AH56" i="1" s="1"/>
  <c r="AC25" i="1"/>
  <c r="AE25" i="1" s="1"/>
  <c r="AG25" i="1" s="1"/>
  <c r="AF49" i="1"/>
  <c r="AM26" i="1"/>
  <c r="AC76" i="1"/>
  <c r="AE76" i="1" s="1"/>
  <c r="AP76" i="1" s="1"/>
  <c r="AF55" i="1"/>
  <c r="AF14" i="1"/>
  <c r="AF76" i="1"/>
  <c r="AF63" i="1"/>
  <c r="AC9" i="1"/>
  <c r="AE9" i="1" s="1"/>
  <c r="AP9" i="1" s="1"/>
  <c r="AM16" i="1"/>
  <c r="AC55" i="1"/>
  <c r="AE55" i="1" s="1"/>
  <c r="AN55" i="1" s="1"/>
  <c r="AC14" i="1"/>
  <c r="AE14" i="1" s="1"/>
  <c r="AG14" i="1" s="1"/>
  <c r="AC63" i="1"/>
  <c r="AE63" i="1" s="1"/>
  <c r="AP63" i="1" s="1"/>
  <c r="AC58" i="1"/>
  <c r="AE58" i="1" s="1"/>
  <c r="AP58" i="1" s="1"/>
  <c r="AF41" i="1"/>
  <c r="AF50" i="1"/>
  <c r="AF18" i="1"/>
  <c r="AQ84" i="1"/>
  <c r="AR84" i="1" s="1"/>
  <c r="AS84" i="1" s="1"/>
  <c r="AC49" i="1"/>
  <c r="AE49" i="1" s="1"/>
  <c r="AG49" i="1" s="1"/>
  <c r="AC50" i="1"/>
  <c r="AE50" i="1" s="1"/>
  <c r="AG50" i="1" s="1"/>
  <c r="AC18" i="1"/>
  <c r="AE18" i="1" s="1"/>
  <c r="AH18" i="1" s="1"/>
  <c r="AM49" i="1"/>
  <c r="AC16" i="1"/>
  <c r="AE16" i="1" s="1"/>
  <c r="AN16" i="1" s="1"/>
  <c r="AF10" i="1"/>
  <c r="AF34" i="1"/>
  <c r="AM41" i="1"/>
  <c r="AC39" i="1"/>
  <c r="AE39" i="1" s="1"/>
  <c r="AG39" i="1" s="1"/>
  <c r="AM22" i="1"/>
  <c r="AF39" i="1"/>
  <c r="AC22" i="1"/>
  <c r="AE22" i="1" s="1"/>
  <c r="AP22" i="1" s="1"/>
  <c r="AC42" i="1"/>
  <c r="AE42" i="1" s="1"/>
  <c r="AH42" i="1" s="1"/>
  <c r="AM10" i="1"/>
  <c r="AM34" i="1"/>
  <c r="AC41" i="1"/>
  <c r="AE41" i="1" s="1"/>
  <c r="AH41" i="1" s="1"/>
  <c r="AF17" i="1"/>
  <c r="AK83" i="1"/>
  <c r="AL83" i="1" s="1"/>
  <c r="AF47" i="1"/>
  <c r="AK81" i="1"/>
  <c r="AL81" i="1" s="1"/>
  <c r="AC70" i="1"/>
  <c r="AE70" i="1" s="1"/>
  <c r="AG70" i="1" s="1"/>
  <c r="AM70" i="1"/>
  <c r="AM17" i="1"/>
  <c r="AC71" i="1"/>
  <c r="AE71" i="1" s="1"/>
  <c r="AG71" i="1" s="1"/>
  <c r="AF64" i="1"/>
  <c r="AM64" i="1"/>
  <c r="AC64" i="1"/>
  <c r="AE64" i="1" s="1"/>
  <c r="AP64" i="1" s="1"/>
  <c r="AQ80" i="1"/>
  <c r="AR80" i="1" s="1"/>
  <c r="AS80" i="1" s="1"/>
  <c r="AK80" i="1"/>
  <c r="AL80" i="1" s="1"/>
  <c r="AK88" i="1"/>
  <c r="AL88" i="1" s="1"/>
  <c r="AF45" i="1"/>
  <c r="AK84" i="1"/>
  <c r="AL84" i="1" s="1"/>
  <c r="AF42" i="1"/>
  <c r="AM42" i="1"/>
  <c r="AQ83" i="1"/>
  <c r="AR83" i="1" s="1"/>
  <c r="AS83" i="1" s="1"/>
  <c r="AK86" i="1"/>
  <c r="AL86" i="1" s="1"/>
  <c r="AQ81" i="1"/>
  <c r="AR81" i="1" s="1"/>
  <c r="AS81" i="1" s="1"/>
  <c r="AF65" i="1"/>
  <c r="AM7" i="1"/>
  <c r="AC7" i="1"/>
  <c r="AE7" i="1" s="1"/>
  <c r="AF7" i="1"/>
  <c r="AM65" i="1"/>
  <c r="AC65" i="1"/>
  <c r="AE65" i="1" s="1"/>
  <c r="AG67" i="1"/>
  <c r="AH67" i="1"/>
  <c r="AP23" i="1"/>
  <c r="AH23" i="1"/>
  <c r="AN23" i="1"/>
  <c r="AG23" i="1"/>
  <c r="AN46" i="1"/>
  <c r="AP46" i="1"/>
  <c r="AH46" i="1"/>
  <c r="AG46" i="1"/>
  <c r="AF37" i="1"/>
  <c r="AM37" i="1"/>
  <c r="AC37" i="1"/>
  <c r="AE37" i="1" s="1"/>
  <c r="AC11" i="1"/>
  <c r="AE11" i="1" s="1"/>
  <c r="AF11" i="1"/>
  <c r="AM11" i="1"/>
  <c r="AN38" i="1"/>
  <c r="AG38" i="1"/>
  <c r="AH38" i="1"/>
  <c r="AP38" i="1"/>
  <c r="AG8" i="1"/>
  <c r="AN8" i="1"/>
  <c r="AP8" i="1"/>
  <c r="AH8" i="1"/>
  <c r="AF36" i="1"/>
  <c r="AC36" i="1"/>
  <c r="AE36" i="1" s="1"/>
  <c r="AM36" i="1"/>
  <c r="AM27" i="1"/>
  <c r="AC27" i="1"/>
  <c r="AE27" i="1" s="1"/>
  <c r="AF27" i="1"/>
  <c r="AM77" i="1"/>
  <c r="AC77" i="1"/>
  <c r="AE77" i="1" s="1"/>
  <c r="AF77" i="1"/>
  <c r="AM20" i="1"/>
  <c r="AC20" i="1"/>
  <c r="AE20" i="1" s="1"/>
  <c r="AF20" i="1"/>
  <c r="AQ86" i="1"/>
  <c r="AR86" i="1" s="1"/>
  <c r="AS86" i="1" s="1"/>
  <c r="AQ88" i="1"/>
  <c r="AR88" i="1" s="1"/>
  <c r="AS88" i="1" s="1"/>
  <c r="AC45" i="1"/>
  <c r="AE45" i="1" s="1"/>
  <c r="AH13" i="1"/>
  <c r="AP13" i="1"/>
  <c r="AM53" i="1"/>
  <c r="AC53" i="1"/>
  <c r="AE53" i="1" s="1"/>
  <c r="AF53" i="1"/>
  <c r="AM69" i="1"/>
  <c r="AF69" i="1"/>
  <c r="AC69" i="1"/>
  <c r="AE69" i="1" s="1"/>
  <c r="AM12" i="1"/>
  <c r="AC12" i="1"/>
  <c r="AE12" i="1" s="1"/>
  <c r="AF12" i="1"/>
  <c r="AM28" i="1"/>
  <c r="AF28" i="1"/>
  <c r="AC28" i="1"/>
  <c r="AE28" i="1" s="1"/>
  <c r="AM19" i="1"/>
  <c r="AC74" i="1"/>
  <c r="AE74" i="1" s="1"/>
  <c r="AF74" i="1"/>
  <c r="AM74" i="1"/>
  <c r="AM45" i="1"/>
  <c r="AN32" i="1"/>
  <c r="AM79" i="1"/>
  <c r="AC79" i="1"/>
  <c r="AE79" i="1" s="1"/>
  <c r="AF79" i="1"/>
  <c r="AN26" i="1"/>
  <c r="AC60" i="1"/>
  <c r="AE60" i="1" s="1"/>
  <c r="AF60" i="1"/>
  <c r="AM60" i="1"/>
  <c r="AB89" i="1"/>
  <c r="AP21" i="1"/>
  <c r="AC72" i="1"/>
  <c r="AE72" i="1" s="1"/>
  <c r="AF72" i="1"/>
  <c r="AM72" i="1"/>
  <c r="AC19" i="1"/>
  <c r="AE19" i="1" s="1"/>
  <c r="AF19" i="1"/>
  <c r="AH51" i="1"/>
  <c r="AG48" i="1"/>
  <c r="AH48" i="1"/>
  <c r="AA89" i="1"/>
  <c r="AF78" i="1"/>
  <c r="AC78" i="1"/>
  <c r="AE78" i="1" s="1"/>
  <c r="AM78" i="1"/>
  <c r="AM52" i="1"/>
  <c r="AC52" i="1"/>
  <c r="AE52" i="1" s="1"/>
  <c r="AF52" i="1"/>
  <c r="AH29" i="1"/>
  <c r="AN29" i="1"/>
  <c r="AG29" i="1"/>
  <c r="AP29" i="1"/>
  <c r="AP15" i="1"/>
  <c r="AG15" i="1"/>
  <c r="AN15" i="1"/>
  <c r="AF44" i="1"/>
  <c r="AM44" i="1"/>
  <c r="AC44" i="1"/>
  <c r="AE44" i="1" s="1"/>
  <c r="AM66" i="1"/>
  <c r="AC66" i="1"/>
  <c r="AE66" i="1" s="1"/>
  <c r="AF66" i="1"/>
  <c r="AP31" i="1"/>
  <c r="AG31" i="1"/>
  <c r="AH31" i="1"/>
  <c r="AN31" i="1"/>
  <c r="AC6" i="1"/>
  <c r="Z89" i="1"/>
  <c r="AM6" i="1"/>
  <c r="AF6" i="1"/>
  <c r="AH62" i="1" l="1"/>
  <c r="AP51" i="1"/>
  <c r="AH10" i="1"/>
  <c r="AG61" i="1"/>
  <c r="AN13" i="1"/>
  <c r="AQ13" i="1" s="1"/>
  <c r="AR13" i="1" s="1"/>
  <c r="AS13" i="1" s="1"/>
  <c r="AG57" i="1"/>
  <c r="AH57" i="1"/>
  <c r="AK57" i="1" s="1"/>
  <c r="AL57" i="1" s="1"/>
  <c r="AN75" i="1"/>
  <c r="AG30" i="1"/>
  <c r="AH40" i="1"/>
  <c r="AH54" i="1"/>
  <c r="AK54" i="1" s="1"/>
  <c r="AL54" i="1" s="1"/>
  <c r="AN57" i="1"/>
  <c r="AG40" i="1"/>
  <c r="AK40" i="1" s="1"/>
  <c r="AL40" i="1" s="1"/>
  <c r="AN30" i="1"/>
  <c r="AQ30" i="1" s="1"/>
  <c r="AR30" i="1" s="1"/>
  <c r="AS30" i="1" s="1"/>
  <c r="AN48" i="1"/>
  <c r="AQ48" i="1" s="1"/>
  <c r="AR48" i="1" s="1"/>
  <c r="AS48" i="1" s="1"/>
  <c r="AG68" i="1"/>
  <c r="AH30" i="1"/>
  <c r="AN62" i="1"/>
  <c r="AQ62" i="1" s="1"/>
  <c r="AR62" i="1" s="1"/>
  <c r="AS62" i="1" s="1"/>
  <c r="AP68" i="1"/>
  <c r="AQ68" i="1" s="1"/>
  <c r="AR68" i="1" s="1"/>
  <c r="AH17" i="1"/>
  <c r="AK17" i="1" s="1"/>
  <c r="AL17" i="1" s="1"/>
  <c r="AG62" i="1"/>
  <c r="AK62" i="1" s="1"/>
  <c r="AL62" i="1" s="1"/>
  <c r="AH68" i="1"/>
  <c r="AP32" i="1"/>
  <c r="AQ32" i="1" s="1"/>
  <c r="AR32" i="1" s="1"/>
  <c r="AS32" i="1" s="1"/>
  <c r="AG32" i="1"/>
  <c r="AK32" i="1" s="1"/>
  <c r="AL32" i="1" s="1"/>
  <c r="AG21" i="1"/>
  <c r="AK21" i="1" s="1"/>
  <c r="AL21" i="1" s="1"/>
  <c r="AG47" i="1"/>
  <c r="AN54" i="1"/>
  <c r="AN21" i="1"/>
  <c r="AQ21" i="1" s="1"/>
  <c r="AR21" i="1" s="1"/>
  <c r="AS21" i="1" s="1"/>
  <c r="AP54" i="1"/>
  <c r="AP10" i="1"/>
  <c r="AQ10" i="1" s="1"/>
  <c r="AR10" i="1" s="1"/>
  <c r="AS10" i="1" s="1"/>
  <c r="AG51" i="1"/>
  <c r="AK51" i="1" s="1"/>
  <c r="AL51" i="1" s="1"/>
  <c r="AN34" i="1"/>
  <c r="AQ34" i="1" s="1"/>
  <c r="AR34" i="1" s="1"/>
  <c r="AS34" i="1" s="1"/>
  <c r="AN67" i="1"/>
  <c r="AQ67" i="1" s="1"/>
  <c r="AR67" i="1" s="1"/>
  <c r="AS67" i="1" s="1"/>
  <c r="AN17" i="1"/>
  <c r="AG59" i="1"/>
  <c r="AK59" i="1" s="1"/>
  <c r="AL59" i="1" s="1"/>
  <c r="AG10" i="1"/>
  <c r="AK10" i="1" s="1"/>
  <c r="AL10" i="1" s="1"/>
  <c r="AP17" i="1"/>
  <c r="AG16" i="1"/>
  <c r="AG34" i="1"/>
  <c r="AH16" i="1"/>
  <c r="AK16" i="1" s="1"/>
  <c r="AL16" i="1" s="1"/>
  <c r="AH34" i="1"/>
  <c r="AP43" i="1"/>
  <c r="AP75" i="1"/>
  <c r="AH75" i="1"/>
  <c r="AK75" i="1" s="1"/>
  <c r="AL75" i="1" s="1"/>
  <c r="AG24" i="1"/>
  <c r="AH14" i="1"/>
  <c r="AK14" i="1" s="1"/>
  <c r="AL14" i="1" s="1"/>
  <c r="AN61" i="1"/>
  <c r="AQ61" i="1" s="1"/>
  <c r="AR61" i="1" s="1"/>
  <c r="AS61" i="1" s="1"/>
  <c r="AH61" i="1"/>
  <c r="AK61" i="1" s="1"/>
  <c r="AL61" i="1" s="1"/>
  <c r="AP14" i="1"/>
  <c r="AG76" i="1"/>
  <c r="AN14" i="1"/>
  <c r="AP39" i="1"/>
  <c r="AN58" i="1"/>
  <c r="AQ58" i="1" s="1"/>
  <c r="AR58" i="1" s="1"/>
  <c r="AS58" i="1" s="1"/>
  <c r="AP16" i="1"/>
  <c r="AN43" i="1"/>
  <c r="AG43" i="1"/>
  <c r="AK43" i="1" s="1"/>
  <c r="AL43" i="1" s="1"/>
  <c r="AH63" i="1"/>
  <c r="AP18" i="1"/>
  <c r="AP33" i="1"/>
  <c r="AQ33" i="1" s="1"/>
  <c r="AR33" i="1" s="1"/>
  <c r="AS33" i="1" s="1"/>
  <c r="AH47" i="1"/>
  <c r="AH33" i="1"/>
  <c r="AG58" i="1"/>
  <c r="AH22" i="1"/>
  <c r="AN47" i="1"/>
  <c r="AQ47" i="1" s="1"/>
  <c r="AR47" i="1" s="1"/>
  <c r="AS47" i="1" s="1"/>
  <c r="AG33" i="1"/>
  <c r="AH58" i="1"/>
  <c r="AG26" i="1"/>
  <c r="AK26" i="1" s="1"/>
  <c r="AL26" i="1" s="1"/>
  <c r="AP26" i="1"/>
  <c r="AQ26" i="1" s="1"/>
  <c r="AR26" i="1" s="1"/>
  <c r="AS26" i="1" s="1"/>
  <c r="AP55" i="1"/>
  <c r="AQ55" i="1" s="1"/>
  <c r="AR55" i="1" s="1"/>
  <c r="AS55" i="1" s="1"/>
  <c r="AN73" i="1"/>
  <c r="AG73" i="1"/>
  <c r="AH73" i="1"/>
  <c r="AH49" i="1"/>
  <c r="AK49" i="1" s="1"/>
  <c r="AL49" i="1" s="1"/>
  <c r="AN50" i="1"/>
  <c r="AP59" i="1"/>
  <c r="AP50" i="1"/>
  <c r="AN59" i="1"/>
  <c r="AH50" i="1"/>
  <c r="AK50" i="1" s="1"/>
  <c r="AL50" i="1" s="1"/>
  <c r="AP40" i="1"/>
  <c r="AQ40" i="1" s="1"/>
  <c r="AR40" i="1" s="1"/>
  <c r="AS40" i="1" s="1"/>
  <c r="AN76" i="1"/>
  <c r="AQ76" i="1" s="1"/>
  <c r="AR76" i="1" s="1"/>
  <c r="AS76" i="1" s="1"/>
  <c r="AH76" i="1"/>
  <c r="AN56" i="1"/>
  <c r="AG56" i="1"/>
  <c r="AK56" i="1" s="1"/>
  <c r="AL56" i="1" s="1"/>
  <c r="AQ8" i="1"/>
  <c r="AR8" i="1" s="1"/>
  <c r="AS8" i="1" s="1"/>
  <c r="AP56" i="1"/>
  <c r="AG63" i="1"/>
  <c r="AN63" i="1"/>
  <c r="AQ63" i="1" s="1"/>
  <c r="AR63" i="1" s="1"/>
  <c r="AS63" i="1" s="1"/>
  <c r="AN18" i="1"/>
  <c r="AH70" i="1"/>
  <c r="AK70" i="1" s="1"/>
  <c r="AL70" i="1" s="1"/>
  <c r="AP42" i="1"/>
  <c r="AH24" i="1"/>
  <c r="AG18" i="1"/>
  <c r="AK18" i="1" s="1"/>
  <c r="AL18" i="1" s="1"/>
  <c r="AN70" i="1"/>
  <c r="AG42" i="1"/>
  <c r="AK42" i="1" s="1"/>
  <c r="AL42" i="1" s="1"/>
  <c r="AP24" i="1"/>
  <c r="AQ24" i="1" s="1"/>
  <c r="AR24" i="1" s="1"/>
  <c r="AS24" i="1" s="1"/>
  <c r="AP25" i="1"/>
  <c r="AH25" i="1"/>
  <c r="AK25" i="1" s="1"/>
  <c r="AL25" i="1" s="1"/>
  <c r="AN9" i="1"/>
  <c r="AQ9" i="1" s="1"/>
  <c r="AR9" i="1" s="1"/>
  <c r="AS9" i="1" s="1"/>
  <c r="AH9" i="1"/>
  <c r="AN25" i="1"/>
  <c r="AG9" i="1"/>
  <c r="AP41" i="1"/>
  <c r="AK23" i="1"/>
  <c r="AL23" i="1" s="1"/>
  <c r="AN49" i="1"/>
  <c r="AP49" i="1"/>
  <c r="AG41" i="1"/>
  <c r="AK41" i="1" s="1"/>
  <c r="AL41" i="1" s="1"/>
  <c r="AH39" i="1"/>
  <c r="AK39" i="1" s="1"/>
  <c r="AL39" i="1" s="1"/>
  <c r="AN39" i="1"/>
  <c r="AN41" i="1"/>
  <c r="AP70" i="1"/>
  <c r="AN42" i="1"/>
  <c r="AG55" i="1"/>
  <c r="AH55" i="1"/>
  <c r="AK46" i="1"/>
  <c r="AL46" i="1" s="1"/>
  <c r="AK31" i="1"/>
  <c r="AL31" i="1" s="1"/>
  <c r="AK8" i="1"/>
  <c r="AL8" i="1" s="1"/>
  <c r="AG22" i="1"/>
  <c r="AG64" i="1"/>
  <c r="AN22" i="1"/>
  <c r="AQ22" i="1" s="1"/>
  <c r="AR22" i="1" s="1"/>
  <c r="AS22" i="1" s="1"/>
  <c r="AN64" i="1"/>
  <c r="AQ64" i="1" s="1"/>
  <c r="AR64" i="1" s="1"/>
  <c r="AS64" i="1" s="1"/>
  <c r="AH64" i="1"/>
  <c r="AN71" i="1"/>
  <c r="AQ51" i="1"/>
  <c r="AR51" i="1" s="1"/>
  <c r="AS51" i="1" s="1"/>
  <c r="AK29" i="1"/>
  <c r="AL29" i="1" s="1"/>
  <c r="AQ16" i="1"/>
  <c r="AR16" i="1" s="1"/>
  <c r="AS16" i="1" s="1"/>
  <c r="AK13" i="1"/>
  <c r="AL13" i="1" s="1"/>
  <c r="AH71" i="1"/>
  <c r="AK71" i="1" s="1"/>
  <c r="AL71" i="1" s="1"/>
  <c r="AP71" i="1"/>
  <c r="AQ31" i="1"/>
  <c r="AR31" i="1" s="1"/>
  <c r="AS31" i="1" s="1"/>
  <c r="AK38" i="1"/>
  <c r="AL38" i="1" s="1"/>
  <c r="AQ29" i="1"/>
  <c r="AR29" i="1" s="1"/>
  <c r="AS29" i="1" s="1"/>
  <c r="AQ23" i="1"/>
  <c r="AR23" i="1" s="1"/>
  <c r="AS23" i="1" s="1"/>
  <c r="AQ73" i="1"/>
  <c r="AR73" i="1" s="1"/>
  <c r="AS73" i="1" s="1"/>
  <c r="AK15" i="1"/>
  <c r="AL15" i="1" s="1"/>
  <c r="AK48" i="1"/>
  <c r="AL48" i="1" s="1"/>
  <c r="AQ46" i="1"/>
  <c r="AR46" i="1" s="1"/>
  <c r="AS46" i="1" s="1"/>
  <c r="AK67" i="1"/>
  <c r="AL67" i="1" s="1"/>
  <c r="AQ57" i="1"/>
  <c r="AR57" i="1" s="1"/>
  <c r="AS57" i="1" s="1"/>
  <c r="AG7" i="1"/>
  <c r="AH7" i="1"/>
  <c r="AN7" i="1"/>
  <c r="AP7" i="1"/>
  <c r="AP66" i="1"/>
  <c r="AH66" i="1"/>
  <c r="AN66" i="1"/>
  <c r="AG66" i="1"/>
  <c r="AH20" i="1"/>
  <c r="AN20" i="1"/>
  <c r="AG20" i="1"/>
  <c r="AP20" i="1"/>
  <c r="AN27" i="1"/>
  <c r="AG27" i="1"/>
  <c r="AH27" i="1"/>
  <c r="AP27" i="1"/>
  <c r="AC89" i="1"/>
  <c r="AE6" i="1"/>
  <c r="AN78" i="1"/>
  <c r="AH78" i="1"/>
  <c r="AG78" i="1"/>
  <c r="AP78" i="1"/>
  <c r="AN69" i="1"/>
  <c r="AG69" i="1"/>
  <c r="AH69" i="1"/>
  <c r="AP69" i="1"/>
  <c r="AP45" i="1"/>
  <c r="AN45" i="1"/>
  <c r="AH45" i="1"/>
  <c r="AG45" i="1"/>
  <c r="AG44" i="1"/>
  <c r="AP44" i="1"/>
  <c r="AH44" i="1"/>
  <c r="AN44" i="1"/>
  <c r="AG28" i="1"/>
  <c r="AP28" i="1"/>
  <c r="AH28" i="1"/>
  <c r="AN28" i="1"/>
  <c r="AG11" i="1"/>
  <c r="AN11" i="1"/>
  <c r="AP11" i="1"/>
  <c r="AH11" i="1"/>
  <c r="AP52" i="1"/>
  <c r="AN52" i="1"/>
  <c r="AG52" i="1"/>
  <c r="AH52" i="1"/>
  <c r="AN77" i="1"/>
  <c r="AG77" i="1"/>
  <c r="AP77" i="1"/>
  <c r="AH77" i="1"/>
  <c r="AP36" i="1"/>
  <c r="AN36" i="1"/>
  <c r="AG36" i="1"/>
  <c r="AH36" i="1"/>
  <c r="AF89" i="1"/>
  <c r="AN74" i="1"/>
  <c r="AG74" i="1"/>
  <c r="AP74" i="1"/>
  <c r="AH74" i="1"/>
  <c r="AQ15" i="1"/>
  <c r="AR15" i="1" s="1"/>
  <c r="AS15" i="1" s="1"/>
  <c r="AN72" i="1"/>
  <c r="AP72" i="1"/>
  <c r="AH72" i="1"/>
  <c r="AG72" i="1"/>
  <c r="AP79" i="1"/>
  <c r="AN79" i="1"/>
  <c r="AG79" i="1"/>
  <c r="AH79" i="1"/>
  <c r="AQ38" i="1"/>
  <c r="AR38" i="1" s="1"/>
  <c r="AS38" i="1" s="1"/>
  <c r="AP37" i="1"/>
  <c r="AH37" i="1"/>
  <c r="AN37" i="1"/>
  <c r="AG37" i="1"/>
  <c r="AM89" i="1"/>
  <c r="AN19" i="1"/>
  <c r="AP19" i="1"/>
  <c r="AG19" i="1"/>
  <c r="AH19" i="1"/>
  <c r="AP12" i="1"/>
  <c r="AN12" i="1"/>
  <c r="AH12" i="1"/>
  <c r="AG12" i="1"/>
  <c r="AG60" i="1"/>
  <c r="AN60" i="1"/>
  <c r="AH60" i="1"/>
  <c r="AP60" i="1"/>
  <c r="AG53" i="1"/>
  <c r="AH53" i="1"/>
  <c r="AN53" i="1"/>
  <c r="AP53" i="1"/>
  <c r="AP65" i="1"/>
  <c r="AH65" i="1"/>
  <c r="AG65" i="1"/>
  <c r="AN65" i="1"/>
  <c r="AK30" i="1" l="1"/>
  <c r="AL30" i="1" s="1"/>
  <c r="AK34" i="1"/>
  <c r="AL34" i="1" s="1"/>
  <c r="AK68" i="1"/>
  <c r="AL68" i="1" s="1"/>
  <c r="AK47" i="1"/>
  <c r="AL47" i="1" s="1"/>
  <c r="AQ75" i="1"/>
  <c r="AR75" i="1" s="1"/>
  <c r="AS75" i="1" s="1"/>
  <c r="AQ17" i="1"/>
  <c r="AR17" i="1" s="1"/>
  <c r="AS17" i="1" s="1"/>
  <c r="AQ54" i="1"/>
  <c r="AR54" i="1" s="1"/>
  <c r="AS54" i="1" s="1"/>
  <c r="AK22" i="1"/>
  <c r="AL22" i="1" s="1"/>
  <c r="AK58" i="1"/>
  <c r="AL58" i="1" s="1"/>
  <c r="AQ43" i="1"/>
  <c r="AR43" i="1" s="1"/>
  <c r="AS43" i="1" s="1"/>
  <c r="AK24" i="1"/>
  <c r="AL24" i="1" s="1"/>
  <c r="AK33" i="1"/>
  <c r="AL33" i="1" s="1"/>
  <c r="AK63" i="1"/>
  <c r="AL63" i="1" s="1"/>
  <c r="AQ14" i="1"/>
  <c r="AR14" i="1" s="1"/>
  <c r="AS14" i="1" s="1"/>
  <c r="AQ56" i="1"/>
  <c r="AR56" i="1" s="1"/>
  <c r="AS56" i="1" s="1"/>
  <c r="AQ50" i="1"/>
  <c r="AR50" i="1" s="1"/>
  <c r="AS50" i="1" s="1"/>
  <c r="AQ39" i="1"/>
  <c r="AR39" i="1" s="1"/>
  <c r="AS39" i="1" s="1"/>
  <c r="AK73" i="1"/>
  <c r="AL73" i="1" s="1"/>
  <c r="AK76" i="1"/>
  <c r="AL76" i="1" s="1"/>
  <c r="AQ59" i="1"/>
  <c r="AR59" i="1" s="1"/>
  <c r="AS59" i="1" s="1"/>
  <c r="AQ18" i="1"/>
  <c r="AR18" i="1" s="1"/>
  <c r="AS18" i="1" s="1"/>
  <c r="AQ42" i="1"/>
  <c r="AR42" i="1" s="1"/>
  <c r="AS42" i="1" s="1"/>
  <c r="AQ25" i="1"/>
  <c r="AR25" i="1" s="1"/>
  <c r="AS25" i="1" s="1"/>
  <c r="AK9" i="1"/>
  <c r="AL9" i="1" s="1"/>
  <c r="AQ70" i="1"/>
  <c r="AR70" i="1" s="1"/>
  <c r="AS70" i="1" s="1"/>
  <c r="AQ36" i="1"/>
  <c r="AR36" i="1" s="1"/>
  <c r="AS36" i="1" s="1"/>
  <c r="AQ45" i="1"/>
  <c r="AR45" i="1" s="1"/>
  <c r="AS45" i="1" s="1"/>
  <c r="AQ49" i="1"/>
  <c r="AR49" i="1" s="1"/>
  <c r="AS49" i="1" s="1"/>
  <c r="AQ41" i="1"/>
  <c r="AR41" i="1" s="1"/>
  <c r="AS41" i="1" s="1"/>
  <c r="AQ12" i="1"/>
  <c r="AR12" i="1" s="1"/>
  <c r="AS12" i="1" s="1"/>
  <c r="AK55" i="1"/>
  <c r="AL55" i="1" s="1"/>
  <c r="AQ37" i="1"/>
  <c r="AR37" i="1" s="1"/>
  <c r="AS37" i="1" s="1"/>
  <c r="AK64" i="1"/>
  <c r="AL64" i="1" s="1"/>
  <c r="AQ27" i="1"/>
  <c r="AR27" i="1" s="1"/>
  <c r="AS27" i="1" s="1"/>
  <c r="AQ20" i="1"/>
  <c r="AR20" i="1" s="1"/>
  <c r="AS20" i="1" s="1"/>
  <c r="AK72" i="1"/>
  <c r="AL72" i="1" s="1"/>
  <c r="AK11" i="1"/>
  <c r="AL11" i="1" s="1"/>
  <c r="AK20" i="1"/>
  <c r="AL20" i="1" s="1"/>
  <c r="AQ71" i="1"/>
  <c r="AR71" i="1" s="1"/>
  <c r="AS71" i="1" s="1"/>
  <c r="AQ28" i="1"/>
  <c r="AR28" i="1" s="1"/>
  <c r="AS28" i="1" s="1"/>
  <c r="AK74" i="1"/>
  <c r="AL74" i="1" s="1"/>
  <c r="AS68" i="1"/>
  <c r="AQ7" i="1"/>
  <c r="AR7" i="1" s="1"/>
  <c r="AS7" i="1" s="1"/>
  <c r="AK53" i="1"/>
  <c r="AL53" i="1" s="1"/>
  <c r="AQ79" i="1"/>
  <c r="AR79" i="1" s="1"/>
  <c r="AS79" i="1" s="1"/>
  <c r="AK65" i="1"/>
  <c r="AL65" i="1" s="1"/>
  <c r="AK27" i="1"/>
  <c r="AL27" i="1" s="1"/>
  <c r="AK66" i="1"/>
  <c r="AL66" i="1" s="1"/>
  <c r="AQ66" i="1"/>
  <c r="AR66" i="1" s="1"/>
  <c r="AS66" i="1" s="1"/>
  <c r="AK7" i="1"/>
  <c r="AL7" i="1" s="1"/>
  <c r="AQ72" i="1"/>
  <c r="AR72" i="1" s="1"/>
  <c r="AS72" i="1" s="1"/>
  <c r="AK36" i="1"/>
  <c r="AL36" i="1" s="1"/>
  <c r="AK52" i="1"/>
  <c r="AL52" i="1" s="1"/>
  <c r="AK69" i="1"/>
  <c r="AL69" i="1" s="1"/>
  <c r="AK78" i="1"/>
  <c r="AL78" i="1" s="1"/>
  <c r="AK12" i="1"/>
  <c r="AL12" i="1" s="1"/>
  <c r="AQ69" i="1"/>
  <c r="AR69" i="1" s="1"/>
  <c r="AS69" i="1" s="1"/>
  <c r="AK37" i="1"/>
  <c r="AL37" i="1" s="1"/>
  <c r="AQ78" i="1"/>
  <c r="AR78" i="1" s="1"/>
  <c r="AQ60" i="1"/>
  <c r="AR60" i="1" s="1"/>
  <c r="AS60" i="1" s="1"/>
  <c r="AQ65" i="1"/>
  <c r="AR65" i="1" s="1"/>
  <c r="AS65" i="1" s="1"/>
  <c r="AK19" i="1"/>
  <c r="AL19" i="1" s="1"/>
  <c r="AQ74" i="1"/>
  <c r="AR74" i="1" s="1"/>
  <c r="AS74" i="1" s="1"/>
  <c r="AK77" i="1"/>
  <c r="AL77" i="1" s="1"/>
  <c r="AQ19" i="1"/>
  <c r="AR19" i="1" s="1"/>
  <c r="AS19" i="1" s="1"/>
  <c r="AQ77" i="1"/>
  <c r="AR77" i="1" s="1"/>
  <c r="AS77" i="1" s="1"/>
  <c r="AQ11" i="1"/>
  <c r="AR11" i="1" s="1"/>
  <c r="AS11" i="1" s="1"/>
  <c r="AK44" i="1"/>
  <c r="AL44" i="1" s="1"/>
  <c r="AK79" i="1"/>
  <c r="AL79" i="1" s="1"/>
  <c r="AQ53" i="1"/>
  <c r="AR53" i="1" s="1"/>
  <c r="AS53" i="1" s="1"/>
  <c r="AQ44" i="1"/>
  <c r="AR44" i="1" s="1"/>
  <c r="AS44" i="1" s="1"/>
  <c r="AQ52" i="1"/>
  <c r="AR52" i="1" s="1"/>
  <c r="AS52" i="1" s="1"/>
  <c r="AE89" i="1"/>
  <c r="AH6" i="1"/>
  <c r="AH89" i="1" s="1"/>
  <c r="AG6" i="1"/>
  <c r="AP6" i="1"/>
  <c r="AP89" i="1" s="1"/>
  <c r="AN6" i="1"/>
  <c r="AN89" i="1" s="1"/>
  <c r="AK28" i="1"/>
  <c r="AL28" i="1" s="1"/>
  <c r="AK60" i="1"/>
  <c r="AL60" i="1" s="1"/>
  <c r="AK45" i="1"/>
  <c r="AL45" i="1" s="1"/>
  <c r="AQ6" i="1" l="1"/>
  <c r="AQ89" i="1" s="1"/>
  <c r="AS78" i="1"/>
  <c r="AG89" i="1"/>
  <c r="AK6" i="1"/>
  <c r="AR6" i="1" l="1"/>
  <c r="AR89" i="1" s="1"/>
  <c r="AK89" i="1"/>
  <c r="AL6" i="1"/>
  <c r="AL89" i="1" s="1"/>
  <c r="AS6" i="1" l="1"/>
  <c r="AS89" i="1" s="1"/>
</calcChain>
</file>

<file path=xl/sharedStrings.xml><?xml version="1.0" encoding="utf-8"?>
<sst xmlns="http://schemas.openxmlformats.org/spreadsheetml/2006/main" count="856" uniqueCount="610">
  <si>
    <t>Principal Employer-  DAS SAGAR ENTERPERISES ,A/P Nimgaon tal-khed, Dist-pune</t>
  </si>
  <si>
    <t>Contractor Name- SAGAR ENTERPRISES</t>
  </si>
  <si>
    <t>Employe Rate</t>
  </si>
  <si>
    <t>Attendence</t>
  </si>
  <si>
    <t>Employee Gross Salary Earning</t>
  </si>
  <si>
    <t>Salary Deductuion</t>
  </si>
  <si>
    <t>Invoice Working</t>
  </si>
  <si>
    <t>Sr.No</t>
  </si>
  <si>
    <t xml:space="preserve">Employee ID No </t>
  </si>
  <si>
    <t xml:space="preserve">Name Of Employee </t>
  </si>
  <si>
    <t>FATHER NAME</t>
  </si>
  <si>
    <t>UAN NO</t>
  </si>
  <si>
    <t>ESIC NO</t>
  </si>
  <si>
    <t>PAN NO</t>
  </si>
  <si>
    <t>Gender</t>
  </si>
  <si>
    <t>DOJ</t>
  </si>
  <si>
    <t>DOB</t>
  </si>
  <si>
    <t>MOBILE NO</t>
  </si>
  <si>
    <t>Category</t>
  </si>
  <si>
    <t xml:space="preserve">BASIC </t>
  </si>
  <si>
    <t>DA</t>
  </si>
  <si>
    <t>HRA</t>
  </si>
  <si>
    <t>WAGES</t>
  </si>
  <si>
    <t>OT RATE</t>
  </si>
  <si>
    <t>Days</t>
  </si>
  <si>
    <t>PH</t>
  </si>
  <si>
    <t>Total Days</t>
  </si>
  <si>
    <t>OT HRS</t>
  </si>
  <si>
    <t>OT Amt</t>
  </si>
  <si>
    <t>Gross Amt</t>
  </si>
  <si>
    <t>PF 12 %</t>
  </si>
  <si>
    <t>ESIC  0.75%</t>
  </si>
  <si>
    <t>P.T</t>
  </si>
  <si>
    <t>MLWF</t>
  </si>
  <si>
    <t>Advance</t>
  </si>
  <si>
    <t>TOTAL Diduction</t>
  </si>
  <si>
    <t>NET Wages</t>
  </si>
  <si>
    <t>ER PF@13%</t>
  </si>
  <si>
    <t>ER ESI@3.25%</t>
  </si>
  <si>
    <t>Service Charge 7 %</t>
  </si>
  <si>
    <t>Sub Total</t>
  </si>
  <si>
    <t>GST 18 %</t>
  </si>
  <si>
    <t>CTC PER DAY</t>
  </si>
  <si>
    <t>001</t>
  </si>
  <si>
    <t>M</t>
  </si>
  <si>
    <t>002</t>
  </si>
  <si>
    <t>003</t>
  </si>
  <si>
    <t>005</t>
  </si>
  <si>
    <t>006</t>
  </si>
  <si>
    <t>007</t>
  </si>
  <si>
    <t>008</t>
  </si>
  <si>
    <t>009</t>
  </si>
  <si>
    <t>010</t>
  </si>
  <si>
    <t>012</t>
  </si>
  <si>
    <t>013</t>
  </si>
  <si>
    <t>014</t>
  </si>
  <si>
    <t>016</t>
  </si>
  <si>
    <t>017</t>
  </si>
  <si>
    <t xml:space="preserve">Adhar no </t>
  </si>
  <si>
    <t>019</t>
  </si>
  <si>
    <t>020</t>
  </si>
  <si>
    <t>021</t>
  </si>
  <si>
    <t>022</t>
  </si>
  <si>
    <t>023</t>
  </si>
  <si>
    <t>025</t>
  </si>
  <si>
    <t>026</t>
  </si>
  <si>
    <t>027</t>
  </si>
  <si>
    <t>028</t>
  </si>
  <si>
    <t>029</t>
  </si>
  <si>
    <t>031</t>
  </si>
  <si>
    <t>032</t>
  </si>
  <si>
    <t>033</t>
  </si>
  <si>
    <t>036</t>
  </si>
  <si>
    <t>037</t>
  </si>
  <si>
    <t>038</t>
  </si>
  <si>
    <t>039</t>
  </si>
  <si>
    <t>040</t>
  </si>
  <si>
    <t>13-7-2026</t>
  </si>
  <si>
    <t>21-7-2026</t>
  </si>
  <si>
    <t>UWEPS0771L</t>
  </si>
  <si>
    <t>GWAPP0061E</t>
  </si>
  <si>
    <t>24-5-2003</t>
  </si>
  <si>
    <t>BWDPY6229F</t>
  </si>
  <si>
    <t>CBVPP4345M</t>
  </si>
  <si>
    <t>31-7-2026</t>
  </si>
  <si>
    <t>FYOPP5993L</t>
  </si>
  <si>
    <t xml:space="preserve">CFLPT1024H </t>
  </si>
  <si>
    <t>EKQPP0833N</t>
  </si>
  <si>
    <t>030</t>
  </si>
  <si>
    <t>034</t>
  </si>
  <si>
    <t>041</t>
  </si>
  <si>
    <t>042</t>
  </si>
  <si>
    <t>043</t>
  </si>
  <si>
    <t>044</t>
  </si>
  <si>
    <t>046</t>
  </si>
  <si>
    <t>048</t>
  </si>
  <si>
    <t>050</t>
  </si>
  <si>
    <t>053</t>
  </si>
  <si>
    <t>055</t>
  </si>
  <si>
    <t>056</t>
  </si>
  <si>
    <t>057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</si>
  <si>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</si>
  <si>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</si>
  <si>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</si>
  <si>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</si>
  <si>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</si>
  <si>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</si>
  <si>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</si>
  <si>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</si>
  <si>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</si>
  <si>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</si>
  <si>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</si>
  <si>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</si>
  <si>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</si>
  <si>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</si>
  <si>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</si>
  <si>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</si>
  <si>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</si>
  <si>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</si>
  <si>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</si>
  <si>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</si>
  <si>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</si>
  <si>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081</t>
  </si>
  <si>
    <t>082</t>
  </si>
  <si>
    <t>083</t>
  </si>
  <si>
    <t>085</t>
  </si>
  <si>
    <t>086</t>
  </si>
  <si>
    <t>087</t>
  </si>
  <si>
    <t>088</t>
  </si>
  <si>
    <t>090</t>
  </si>
  <si>
    <t>091</t>
  </si>
  <si>
    <t>092</t>
  </si>
  <si>
    <t>094</t>
  </si>
  <si>
    <t>095</t>
  </si>
  <si>
    <t>096</t>
  </si>
  <si>
    <t>097</t>
  </si>
  <si>
    <t>098</t>
  </si>
  <si>
    <t>Wage Sheet For The Month Of Aug-_26 KHED CITY .</t>
  </si>
  <si>
    <t xml:space="preserve">Semi-Skilled </t>
  </si>
  <si>
    <t>AUIPI4595C</t>
  </si>
  <si>
    <t>FKVPR5204R</t>
  </si>
  <si>
    <t>16-6-2026</t>
  </si>
  <si>
    <t>EVPPK3696Q</t>
  </si>
  <si>
    <t>18-11-1996</t>
  </si>
  <si>
    <t>EUOPG6080A</t>
  </si>
  <si>
    <t>13-11-1995</t>
  </si>
  <si>
    <t>AIUPY3016C</t>
  </si>
  <si>
    <t>726266439130</t>
  </si>
  <si>
    <t>ICHPP8188P</t>
  </si>
  <si>
    <t>577765591914</t>
  </si>
  <si>
    <t>GKGPM3675B</t>
  </si>
  <si>
    <t>313428225205</t>
  </si>
  <si>
    <t>MHDPK1258C</t>
  </si>
  <si>
    <t>328227261798</t>
  </si>
  <si>
    <t>CWDPD0244A</t>
  </si>
  <si>
    <t>951415417519</t>
  </si>
  <si>
    <t>GMMPS6326B</t>
  </si>
  <si>
    <t>479327010639</t>
  </si>
  <si>
    <t>TDOPS6189A</t>
  </si>
  <si>
    <t>238422524198</t>
  </si>
  <si>
    <t>IGMPS0483K</t>
  </si>
  <si>
    <t>266500471409</t>
  </si>
  <si>
    <t>NTKPK4330R</t>
  </si>
  <si>
    <t>887439159821</t>
  </si>
  <si>
    <t>CSAPT3084R</t>
  </si>
  <si>
    <t>588196600830</t>
  </si>
  <si>
    <t>GJNPR7227E</t>
  </si>
  <si>
    <t>642455531680</t>
  </si>
  <si>
    <t>CZNPC4156M</t>
  </si>
  <si>
    <t>872863094024</t>
  </si>
  <si>
    <t>DJEPC8477D</t>
  </si>
  <si>
    <t>876733095702</t>
  </si>
  <si>
    <t>ABAPO6944N</t>
  </si>
  <si>
    <t>704505283158</t>
  </si>
  <si>
    <t>ALEPW0484B</t>
  </si>
  <si>
    <t>615055841061</t>
  </si>
  <si>
    <t>NRXPK7156N</t>
  </si>
  <si>
    <t>640478559711</t>
  </si>
  <si>
    <t>GLXPD0483E</t>
  </si>
  <si>
    <t>602624944918</t>
  </si>
  <si>
    <t>GGQPP1659Q</t>
  </si>
  <si>
    <t>502191697125</t>
  </si>
  <si>
    <t>SEEPS3974B</t>
  </si>
  <si>
    <t>239063555809</t>
  </si>
  <si>
    <t>CGLPT9268A</t>
  </si>
  <si>
    <t>487222880585</t>
  </si>
  <si>
    <t>CFPPH4885G</t>
  </si>
  <si>
    <t>893444967642</t>
  </si>
  <si>
    <t>IAEPM7999N</t>
  </si>
  <si>
    <t>212812112962</t>
  </si>
  <si>
    <t>HEIPB2720F</t>
  </si>
  <si>
    <t>304216128499</t>
  </si>
  <si>
    <t>CAFPH3221M</t>
  </si>
  <si>
    <t>596825005725</t>
  </si>
  <si>
    <t>BESPC1119K</t>
  </si>
  <si>
    <t>354696036383</t>
  </si>
  <si>
    <t>NEMPK9605A</t>
  </si>
  <si>
    <t>769917737322</t>
  </si>
  <si>
    <t>JIPPB6303H</t>
  </si>
  <si>
    <t>866520063414</t>
  </si>
  <si>
    <t>BNXPH4205D</t>
  </si>
  <si>
    <t>256175242718</t>
  </si>
  <si>
    <t>831887005374</t>
  </si>
  <si>
    <t>LURPK0010J</t>
  </si>
  <si>
    <t>968479604933</t>
  </si>
  <si>
    <t>JAPPB5634F</t>
  </si>
  <si>
    <t>971727175260</t>
  </si>
  <si>
    <t>OMFPK1497C</t>
  </si>
  <si>
    <t>318771812846</t>
  </si>
  <si>
    <t>CLYPB5918F</t>
  </si>
  <si>
    <t>684055985402</t>
  </si>
  <si>
    <t>APFPB8303M</t>
  </si>
  <si>
    <t>244837189265</t>
  </si>
  <si>
    <t>FILPM9524D</t>
  </si>
  <si>
    <t>506209115171</t>
  </si>
  <si>
    <t>SOMPS3964F</t>
  </si>
  <si>
    <t>466729026545</t>
  </si>
  <si>
    <t>LSYPS4241N</t>
  </si>
  <si>
    <t>454594120935</t>
  </si>
  <si>
    <t>BZUPK9418A</t>
  </si>
  <si>
    <t>658182295911</t>
  </si>
  <si>
    <t>EQNPG3893L</t>
  </si>
  <si>
    <t>452134398086</t>
  </si>
  <si>
    <t>ARCPI1206K</t>
  </si>
  <si>
    <t>395792899704</t>
  </si>
  <si>
    <t>MWFPS5135K</t>
  </si>
  <si>
    <t>503543238248</t>
  </si>
  <si>
    <t>PRRPS6930J</t>
  </si>
  <si>
    <t>351435683842</t>
  </si>
  <si>
    <t>EEXPK2043L</t>
  </si>
  <si>
    <t>979282489389</t>
  </si>
  <si>
    <t>QVAPS8908G</t>
  </si>
  <si>
    <t>477376046947</t>
  </si>
  <si>
    <t>084</t>
  </si>
  <si>
    <t xml:space="preserve">Sahil Pandit Pawale </t>
  </si>
  <si>
    <t xml:space="preserve">Pandit Pawale </t>
  </si>
  <si>
    <t>29-3-2026</t>
  </si>
  <si>
    <t>22-8-2007</t>
  </si>
  <si>
    <t xml:space="preserve">Aniket Vilas Katkar </t>
  </si>
  <si>
    <t xml:space="preserve">Vilas Katkar </t>
  </si>
  <si>
    <t>LJBPK0662B</t>
  </si>
  <si>
    <t>24-12-2000</t>
  </si>
  <si>
    <t xml:space="preserve">Suraj Navnath Giri </t>
  </si>
  <si>
    <t xml:space="preserve">Navnath Giri </t>
  </si>
  <si>
    <t>ETTPG6053H</t>
  </si>
  <si>
    <t xml:space="preserve">Sanket Sanjay Thite </t>
  </si>
  <si>
    <t xml:space="preserve">Sanjay Jayvant Thite </t>
  </si>
  <si>
    <t>CPEPT0018L</t>
  </si>
  <si>
    <t xml:space="preserve">Navanath Bajirav Dafal </t>
  </si>
  <si>
    <t xml:space="preserve">Bajirav Bala Dafal </t>
  </si>
  <si>
    <t>CRLPD7483A</t>
  </si>
  <si>
    <t>20-9-1979</t>
  </si>
  <si>
    <t xml:space="preserve">Vijay Sahebarao Shinde </t>
  </si>
  <si>
    <t xml:space="preserve">Sahebarao Shinde </t>
  </si>
  <si>
    <t>IIFPS6956E</t>
  </si>
  <si>
    <t>16-02-1999</t>
  </si>
  <si>
    <t xml:space="preserve">Ajit Shantaram Gawade </t>
  </si>
  <si>
    <t xml:space="preserve">Shantaram Gawade </t>
  </si>
  <si>
    <t>CLUPG1817L</t>
  </si>
  <si>
    <t xml:space="preserve">Prathmesh Rajendra More </t>
  </si>
  <si>
    <t xml:space="preserve">Rajendra More </t>
  </si>
  <si>
    <t>JWUPM2750Q</t>
  </si>
  <si>
    <t>18-06-2026</t>
  </si>
  <si>
    <t xml:space="preserve">Saurabh Ganesh Pawar </t>
  </si>
  <si>
    <t xml:space="preserve">Ganesh Pawar </t>
  </si>
  <si>
    <t>GYJPP3992P</t>
  </si>
  <si>
    <t xml:space="preserve">Om Gorakshanath Totre </t>
  </si>
  <si>
    <t xml:space="preserve">Gorakshanath Totre </t>
  </si>
  <si>
    <t>CRYPT4033P</t>
  </si>
  <si>
    <t>19-06-2026</t>
  </si>
  <si>
    <t>30-4-2006</t>
  </si>
  <si>
    <t xml:space="preserve">Raghunath Balu Jadhav </t>
  </si>
  <si>
    <t xml:space="preserve">Balu Sakharam Jadhav </t>
  </si>
  <si>
    <t>APVPJ6961P</t>
  </si>
  <si>
    <t>19-5-1990</t>
  </si>
  <si>
    <t xml:space="preserve">Pankaj Kumar Patel </t>
  </si>
  <si>
    <t xml:space="preserve">Bhai lal Patel </t>
  </si>
  <si>
    <t>CCYPP6839A</t>
  </si>
  <si>
    <t>25/6/2026</t>
  </si>
  <si>
    <t xml:space="preserve">Pavan Kumar </t>
  </si>
  <si>
    <t xml:space="preserve">Bhai lal </t>
  </si>
  <si>
    <t>JFHPK8576N</t>
  </si>
  <si>
    <t xml:space="preserve">Sandip Lahu Patil </t>
  </si>
  <si>
    <t xml:space="preserve">Lahu Patil </t>
  </si>
  <si>
    <t>EDEPP8772F</t>
  </si>
  <si>
    <t>15-08-1992</t>
  </si>
  <si>
    <t>Ganesh Shrirang Madage</t>
  </si>
  <si>
    <t xml:space="preserve">Shrinang Shankar Madage </t>
  </si>
  <si>
    <t>JAXPM9868J</t>
  </si>
  <si>
    <t>14-07-2026</t>
  </si>
  <si>
    <t xml:space="preserve">Tushar Nakaji Khamakar </t>
  </si>
  <si>
    <t xml:space="preserve">Naka sakharam khamakar </t>
  </si>
  <si>
    <t>PFEPK9197A</t>
  </si>
  <si>
    <t xml:space="preserve">Abhishek Gulabsingh Patel </t>
  </si>
  <si>
    <t xml:space="preserve">Gulabsingh Patel </t>
  </si>
  <si>
    <t>FYBPP2048P</t>
  </si>
  <si>
    <t xml:space="preserve">Shiddhesh Arun Thite </t>
  </si>
  <si>
    <t xml:space="preserve">Arurn Kondiba Thite </t>
  </si>
  <si>
    <t>DBJPT9005D</t>
  </si>
  <si>
    <t>31-8-2007</t>
  </si>
  <si>
    <t xml:space="preserve">Sujit Patel </t>
  </si>
  <si>
    <t xml:space="preserve">Chhail bihari patel </t>
  </si>
  <si>
    <t>JHJPP2212L</t>
  </si>
  <si>
    <t xml:space="preserve">Vilas Kundalik Yelavande </t>
  </si>
  <si>
    <t xml:space="preserve">Kundalik Kashinath Yelavande </t>
  </si>
  <si>
    <t>ANOPY1146N</t>
  </si>
  <si>
    <t xml:space="preserve">Ajay Sahebrao Shinde </t>
  </si>
  <si>
    <t xml:space="preserve">Sahebrao Shinde </t>
  </si>
  <si>
    <t>PIVPS1480L</t>
  </si>
  <si>
    <t>16-2-2004</t>
  </si>
  <si>
    <t xml:space="preserve">Suraj Kondu Lande </t>
  </si>
  <si>
    <t xml:space="preserve">Kondu Sitaram Lande </t>
  </si>
  <si>
    <t>BIJPL7792Q</t>
  </si>
  <si>
    <t>17-1-2002</t>
  </si>
  <si>
    <t xml:space="preserve">Nilesh gangaram Patole </t>
  </si>
  <si>
    <t xml:space="preserve">Gangaram Patole </t>
  </si>
  <si>
    <t>DSGPP0306F</t>
  </si>
  <si>
    <t xml:space="preserve">Rajesh Kumar Patel </t>
  </si>
  <si>
    <t xml:space="preserve">Amarsingh patel </t>
  </si>
  <si>
    <t>EILPP8559J</t>
  </si>
  <si>
    <t>17-7-2026</t>
  </si>
  <si>
    <t>15-3-1998</t>
  </si>
  <si>
    <t xml:space="preserve">Abhishek Gulab Pawale </t>
  </si>
  <si>
    <t xml:space="preserve">Gulab Pawale </t>
  </si>
  <si>
    <t>GWAPP0062E</t>
  </si>
  <si>
    <t>13/7/2026</t>
  </si>
  <si>
    <t xml:space="preserve">Rangnath Khandu Kedari </t>
  </si>
  <si>
    <t xml:space="preserve">Khandu Kedari </t>
  </si>
  <si>
    <t>GPXPK2485D</t>
  </si>
  <si>
    <t>20-7-2026</t>
  </si>
  <si>
    <t xml:space="preserve">Vijay Kumar Patel </t>
  </si>
  <si>
    <t xml:space="preserve">Harish Chandra </t>
  </si>
  <si>
    <t>JHDPP4534B</t>
  </si>
  <si>
    <t>15-5-2002</t>
  </si>
  <si>
    <t xml:space="preserve">Mansing Patel </t>
  </si>
  <si>
    <t xml:space="preserve">Nandlal Patel </t>
  </si>
  <si>
    <t xml:space="preserve">Indrajeet </t>
  </si>
  <si>
    <t xml:space="preserve">Dukhiram </t>
  </si>
  <si>
    <t>Piyush Yadav</t>
  </si>
  <si>
    <t xml:space="preserve">Rampravesh yadav </t>
  </si>
  <si>
    <t xml:space="preserve">Rambhajan Patel </t>
  </si>
  <si>
    <t xml:space="preserve">Rampati Patel </t>
  </si>
  <si>
    <t xml:space="preserve">Kulpati Patel </t>
  </si>
  <si>
    <t xml:space="preserve">Shivchanrda Patel </t>
  </si>
  <si>
    <t xml:space="preserve">Pranav Balu Thorat </t>
  </si>
  <si>
    <t xml:space="preserve">Balu Baban Thorat </t>
  </si>
  <si>
    <t xml:space="preserve">Raj Patel </t>
  </si>
  <si>
    <t xml:space="preserve">Ramchandra Patel </t>
  </si>
  <si>
    <t>Arjun Hiraman Rathod</t>
  </si>
  <si>
    <t xml:space="preserve">Hiraman Rathod </t>
  </si>
  <si>
    <t xml:space="preserve">Sinod Kumar </t>
  </si>
  <si>
    <t xml:space="preserve">Mishri Prasad maurya </t>
  </si>
  <si>
    <t>101053957506</t>
  </si>
  <si>
    <t xml:space="preserve">Somnath Sampat Gurav </t>
  </si>
  <si>
    <t xml:space="preserve">Sampat Gurav </t>
  </si>
  <si>
    <t>101258952951</t>
  </si>
  <si>
    <t>Dev Narayan Yadav</t>
  </si>
  <si>
    <t>Singasan Yadav</t>
  </si>
  <si>
    <t>101717718503</t>
  </si>
  <si>
    <t>Shubham Pandey</t>
  </si>
  <si>
    <t>Jagdish Prasad Pandey</t>
  </si>
  <si>
    <t>102380492311</t>
  </si>
  <si>
    <t>Sudhir Sudam Mali</t>
  </si>
  <si>
    <t>Sudam Rambhau Mali</t>
  </si>
  <si>
    <t>101417401335</t>
  </si>
  <si>
    <t>Pratik Pandurang Kadam</t>
  </si>
  <si>
    <t>Pandurang Kadam</t>
  </si>
  <si>
    <t>102024391578</t>
  </si>
  <si>
    <t>Ganesh Balaso Deshmukh</t>
  </si>
  <si>
    <t>Balaso Vithoba Deshmukh</t>
  </si>
  <si>
    <t>102105113528</t>
  </si>
  <si>
    <t>Khandu Devram Shingade</t>
  </si>
  <si>
    <t>Devram Shingade</t>
  </si>
  <si>
    <t>101413156519</t>
  </si>
  <si>
    <t>Vishal Nitin Shelke</t>
  </si>
  <si>
    <t>Nitin Shelke</t>
  </si>
  <si>
    <t xml:space="preserve">Ram Sewak </t>
  </si>
  <si>
    <t>Ramashary</t>
  </si>
  <si>
    <t>102379032772</t>
  </si>
  <si>
    <t>Nikhil Balu Koli</t>
  </si>
  <si>
    <t>Balu Koli</t>
  </si>
  <si>
    <t>102092375923</t>
  </si>
  <si>
    <t>Saksham Satish Thite</t>
  </si>
  <si>
    <t>Satish Thite</t>
  </si>
  <si>
    <t>102243858446</t>
  </si>
  <si>
    <t>Ranjit Umesh Rathod</t>
  </si>
  <si>
    <t>Umesh Rathod</t>
  </si>
  <si>
    <t>101962499767</t>
  </si>
  <si>
    <t>Gopal Bhaurao Chavhan</t>
  </si>
  <si>
    <t>Bhaurao Atmaram Chavhan</t>
  </si>
  <si>
    <t>101819860601</t>
  </si>
  <si>
    <t>Shripal Bhavrav Chavhan</t>
  </si>
  <si>
    <t>Bhavrav Chavhan</t>
  </si>
  <si>
    <t>102381762625</t>
  </si>
  <si>
    <t>Ulhas Mahadev Ovhal</t>
  </si>
  <si>
    <t>Mahadev Ovhal</t>
  </si>
  <si>
    <t>101463479184</t>
  </si>
  <si>
    <t>Sahil Shashikant Waghmare</t>
  </si>
  <si>
    <t>Savita Shashikant Waghmare</t>
  </si>
  <si>
    <t>102384202440</t>
  </si>
  <si>
    <t>Mohit Kumar</t>
  </si>
  <si>
    <t>Tulan Prasad</t>
  </si>
  <si>
    <t>102088554377</t>
  </si>
  <si>
    <t>Sandeep Kumar Dwivedi</t>
  </si>
  <si>
    <t>Vijay Kumar Dwivedi</t>
  </si>
  <si>
    <t>Hanumant Pardhi</t>
  </si>
  <si>
    <t>Digambar Pardhi</t>
  </si>
  <si>
    <t>101486015016</t>
  </si>
  <si>
    <t>Sharad Shinde</t>
  </si>
  <si>
    <t>Kisan Shinde</t>
  </si>
  <si>
    <t>102068183380</t>
  </si>
  <si>
    <t>Kunal Tijge</t>
  </si>
  <si>
    <t>Kundlik Tijge</t>
  </si>
  <si>
    <t>101705155784</t>
  </si>
  <si>
    <t>Jitendra Chavhan</t>
  </si>
  <si>
    <t>Hiralal Chavhan</t>
  </si>
  <si>
    <t>102383511256</t>
  </si>
  <si>
    <t>Manoj Raghu Raj</t>
  </si>
  <si>
    <t>Raghu Raj</t>
  </si>
  <si>
    <t>101494608145</t>
  </si>
  <si>
    <t>Saigaraj Madhukar Bhagat</t>
  </si>
  <si>
    <t>Madhukar Bhagat</t>
  </si>
  <si>
    <t>102007370932</t>
  </si>
  <si>
    <t>Tejas Santosh Hole</t>
  </si>
  <si>
    <t>Santosh Hole</t>
  </si>
  <si>
    <t>102208251244</t>
  </si>
  <si>
    <t>Shashikant Ramdas Chitalkar</t>
  </si>
  <si>
    <t>Ramdas Chitalkar</t>
  </si>
  <si>
    <t>101955515214</t>
  </si>
  <si>
    <t>Om Dnyaneshwar Kashid</t>
  </si>
  <si>
    <t>Dnyaneshwar Kashid</t>
  </si>
  <si>
    <t>102379804164</t>
  </si>
  <si>
    <t>Sachin Jalindar Bharti</t>
  </si>
  <si>
    <t>Jalindar Bharti</t>
  </si>
  <si>
    <t>102384099261</t>
  </si>
  <si>
    <t>Pranav Ramdas Hole</t>
  </si>
  <si>
    <t>Ramdas Hole</t>
  </si>
  <si>
    <t>101959660233</t>
  </si>
  <si>
    <t>Avinash Nathu Khande</t>
  </si>
  <si>
    <t>Nathu Khande</t>
  </si>
  <si>
    <t>102373714919</t>
  </si>
  <si>
    <t>Anuj Kumar</t>
  </si>
  <si>
    <t>Ram Tavankal</t>
  </si>
  <si>
    <t>101833695462</t>
  </si>
  <si>
    <t>Dipak Khandu Borhade</t>
  </si>
  <si>
    <t>Khandu Borhade</t>
  </si>
  <si>
    <t>102378056435</t>
  </si>
  <si>
    <t>Aniket Bharat Korade</t>
  </si>
  <si>
    <t>Bharat Korade</t>
  </si>
  <si>
    <t>102378498197</t>
  </si>
  <si>
    <t>Sachin Tulshiram Bhojane</t>
  </si>
  <si>
    <t>Tulshiram Bhojane</t>
  </si>
  <si>
    <t>102201128287</t>
  </si>
  <si>
    <t>Jitendra Devram Burud</t>
  </si>
  <si>
    <t>Devram Burud</t>
  </si>
  <si>
    <t>101108914744</t>
  </si>
  <si>
    <t>Muneshwar Mandal</t>
  </si>
  <si>
    <t>Mahesh Mandal</t>
  </si>
  <si>
    <t>102031426592</t>
  </si>
  <si>
    <t>Karan Pintu Shinde</t>
  </si>
  <si>
    <t>Pintu Shinde</t>
  </si>
  <si>
    <t>102384122565</t>
  </si>
  <si>
    <t>Ramdas Sambhaji Shinde</t>
  </si>
  <si>
    <t>Sambhaji Shinde</t>
  </si>
  <si>
    <t>101460643893</t>
  </si>
  <si>
    <t>Hitesh Balasaheb Kanhurkar</t>
  </si>
  <si>
    <t>Balasaheb Kanhurkar</t>
  </si>
  <si>
    <t>101149121427</t>
  </si>
  <si>
    <t>Sahil Sanjay Gawade</t>
  </si>
  <si>
    <t>Sanjay Gawade</t>
  </si>
  <si>
    <t>102126961510</t>
  </si>
  <si>
    <t>Mujalmin Shafi Inamdar</t>
  </si>
  <si>
    <t>Shafi Inamdar</t>
  </si>
  <si>
    <t>102055079528</t>
  </si>
  <si>
    <t>Rohidas Prakash Shinde</t>
  </si>
  <si>
    <t>Prakash Shinde</t>
  </si>
  <si>
    <t>102001197583</t>
  </si>
  <si>
    <t>Mayur Vijay Shinde</t>
  </si>
  <si>
    <t>Vijay Shinde</t>
  </si>
  <si>
    <t>101539355142</t>
  </si>
  <si>
    <t>Jaihind Kumar</t>
  </si>
  <si>
    <t>Jharkhandey Prasad</t>
  </si>
  <si>
    <t>100071495596</t>
  </si>
  <si>
    <t>Ankit Singh</t>
  </si>
  <si>
    <t>Dinesh Singh</t>
  </si>
  <si>
    <t>102384260012</t>
  </si>
  <si>
    <t xml:space="preserve">Ravi Khande </t>
  </si>
  <si>
    <t>Sagar Umakant Lokhnade</t>
  </si>
  <si>
    <t>Umakant Lokhnade</t>
  </si>
  <si>
    <t>Bank Name</t>
  </si>
  <si>
    <t>Bank Account Number</t>
  </si>
  <si>
    <t>IFSC Code</t>
  </si>
  <si>
    <t xml:space="preserve">BANKOF MAHARASHTRA </t>
  </si>
  <si>
    <t>MAHB0000287</t>
  </si>
  <si>
    <t xml:space="preserve">RAGGURUNAGAR SAHKARI BANK </t>
  </si>
  <si>
    <t>002002300038923</t>
  </si>
  <si>
    <t>RSBL0000003</t>
  </si>
  <si>
    <t xml:space="preserve">STATE BANK OF INDIA </t>
  </si>
  <si>
    <t>SBIN0000410</t>
  </si>
  <si>
    <t xml:space="preserve">CANARA BANK </t>
  </si>
  <si>
    <t>CNRB0015333</t>
  </si>
  <si>
    <t xml:space="preserve">RAJGURUNAGAR SAHKARI BANK </t>
  </si>
  <si>
    <t>002002300032586</t>
  </si>
  <si>
    <t>SBIN0018962</t>
  </si>
  <si>
    <t xml:space="preserve">BANK OF MAHARASHTRA </t>
  </si>
  <si>
    <t>MAHB0000174</t>
  </si>
  <si>
    <t>CENTREL BANK OF INDIA</t>
  </si>
  <si>
    <t>CBIN0283483</t>
  </si>
  <si>
    <t>CNRB0008649</t>
  </si>
  <si>
    <t>CNRB0015336</t>
  </si>
  <si>
    <t>FINO</t>
  </si>
  <si>
    <t>FINO0001157</t>
  </si>
  <si>
    <t xml:space="preserve">BANK OF BARODA </t>
  </si>
  <si>
    <t>06528100010980</t>
  </si>
  <si>
    <t>BARB0BHARAT</t>
  </si>
  <si>
    <t xml:space="preserve">UNION BANK OF INDIA </t>
  </si>
  <si>
    <t>UBIN0568759</t>
  </si>
  <si>
    <t xml:space="preserve">AXIS BANK </t>
  </si>
  <si>
    <t>UTIB0000512</t>
  </si>
  <si>
    <t>MAHB0001113</t>
  </si>
  <si>
    <t>BARB0KARMAX</t>
  </si>
  <si>
    <t>FINO PAYMENT BANK</t>
  </si>
  <si>
    <t>FINO0000001</t>
  </si>
  <si>
    <t>SBI</t>
  </si>
  <si>
    <t>BARB0RAJGUR</t>
  </si>
  <si>
    <t xml:space="preserve">CENTREL BANK OF INDIA </t>
  </si>
  <si>
    <t>CBIN0284624</t>
  </si>
  <si>
    <t>002002300032463</t>
  </si>
  <si>
    <t>SBIN0002616</t>
  </si>
  <si>
    <t>SBIN0011250</t>
  </si>
  <si>
    <t>CNRB0005301</t>
  </si>
  <si>
    <t xml:space="preserve">BARODA UTTERPRADESH GRAMIN BANK </t>
  </si>
  <si>
    <t>BARB0BUPGBX</t>
  </si>
  <si>
    <t xml:space="preserve">SHARAD SAHAKARI BANK </t>
  </si>
  <si>
    <t>001002300030078</t>
  </si>
  <si>
    <t>HDFC0CSHSBL</t>
  </si>
  <si>
    <t>UBIN0570575</t>
  </si>
  <si>
    <t>HDFC BANK</t>
  </si>
  <si>
    <t>50100403546646</t>
  </si>
  <si>
    <t>HDFC0000750</t>
  </si>
  <si>
    <t>50100823838189</t>
  </si>
  <si>
    <t>HDFC0003068</t>
  </si>
  <si>
    <t>68023451260</t>
  </si>
  <si>
    <t>MAHB0000281</t>
  </si>
  <si>
    <t>446402011198172</t>
  </si>
  <si>
    <t>UBIN0544647</t>
  </si>
  <si>
    <t>446402011193178</t>
  </si>
  <si>
    <t>002002300031080</t>
  </si>
  <si>
    <t>State Bank Of India</t>
  </si>
  <si>
    <t>MAHB0000173</t>
  </si>
  <si>
    <t>53332310005508</t>
  </si>
  <si>
    <t>SYNB0005333</t>
  </si>
  <si>
    <t>002002300034401</t>
  </si>
  <si>
    <t>KOTAK MAHINDRA</t>
  </si>
  <si>
    <t>0848043856</t>
  </si>
  <si>
    <t>KKBK0000728</t>
  </si>
  <si>
    <t>Akola Co-opretive Bank</t>
  </si>
  <si>
    <t>0871022090000095</t>
  </si>
  <si>
    <t>ADCC0000087</t>
  </si>
  <si>
    <t>446402011198200</t>
  </si>
  <si>
    <t>Airtel Payment Bank</t>
  </si>
  <si>
    <t>AIRP0000001</t>
  </si>
  <si>
    <t>Punjab National Bank</t>
  </si>
  <si>
    <t>2284001700242785</t>
  </si>
  <si>
    <t>PUNB0228400</t>
  </si>
  <si>
    <t>25808100002696</t>
  </si>
  <si>
    <t>BARB0SSIPIM</t>
  </si>
  <si>
    <t>Bank Of Maharashtra</t>
  </si>
  <si>
    <t>60139978917</t>
  </si>
  <si>
    <t>50100698761070</t>
  </si>
  <si>
    <t>HDFC0003455</t>
  </si>
  <si>
    <t>Yes Banks</t>
  </si>
  <si>
    <t>034491400001287</t>
  </si>
  <si>
    <t>YESB0000344</t>
  </si>
  <si>
    <t>BANK OF MAHARASHTRA</t>
  </si>
  <si>
    <t>25050500258</t>
  </si>
  <si>
    <t>MAHB0000780</t>
  </si>
  <si>
    <t>60446184528</t>
  </si>
  <si>
    <t>60279447635</t>
  </si>
  <si>
    <t>Rajgurunagar Sahakari Bank</t>
  </si>
  <si>
    <t>002002300028505</t>
  </si>
  <si>
    <t>Canara Bank</t>
  </si>
  <si>
    <t>8649120000276</t>
  </si>
  <si>
    <t>Shri Rukmini Sahakari Bank,Shrigonda</t>
  </si>
  <si>
    <t>001004221000218</t>
  </si>
  <si>
    <t>UTIB0SRSB01</t>
  </si>
  <si>
    <t>Sarswat Bank</t>
  </si>
  <si>
    <t>510000000199814</t>
  </si>
  <si>
    <t>SRCB0000376</t>
  </si>
  <si>
    <t>53332200085811</t>
  </si>
  <si>
    <t>20179372212</t>
  </si>
  <si>
    <t>FINO0009002</t>
  </si>
  <si>
    <t>8767083306</t>
  </si>
  <si>
    <t>60552901055</t>
  </si>
  <si>
    <t>545902010014001</t>
  </si>
  <si>
    <t>UBIN0554596</t>
  </si>
  <si>
    <t>50100390140800</t>
  </si>
  <si>
    <t>HDFC0006077</t>
  </si>
  <si>
    <t>41931835856</t>
  </si>
  <si>
    <t>SBIN0012535</t>
  </si>
  <si>
    <t>60330888071</t>
  </si>
  <si>
    <t>53332200085623</t>
  </si>
  <si>
    <t>43649382459</t>
  </si>
  <si>
    <t>60458200387</t>
  </si>
  <si>
    <t>68022039164</t>
  </si>
  <si>
    <t>735702120001381</t>
  </si>
  <si>
    <t>UBIN0573574</t>
  </si>
  <si>
    <t>735702120000738</t>
  </si>
  <si>
    <t>68023451612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</si>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</sst>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1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6"/>
      <color theme="1"/>
      <name val="Calibri Light"/>
      <family val="1"/>
      <scheme val="major"/>
    </font>
    <font>
      <sz val="8"/>
      <name val="Calibri"/>
      <family val="2"/>
      <scheme val="minor"/>
    </font>
    <font>
      <sz val="18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i/>
      <sz val="16"/>
      <color rgb="FF222222"/>
      <name val="Aptos Narrow"/>
      <family val="2"/>
    </font>
    <font>
      <b/>
      <sz val="16"/>
      <color rgb="FF222222"/>
      <name val="Aptos Narrow"/>
      <family val="2"/>
    </font>
    <font>
      <sz val="16"/>
      <color rgb="FF000000"/>
      <name val="Calibri"/>
      <family val="2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1" fontId="7" fillId="0" borderId="0" xfId="0" applyNumberFormat="1" applyFont="1"/>
    <xf numFmtId="0" fontId="7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 textRotation="90" wrapText="1"/>
    </xf>
    <xf numFmtId="165" fontId="2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18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wrapText="1"/>
    </xf>
    <xf numFmtId="165" fontId="12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left" vertical="center"/>
      <protection locked="0"/>
    </xf>
    <xf numFmtId="1" fontId="14" fillId="0" borderId="11" xfId="0" applyNumberFormat="1" applyFont="1" applyBorder="1" applyAlignment="1" applyProtection="1">
      <alignment horizontal="center" vertical="center"/>
      <protection locked="0"/>
    </xf>
    <xf numFmtId="165" fontId="14" fillId="0" borderId="11" xfId="0" applyNumberFormat="1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1" fontId="11" fillId="0" borderId="11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 wrapText="1"/>
    </xf>
    <xf numFmtId="1" fontId="11" fillId="2" borderId="11" xfId="0" applyNumberFormat="1" applyFont="1" applyFill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" fontId="11" fillId="0" borderId="2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vertical="center"/>
    </xf>
    <xf numFmtId="165" fontId="12" fillId="0" borderId="13" xfId="0" applyNumberFormat="1" applyFont="1" applyBorder="1" applyAlignment="1">
      <alignment horizontal="left" vertical="center" wrapText="1"/>
    </xf>
    <xf numFmtId="165" fontId="14" fillId="0" borderId="11" xfId="0" applyNumberFormat="1" applyFont="1" applyBorder="1" applyAlignment="1" applyProtection="1">
      <alignment horizontal="left" vertical="center"/>
      <protection locked="0"/>
    </xf>
    <xf numFmtId="165" fontId="11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" fontId="12" fillId="0" borderId="13" xfId="0" applyNumberFormat="1" applyFont="1" applyBorder="1" applyAlignment="1">
      <alignment horizontal="left" vertical="center" wrapText="1"/>
    </xf>
    <xf numFmtId="1" fontId="14" fillId="0" borderId="11" xfId="0" applyNumberFormat="1" applyFont="1" applyBorder="1" applyAlignment="1" applyProtection="1">
      <alignment horizontal="left" vertical="center"/>
      <protection locked="0"/>
    </xf>
    <xf numFmtId="0" fontId="2" fillId="0" borderId="4" xfId="0" applyFont="1" applyBorder="1"/>
    <xf numFmtId="2" fontId="2" fillId="0" borderId="4" xfId="0" applyNumberFormat="1" applyFont="1" applyBorder="1"/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0" fontId="9" fillId="0" borderId="7" xfId="0" applyFont="1" applyBorder="1" applyAlignment="1">
      <alignment horizontal="center" vertical="center"/>
    </xf>
    <xf numFmtId="0" fontId="10" fillId="0" borderId="8" xfId="0" applyFont="1" applyBorder="1"/>
    <xf numFmtId="0" fontId="9" fillId="0" borderId="2" xfId="0" applyFont="1" applyBorder="1" applyAlignment="1">
      <alignment horizontal="left"/>
    </xf>
    <xf numFmtId="0" fontId="10" fillId="0" borderId="6" xfId="0" applyFont="1" applyBorder="1"/>
    <xf numFmtId="0" fontId="10" fillId="0" borderId="5" xfId="0" applyFont="1" applyBorder="1"/>
    <xf numFmtId="0" fontId="9" fillId="0" borderId="9" xfId="0" applyFont="1" applyBorder="1" applyAlignment="1">
      <alignment horizontal="center" vertical="center"/>
    </xf>
    <xf numFmtId="0" fontId="10" fillId="0" borderId="10" xfId="0" applyFont="1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0" fillId="0" borderId="19" xfId="0" applyFont="1" applyBorder="1"/>
    <xf numFmtId="0" fontId="9" fillId="0" borderId="1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mployee%20Details%20Master%20Sagar%20Enterprises/Sagar%20Employee%20Details%20master%20file.xlsx" TargetMode="External"/><Relationship Id="rId2" Type="http://schemas.openxmlformats.org/officeDocument/2006/relationships/externalLinkPath" Target="file:///C:\Company%20Data\DAS\Sagar%20Enterprises\Employee%20Details%20Master%20Sagar%20Enterprises\Sagar%20Employee%20Details%20master%20file.xlsx" TargetMode="External"/><Relationship Id="rId1" Type="http://schemas.openxmlformats.org/officeDocument/2006/relationships/externalLinkPath" Target="/Company%20Data/DAS/Sagar%20Enterprises/Employee%20Details%20Master%20Sagar%20Enterprises/Sagar%20Employee%20Details%20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gar Enterprises "/>
      <sheetName val="Bhamboli "/>
    </sheetNames>
    <sheetDataSet>
      <sheetData sheetId="0">
        <row r="3">
          <cell r="B3" t="str">
            <v>001</v>
          </cell>
          <cell r="C3" t="str">
            <v>Active</v>
          </cell>
          <cell r="D3" t="str">
            <v xml:space="preserve">Khed city </v>
          </cell>
          <cell r="E3" t="str">
            <v xml:space="preserve">Sahil Pandit Pawale </v>
          </cell>
          <cell r="F3" t="str">
            <v xml:space="preserve">Pandit Pawale </v>
          </cell>
          <cell r="G3">
            <v>9561429667</v>
          </cell>
          <cell r="H3" t="str">
            <v>22-8-2007</v>
          </cell>
          <cell r="I3" t="str">
            <v>29-3-2026</v>
          </cell>
          <cell r="J3" t="str">
            <v xml:space="preserve">Semi-Skilled </v>
          </cell>
        </row>
        <row r="4">
          <cell r="B4" t="str">
            <v>002</v>
          </cell>
          <cell r="C4" t="str">
            <v>Active</v>
          </cell>
          <cell r="D4" t="str">
            <v xml:space="preserve">Khed city </v>
          </cell>
          <cell r="E4" t="str">
            <v xml:space="preserve">Aniket Vilas Katkar </v>
          </cell>
          <cell r="F4" t="str">
            <v xml:space="preserve">Vilas Katkar </v>
          </cell>
          <cell r="G4">
            <v>7517354943</v>
          </cell>
          <cell r="H4" t="str">
            <v>24-12-2000</v>
          </cell>
          <cell r="I4">
            <v>46298</v>
          </cell>
          <cell r="J4" t="str">
            <v xml:space="preserve">Semi-Skilled </v>
          </cell>
        </row>
        <row r="5">
          <cell r="B5" t="str">
            <v>003</v>
          </cell>
          <cell r="C5" t="str">
            <v>Active</v>
          </cell>
          <cell r="D5" t="str">
            <v xml:space="preserve">Khed city </v>
          </cell>
          <cell r="E5" t="str">
            <v xml:space="preserve">Suraj Navnath Giri </v>
          </cell>
          <cell r="F5" t="str">
            <v xml:space="preserve">Navnath Giri </v>
          </cell>
          <cell r="G5">
            <v>7498204186</v>
          </cell>
          <cell r="H5">
            <v>39026</v>
          </cell>
          <cell r="I5">
            <v>46298</v>
          </cell>
          <cell r="J5" t="str">
            <v xml:space="preserve">Semi-Skilled </v>
          </cell>
        </row>
        <row r="6">
          <cell r="B6" t="str">
            <v>004</v>
          </cell>
          <cell r="C6" t="str">
            <v>LEFT</v>
          </cell>
          <cell r="D6" t="str">
            <v xml:space="preserve">Khed city </v>
          </cell>
          <cell r="E6" t="str">
            <v xml:space="preserve">Nilesh Pandurang Ghabale </v>
          </cell>
          <cell r="F6" t="str">
            <v xml:space="preserve">Pandurang Ghabale </v>
          </cell>
          <cell r="G6">
            <v>9370358956</v>
          </cell>
          <cell r="H6" t="str">
            <v>20-9-2001</v>
          </cell>
          <cell r="I6">
            <v>46329</v>
          </cell>
          <cell r="J6" t="str">
            <v xml:space="preserve">Semi-Skilled </v>
          </cell>
        </row>
        <row r="7">
          <cell r="B7" t="str">
            <v>005</v>
          </cell>
          <cell r="C7" t="str">
            <v>Active</v>
          </cell>
          <cell r="D7" t="str">
            <v xml:space="preserve">Khed city </v>
          </cell>
          <cell r="E7" t="str">
            <v xml:space="preserve">Sanket Sanjay Thite </v>
          </cell>
          <cell r="F7" t="str">
            <v xml:space="preserve">Sanjay Jayvant Thite </v>
          </cell>
          <cell r="G7">
            <v>8767253238</v>
          </cell>
          <cell r="H7">
            <v>37692</v>
          </cell>
          <cell r="I7">
            <v>46118</v>
          </cell>
          <cell r="J7" t="str">
            <v xml:space="preserve">Semi-Skilled </v>
          </cell>
        </row>
        <row r="8">
          <cell r="B8" t="str">
            <v>006</v>
          </cell>
          <cell r="C8" t="str">
            <v>Active</v>
          </cell>
          <cell r="D8" t="str">
            <v xml:space="preserve">Khed city </v>
          </cell>
          <cell r="E8" t="str">
            <v xml:space="preserve">Navanath Bajirav Dafal </v>
          </cell>
          <cell r="F8" t="str">
            <v xml:space="preserve">Bajirav Bala Dafal </v>
          </cell>
          <cell r="G8">
            <v>9011171099</v>
          </cell>
          <cell r="H8" t="str">
            <v>20-9-1979</v>
          </cell>
          <cell r="I8">
            <v>46301</v>
          </cell>
          <cell r="J8" t="str">
            <v xml:space="preserve">Semi-Skilled </v>
          </cell>
        </row>
        <row r="9">
          <cell r="B9" t="str">
            <v>007</v>
          </cell>
          <cell r="C9" t="str">
            <v>Active</v>
          </cell>
          <cell r="D9" t="str">
            <v xml:space="preserve">Khed city </v>
          </cell>
          <cell r="E9" t="str">
            <v xml:space="preserve">Vijay Sahebarao Shinde </v>
          </cell>
          <cell r="F9" t="str">
            <v xml:space="preserve">Sahebarao Shinde </v>
          </cell>
          <cell r="G9">
            <v>7888163211</v>
          </cell>
          <cell r="H9" t="str">
            <v>16-02-1999</v>
          </cell>
          <cell r="I9">
            <v>46301</v>
          </cell>
          <cell r="J9" t="str">
            <v xml:space="preserve">Skilled </v>
          </cell>
        </row>
        <row r="10">
          <cell r="B10" t="str">
            <v>008</v>
          </cell>
          <cell r="C10" t="str">
            <v>Active</v>
          </cell>
          <cell r="D10" t="str">
            <v xml:space="preserve">Khed city </v>
          </cell>
          <cell r="E10" t="str">
            <v xml:space="preserve">Ajit Shantaram Gawade </v>
          </cell>
          <cell r="F10" t="str">
            <v xml:space="preserve">Shantaram Gawade </v>
          </cell>
          <cell r="G10">
            <v>9561469692</v>
          </cell>
          <cell r="H10">
            <v>38992</v>
          </cell>
          <cell r="I10">
            <v>46301</v>
          </cell>
          <cell r="J10" t="str">
            <v xml:space="preserve">Semi-Skilled </v>
          </cell>
        </row>
        <row r="11">
          <cell r="B11" t="str">
            <v>009</v>
          </cell>
          <cell r="C11" t="str">
            <v>Active</v>
          </cell>
          <cell r="D11" t="str">
            <v xml:space="preserve">Khed city </v>
          </cell>
          <cell r="E11" t="str">
            <v xml:space="preserve">Prathmesh Rajendra More </v>
          </cell>
          <cell r="F11" t="str">
            <v xml:space="preserve">Rajendra More </v>
          </cell>
          <cell r="G11">
            <v>7264838853</v>
          </cell>
          <cell r="H11">
            <v>39002</v>
          </cell>
          <cell r="I11" t="str">
            <v>18-06-2026</v>
          </cell>
          <cell r="J11" t="str">
            <v xml:space="preserve">Semi-Skilled </v>
          </cell>
        </row>
        <row r="12">
          <cell r="B12" t="str">
            <v>010</v>
          </cell>
          <cell r="C12" t="str">
            <v>Active</v>
          </cell>
          <cell r="D12" t="str">
            <v xml:space="preserve">Khed city </v>
          </cell>
          <cell r="E12" t="str">
            <v xml:space="preserve">Saurabh Ganesh Pawar </v>
          </cell>
          <cell r="F12" t="str">
            <v xml:space="preserve">Ganesh Pawar </v>
          </cell>
          <cell r="G12">
            <v>7057631968</v>
          </cell>
          <cell r="H12">
            <v>37471</v>
          </cell>
          <cell r="I12" t="str">
            <v>18-06-2026</v>
          </cell>
          <cell r="J12" t="str">
            <v xml:space="preserve">Semi-Skilled </v>
          </cell>
        </row>
        <row r="13">
          <cell r="B13" t="str">
            <v>011</v>
          </cell>
          <cell r="C13" t="str">
            <v>LEFT</v>
          </cell>
          <cell r="D13" t="str">
            <v xml:space="preserve">Khed city </v>
          </cell>
          <cell r="E13" t="str">
            <v xml:space="preserve">Ankit Vikas Varkhade </v>
          </cell>
          <cell r="F13" t="str">
            <v xml:space="preserve">Vikas Shahaji Varkhade </v>
          </cell>
          <cell r="G13">
            <v>9370683031</v>
          </cell>
          <cell r="H13" t="str">
            <v>14-7-2005</v>
          </cell>
          <cell r="I13" t="str">
            <v>19-06-2026</v>
          </cell>
          <cell r="J13" t="str">
            <v xml:space="preserve">Semi-Skilled </v>
          </cell>
        </row>
        <row r="14">
          <cell r="B14" t="str">
            <v>012</v>
          </cell>
          <cell r="C14" t="str">
            <v>Active</v>
          </cell>
          <cell r="D14" t="str">
            <v xml:space="preserve">Khed city </v>
          </cell>
          <cell r="E14" t="str">
            <v xml:space="preserve">Om Gorakshanath Totre </v>
          </cell>
          <cell r="F14" t="str">
            <v xml:space="preserve">Gorakshanath Totre </v>
          </cell>
          <cell r="G14">
            <v>7821855670</v>
          </cell>
          <cell r="H14" t="str">
            <v>30-4-2006</v>
          </cell>
          <cell r="I14" t="str">
            <v>19-06-2026</v>
          </cell>
          <cell r="J14" t="str">
            <v xml:space="preserve">Semi-Skilled </v>
          </cell>
        </row>
        <row r="15">
          <cell r="B15" t="str">
            <v>013</v>
          </cell>
          <cell r="C15" t="str">
            <v>Active</v>
          </cell>
          <cell r="D15" t="str">
            <v xml:space="preserve">Khed city </v>
          </cell>
          <cell r="E15" t="str">
            <v xml:space="preserve">Raghunath Balu Jadhav </v>
          </cell>
          <cell r="F15" t="str">
            <v xml:space="preserve">Balu Sakharam Jadhav </v>
          </cell>
          <cell r="G15">
            <v>9623552920</v>
          </cell>
          <cell r="H15" t="str">
            <v>19-5-1990</v>
          </cell>
          <cell r="I15" t="str">
            <v>18-06-2026</v>
          </cell>
          <cell r="J15" t="str">
            <v xml:space="preserve">Semi-Skilled </v>
          </cell>
        </row>
        <row r="16">
          <cell r="B16" t="str">
            <v>014</v>
          </cell>
          <cell r="C16" t="str">
            <v>Active</v>
          </cell>
          <cell r="D16" t="str">
            <v xml:space="preserve">Khed city </v>
          </cell>
          <cell r="E16" t="str">
            <v xml:space="preserve">Pankaj Kumar Patel </v>
          </cell>
          <cell r="F16" t="str">
            <v xml:space="preserve">Bhai lal Patel </v>
          </cell>
          <cell r="G16">
            <v>8543863216</v>
          </cell>
          <cell r="H16">
            <v>33604</v>
          </cell>
          <cell r="I16" t="str">
            <v>25/6/2026</v>
          </cell>
          <cell r="J16" t="str">
            <v xml:space="preserve">Semi-Skilled </v>
          </cell>
        </row>
        <row r="17">
          <cell r="B17" t="str">
            <v>015</v>
          </cell>
          <cell r="C17" t="str">
            <v>LEFT</v>
          </cell>
          <cell r="D17" t="str">
            <v xml:space="preserve">Khed city </v>
          </cell>
          <cell r="E17" t="str">
            <v xml:space="preserve">Deepak Kumar </v>
          </cell>
          <cell r="F17" t="str">
            <v xml:space="preserve">Lal chandra </v>
          </cell>
          <cell r="G17">
            <v>6386006152</v>
          </cell>
          <cell r="H17">
            <v>34249</v>
          </cell>
          <cell r="I17" t="str">
            <v>25/6/2026</v>
          </cell>
          <cell r="J17" t="str">
            <v xml:space="preserve">Semi-Skilled </v>
          </cell>
        </row>
        <row r="18">
          <cell r="B18" t="str">
            <v>016</v>
          </cell>
          <cell r="C18" t="str">
            <v>Active</v>
          </cell>
          <cell r="D18" t="str">
            <v xml:space="preserve">Khed city </v>
          </cell>
          <cell r="E18" t="str">
            <v xml:space="preserve">Pavan Kumar </v>
          </cell>
          <cell r="F18" t="str">
            <v xml:space="preserve">Bhai lal </v>
          </cell>
          <cell r="G18">
            <v>6389004132</v>
          </cell>
          <cell r="H18">
            <v>33610</v>
          </cell>
          <cell r="I18" t="str">
            <v>25/6/2026</v>
          </cell>
          <cell r="J18" t="str">
            <v xml:space="preserve">Semi-Skilled </v>
          </cell>
        </row>
        <row r="19">
          <cell r="B19" t="str">
            <v>017</v>
          </cell>
          <cell r="C19" t="str">
            <v>Active</v>
          </cell>
          <cell r="D19" t="str">
            <v xml:space="preserve">Khed city </v>
          </cell>
          <cell r="E19" t="str">
            <v xml:space="preserve">Sandip Lahu Patil </v>
          </cell>
          <cell r="F19" t="str">
            <v xml:space="preserve">Lahu Patil </v>
          </cell>
          <cell r="G19">
            <v>9325306144</v>
          </cell>
          <cell r="H19" t="str">
            <v>15-08-1992</v>
          </cell>
          <cell r="I19" t="str">
            <v>25/6/2026</v>
          </cell>
          <cell r="J19" t="str">
            <v xml:space="preserve">Semi-Skilled </v>
          </cell>
        </row>
        <row r="20">
          <cell r="B20" t="str">
            <v>018</v>
          </cell>
          <cell r="C20" t="str">
            <v>Active</v>
          </cell>
          <cell r="D20" t="str">
            <v xml:space="preserve">Khed city </v>
          </cell>
          <cell r="E20" t="str">
            <v xml:space="preserve">Rushikesh Narayan Pawar </v>
          </cell>
          <cell r="F20" t="str">
            <v xml:space="preserve">Narayan Pawar </v>
          </cell>
          <cell r="G20">
            <v>7620423419</v>
          </cell>
          <cell r="H20" t="str">
            <v>29-5-2005</v>
          </cell>
          <cell r="I20">
            <v>46027</v>
          </cell>
          <cell r="J20" t="str">
            <v xml:space="preserve">Skilled </v>
          </cell>
        </row>
        <row r="21">
          <cell r="B21" t="str">
            <v>019</v>
          </cell>
          <cell r="C21" t="str">
            <v>Active</v>
          </cell>
          <cell r="D21" t="str">
            <v xml:space="preserve">Khed city </v>
          </cell>
          <cell r="E21" t="str">
            <v>Ganesh Shrirang Madage</v>
          </cell>
          <cell r="F21" t="str">
            <v xml:space="preserve">Shrinang Shankar Madage </v>
          </cell>
          <cell r="G21">
            <v>9284771326</v>
          </cell>
          <cell r="H21">
            <v>38667</v>
          </cell>
          <cell r="I21" t="str">
            <v>14-07-2026</v>
          </cell>
          <cell r="J21" t="str">
            <v xml:space="preserve">Semi-Skilled </v>
          </cell>
        </row>
        <row r="22">
          <cell r="B22" t="str">
            <v>020</v>
          </cell>
          <cell r="C22" t="str">
            <v>Active</v>
          </cell>
          <cell r="D22" t="str">
            <v xml:space="preserve">Khed city </v>
          </cell>
          <cell r="E22" t="str">
            <v xml:space="preserve">Tushar Nakaji Khamakar </v>
          </cell>
          <cell r="F22" t="str">
            <v xml:space="preserve">Naka sakharam khamakar </v>
          </cell>
          <cell r="G22">
            <v>7499043674</v>
          </cell>
          <cell r="H22">
            <v>38811</v>
          </cell>
          <cell r="I22">
            <v>46333</v>
          </cell>
          <cell r="J22" t="str">
            <v xml:space="preserve">Semi-Skilled </v>
          </cell>
        </row>
        <row r="23">
          <cell r="B23" t="str">
            <v>021</v>
          </cell>
          <cell r="C23" t="str">
            <v>Active</v>
          </cell>
          <cell r="D23" t="str">
            <v xml:space="preserve">Khed city </v>
          </cell>
          <cell r="E23" t="str">
            <v xml:space="preserve">Abhishek Gulabsingh Patel </v>
          </cell>
          <cell r="F23" t="str">
            <v xml:space="preserve">Gulabsingh Patel </v>
          </cell>
          <cell r="G23">
            <v>8299062771</v>
          </cell>
          <cell r="H23">
            <v>38421</v>
          </cell>
          <cell r="I23">
            <v>46180</v>
          </cell>
          <cell r="J23" t="str">
            <v xml:space="preserve">Semi-Skilled </v>
          </cell>
        </row>
        <row r="24">
          <cell r="B24" t="str">
            <v>022</v>
          </cell>
          <cell r="C24" t="str">
            <v>Active</v>
          </cell>
          <cell r="D24" t="str">
            <v xml:space="preserve">Khed city </v>
          </cell>
          <cell r="E24" t="str">
            <v xml:space="preserve">Shiddhesh Arun Thite </v>
          </cell>
          <cell r="F24" t="str">
            <v xml:space="preserve">Arurn Kondiba Thite </v>
          </cell>
          <cell r="G24">
            <v>9309260335</v>
          </cell>
          <cell r="H24" t="str">
            <v>31-8-2007</v>
          </cell>
          <cell r="I24">
            <v>46302</v>
          </cell>
          <cell r="J24" t="str">
            <v xml:space="preserve">Semi-Skilled </v>
          </cell>
        </row>
        <row r="25">
          <cell r="B25" t="str">
            <v>023</v>
          </cell>
          <cell r="C25" t="str">
            <v>Active</v>
          </cell>
          <cell r="D25" t="str">
            <v xml:space="preserve">Khed city </v>
          </cell>
          <cell r="E25" t="str">
            <v xml:space="preserve">Sujit Patel </v>
          </cell>
          <cell r="F25" t="str">
            <v xml:space="preserve">Chhail bihari patel </v>
          </cell>
          <cell r="G25">
            <v>8917841446</v>
          </cell>
          <cell r="H25">
            <v>37869</v>
          </cell>
          <cell r="I25">
            <v>46333</v>
          </cell>
          <cell r="J25" t="str">
            <v xml:space="preserve">Semi-Skilled </v>
          </cell>
        </row>
        <row r="26">
          <cell r="B26" t="str">
            <v>024</v>
          </cell>
          <cell r="C26" t="str">
            <v>Active</v>
          </cell>
          <cell r="D26" t="str">
            <v xml:space="preserve">Khed city </v>
          </cell>
          <cell r="E26" t="str">
            <v xml:space="preserve">Eknath Mahadu Raut </v>
          </cell>
          <cell r="F26" t="str">
            <v xml:space="preserve">Mahadu Raut </v>
          </cell>
          <cell r="G26">
            <v>8975986286</v>
          </cell>
          <cell r="H26">
            <v>30170</v>
          </cell>
          <cell r="I26">
            <v>46333</v>
          </cell>
          <cell r="J26" t="str">
            <v xml:space="preserve">Semi-Skilled </v>
          </cell>
        </row>
        <row r="27">
          <cell r="B27" t="str">
            <v>025</v>
          </cell>
          <cell r="C27" t="str">
            <v>Active</v>
          </cell>
          <cell r="D27" t="str">
            <v xml:space="preserve">Khed city </v>
          </cell>
          <cell r="E27" t="str">
            <v xml:space="preserve">Vilas Kundalik Yelavande </v>
          </cell>
          <cell r="F27" t="str">
            <v xml:space="preserve">Kundalik Kashinath Yelavande </v>
          </cell>
          <cell r="G27">
            <v>9657969155</v>
          </cell>
          <cell r="H27">
            <v>31393</v>
          </cell>
          <cell r="I27">
            <v>46333</v>
          </cell>
          <cell r="J27" t="str">
            <v xml:space="preserve">Semi-Skilled </v>
          </cell>
        </row>
        <row r="28">
          <cell r="B28" t="str">
            <v>026</v>
          </cell>
          <cell r="C28" t="str">
            <v>Active</v>
          </cell>
          <cell r="D28" t="str">
            <v xml:space="preserve">Khed city </v>
          </cell>
          <cell r="E28" t="str">
            <v xml:space="preserve">Ajay Sahebrao Shinde </v>
          </cell>
          <cell r="F28" t="str">
            <v xml:space="preserve">Sahebrao Shinde </v>
          </cell>
          <cell r="G28">
            <v>9356879743</v>
          </cell>
          <cell r="H28" t="str">
            <v>16-2-2004</v>
          </cell>
          <cell r="I28">
            <v>46302</v>
          </cell>
          <cell r="J28" t="str">
            <v xml:space="preserve">Skilled </v>
          </cell>
        </row>
        <row r="29">
          <cell r="B29" t="str">
            <v>027</v>
          </cell>
          <cell r="C29" t="str">
            <v>Active</v>
          </cell>
          <cell r="D29" t="str">
            <v xml:space="preserve">Khed city </v>
          </cell>
          <cell r="E29" t="str">
            <v xml:space="preserve">Suraj Kondu Lande </v>
          </cell>
          <cell r="F29" t="str">
            <v xml:space="preserve">Kondu Sitaram Lande </v>
          </cell>
          <cell r="G29">
            <v>9021282445</v>
          </cell>
          <cell r="H29" t="str">
            <v>17-1-2002</v>
          </cell>
          <cell r="I29">
            <v>46333</v>
          </cell>
          <cell r="J29" t="str">
            <v xml:space="preserve">Semi-Skilled </v>
          </cell>
        </row>
        <row r="30">
          <cell r="B30" t="str">
            <v>028</v>
          </cell>
          <cell r="C30" t="str">
            <v>Active</v>
          </cell>
          <cell r="D30" t="str">
            <v xml:space="preserve">Khed city </v>
          </cell>
          <cell r="E30" t="str">
            <v xml:space="preserve">Nilesh gangaram Patole </v>
          </cell>
          <cell r="F30" t="str">
            <v xml:space="preserve">Gangaram Patole </v>
          </cell>
          <cell r="G30">
            <v>8261835695</v>
          </cell>
          <cell r="H30">
            <v>35645</v>
          </cell>
          <cell r="I30" t="str">
            <v>13-7-2026</v>
          </cell>
          <cell r="J30" t="str">
            <v xml:space="preserve">Semi-Skilled </v>
          </cell>
        </row>
        <row r="31">
          <cell r="B31" t="str">
            <v>029</v>
          </cell>
          <cell r="C31" t="str">
            <v>Active</v>
          </cell>
          <cell r="D31" t="str">
            <v xml:space="preserve">Khed city </v>
          </cell>
          <cell r="E31" t="str">
            <v xml:space="preserve">Rajesh Kumar Patel </v>
          </cell>
          <cell r="F31" t="str">
            <v xml:space="preserve">Amarsingh patel </v>
          </cell>
          <cell r="G31">
            <v>8896609691</v>
          </cell>
          <cell r="H31" t="str">
            <v>15-3-1998</v>
          </cell>
          <cell r="I31" t="str">
            <v>17-7-2026</v>
          </cell>
          <cell r="J31" t="str">
            <v xml:space="preserve">Semi-Skilled </v>
          </cell>
        </row>
        <row r="32">
          <cell r="B32" t="str">
            <v>030</v>
          </cell>
          <cell r="C32" t="str">
            <v>Active</v>
          </cell>
          <cell r="D32" t="str">
            <v xml:space="preserve">Khed city </v>
          </cell>
          <cell r="E32" t="str">
            <v xml:space="preserve">Abhishek Gulab Pawale </v>
          </cell>
          <cell r="F32" t="str">
            <v xml:space="preserve">Gulab Pawale </v>
          </cell>
          <cell r="G32">
            <v>8010847100</v>
          </cell>
          <cell r="H32" t="str">
            <v>24-5-2003</v>
          </cell>
          <cell r="I32" t="str">
            <v>13/7/2026</v>
          </cell>
          <cell r="J32" t="str">
            <v xml:space="preserve">Semi-Skilled </v>
          </cell>
        </row>
        <row r="33">
          <cell r="B33" t="str">
            <v>031</v>
          </cell>
          <cell r="C33" t="str">
            <v>Active</v>
          </cell>
          <cell r="D33" t="str">
            <v xml:space="preserve">Khed city </v>
          </cell>
          <cell r="E33" t="str">
            <v xml:space="preserve">Rangnath Khandu Kedari </v>
          </cell>
          <cell r="F33" t="str">
            <v xml:space="preserve">Khandu Kedari </v>
          </cell>
          <cell r="G33">
            <v>9011689495</v>
          </cell>
          <cell r="H33">
            <v>32509</v>
          </cell>
          <cell r="I33" t="str">
            <v>20-7-2026</v>
          </cell>
          <cell r="J33" t="str">
            <v xml:space="preserve">Semi-Skilled </v>
          </cell>
        </row>
        <row r="34">
          <cell r="B34" t="str">
            <v>032</v>
          </cell>
          <cell r="C34" t="str">
            <v>Active</v>
          </cell>
          <cell r="D34" t="str">
            <v xml:space="preserve">Khed city </v>
          </cell>
          <cell r="E34" t="str">
            <v xml:space="preserve">Vijay Kumar Patel </v>
          </cell>
          <cell r="F34" t="str">
            <v xml:space="preserve">Harish Chandra </v>
          </cell>
          <cell r="G34">
            <v>7266021504</v>
          </cell>
          <cell r="H34" t="str">
            <v>15-5-2002</v>
          </cell>
          <cell r="I34" t="str">
            <v>21-7-2026</v>
          </cell>
          <cell r="J34" t="str">
            <v xml:space="preserve">Semi-Skilled </v>
          </cell>
        </row>
        <row r="35">
          <cell r="B35" t="str">
            <v>033</v>
          </cell>
          <cell r="C35" t="str">
            <v>Active</v>
          </cell>
          <cell r="D35" t="str">
            <v xml:space="preserve">Khed city </v>
          </cell>
          <cell r="E35" t="str">
            <v xml:space="preserve">Mansing Patel </v>
          </cell>
          <cell r="F35" t="str">
            <v xml:space="preserve">Nandlal Patel </v>
          </cell>
          <cell r="G35">
            <v>6355247166</v>
          </cell>
          <cell r="H35">
            <v>36896</v>
          </cell>
          <cell r="I35" t="str">
            <v>21-7-2026</v>
          </cell>
          <cell r="J35" t="str">
            <v xml:space="preserve">Semi-Skilled </v>
          </cell>
        </row>
        <row r="36">
          <cell r="B36" t="str">
            <v>034</v>
          </cell>
          <cell r="C36" t="str">
            <v>Active</v>
          </cell>
          <cell r="D36" t="str">
            <v xml:space="preserve">Khed city </v>
          </cell>
          <cell r="E36" t="str">
            <v xml:space="preserve">Indrajeet </v>
          </cell>
          <cell r="F36" t="str">
            <v xml:space="preserve">Dukhiram </v>
          </cell>
          <cell r="G36">
            <v>6386682286</v>
          </cell>
          <cell r="H36">
            <v>38541</v>
          </cell>
          <cell r="I36">
            <v>46089</v>
          </cell>
          <cell r="J36" t="str">
            <v xml:space="preserve">Semi-Skilled </v>
          </cell>
        </row>
        <row r="37">
          <cell r="B37" t="str">
            <v>035</v>
          </cell>
          <cell r="C37" t="str">
            <v>Active</v>
          </cell>
          <cell r="D37" t="str">
            <v xml:space="preserve">Khed city </v>
          </cell>
          <cell r="E37" t="str">
            <v>Abhishek Gulab Pawale</v>
          </cell>
          <cell r="F37" t="str">
            <v xml:space="preserve">Gulab Pawale </v>
          </cell>
          <cell r="G37">
            <v>8010847100</v>
          </cell>
          <cell r="H37" t="str">
            <v>24-5-2003</v>
          </cell>
          <cell r="I37" t="str">
            <v>13-7-2026</v>
          </cell>
          <cell r="J37" t="str">
            <v xml:space="preserve">Semi-Skilled </v>
          </cell>
        </row>
        <row r="38">
          <cell r="B38" t="str">
            <v>036</v>
          </cell>
          <cell r="C38" t="str">
            <v>Active</v>
          </cell>
          <cell r="D38" t="str">
            <v xml:space="preserve">Khed city </v>
          </cell>
          <cell r="E38" t="str">
            <v>Piyush Yadav</v>
          </cell>
          <cell r="F38" t="str">
            <v xml:space="preserve">Rampravesh yadav </v>
          </cell>
          <cell r="G38">
            <v>8853387980</v>
          </cell>
          <cell r="H38">
            <v>39174</v>
          </cell>
          <cell r="I38">
            <v>46028</v>
          </cell>
          <cell r="J38" t="str">
            <v xml:space="preserve">Semi-Skilled </v>
          </cell>
        </row>
        <row r="39">
          <cell r="B39" t="str">
            <v>037</v>
          </cell>
          <cell r="C39" t="str">
            <v>Active</v>
          </cell>
          <cell r="D39" t="str">
            <v xml:space="preserve">Khed city </v>
          </cell>
          <cell r="E39" t="str">
            <v xml:space="preserve">Rambhajan Patel </v>
          </cell>
          <cell r="F39" t="str">
            <v xml:space="preserve">Rampati Patel </v>
          </cell>
          <cell r="G39">
            <v>8451909301</v>
          </cell>
          <cell r="H39">
            <v>31048</v>
          </cell>
          <cell r="I39" t="str">
            <v>31-7-2026</v>
          </cell>
          <cell r="J39" t="str">
            <v xml:space="preserve">Semi-Skilled </v>
          </cell>
        </row>
        <row r="40">
          <cell r="B40" t="str">
            <v>038</v>
          </cell>
          <cell r="C40" t="str">
            <v>Active</v>
          </cell>
          <cell r="D40" t="str">
            <v xml:space="preserve">Khed city </v>
          </cell>
          <cell r="E40" t="str">
            <v xml:space="preserve">Kulpati Patel </v>
          </cell>
          <cell r="F40" t="str">
            <v xml:space="preserve">Shivchanrda Patel </v>
          </cell>
          <cell r="G40">
            <v>6387091706</v>
          </cell>
          <cell r="H40">
            <v>35796</v>
          </cell>
          <cell r="I40" t="str">
            <v>31-7-2026</v>
          </cell>
          <cell r="J40" t="str">
            <v xml:space="preserve">Semi-Skilled </v>
          </cell>
        </row>
        <row r="41">
          <cell r="B41" t="str">
            <v>039</v>
          </cell>
          <cell r="C41" t="str">
            <v>Active</v>
          </cell>
          <cell r="D41" t="str">
            <v xml:space="preserve">Khed city </v>
          </cell>
          <cell r="E41" t="str">
            <v xml:space="preserve">Pranav Balu Thorat </v>
          </cell>
          <cell r="F41" t="str">
            <v xml:space="preserve">Balu Baban Thorat </v>
          </cell>
          <cell r="G41">
            <v>9370371810</v>
          </cell>
          <cell r="H41">
            <v>38141</v>
          </cell>
          <cell r="I41" t="str">
            <v>31-7-2026</v>
          </cell>
          <cell r="J41" t="str">
            <v xml:space="preserve">Semi-Skilled </v>
          </cell>
        </row>
        <row r="42">
          <cell r="B42" t="str">
            <v>040</v>
          </cell>
          <cell r="C42" t="str">
            <v>Active</v>
          </cell>
          <cell r="D42" t="str">
            <v xml:space="preserve">Khed city </v>
          </cell>
          <cell r="E42" t="str">
            <v xml:space="preserve">Raj Patel </v>
          </cell>
          <cell r="F42" t="str">
            <v xml:space="preserve">Ramchandra Patel </v>
          </cell>
          <cell r="G42">
            <v>9580456129</v>
          </cell>
          <cell r="H42">
            <v>32149</v>
          </cell>
          <cell r="I42" t="str">
            <v>31-7-2026</v>
          </cell>
          <cell r="J42" t="str">
            <v xml:space="preserve">Semi-Skilled </v>
          </cell>
        </row>
        <row r="43">
          <cell r="B43" t="str">
            <v>041</v>
          </cell>
          <cell r="C43" t="str">
            <v>Active</v>
          </cell>
          <cell r="D43" t="str">
            <v xml:space="preserve">Khed city </v>
          </cell>
          <cell r="E43" t="str">
            <v>Arjun Hiraman Rathod</v>
          </cell>
          <cell r="F43" t="str">
            <v xml:space="preserve">Hiraman Rathod </v>
          </cell>
          <cell r="G43">
            <v>9960545118</v>
          </cell>
          <cell r="H43">
            <v>37930</v>
          </cell>
          <cell r="I43" t="str">
            <v>16-6-2026</v>
          </cell>
          <cell r="J43" t="str">
            <v xml:space="preserve">Semi-Skilled </v>
          </cell>
        </row>
        <row r="44">
          <cell r="B44" t="str">
            <v>042</v>
          </cell>
          <cell r="C44" t="str">
            <v>Active</v>
          </cell>
          <cell r="D44" t="str">
            <v xml:space="preserve">Khed city </v>
          </cell>
          <cell r="E44" t="str">
            <v xml:space="preserve">Sinod Kumar </v>
          </cell>
          <cell r="F44" t="str">
            <v xml:space="preserve">Mishri Prasad maurya </v>
          </cell>
          <cell r="G44">
            <v>9373241478</v>
          </cell>
          <cell r="H44" t="str">
            <v>18-11-1996</v>
          </cell>
          <cell r="I44" t="str">
            <v>31-7-2026</v>
          </cell>
          <cell r="J44" t="str">
            <v xml:space="preserve">Semi-Skilled </v>
          </cell>
        </row>
        <row r="45">
          <cell r="B45" t="str">
            <v>043</v>
          </cell>
          <cell r="C45" t="str">
            <v>Active</v>
          </cell>
          <cell r="D45" t="str">
            <v xml:space="preserve">Khed city </v>
          </cell>
          <cell r="E45" t="str">
            <v xml:space="preserve">Somnath Sampat Gurav </v>
          </cell>
          <cell r="F45" t="str">
            <v xml:space="preserve">Sampat Gurav </v>
          </cell>
          <cell r="G45">
            <v>7038735335</v>
          </cell>
          <cell r="H45" t="str">
            <v>13-11-1995</v>
          </cell>
          <cell r="I45">
            <v>46030</v>
          </cell>
          <cell r="J45" t="str">
            <v xml:space="preserve">Semi-Skilled </v>
          </cell>
        </row>
        <row r="46">
          <cell r="B46" t="str">
            <v>044</v>
          </cell>
          <cell r="C46" t="str">
            <v>Active</v>
          </cell>
          <cell r="D46" t="str">
            <v xml:space="preserve">Khed city </v>
          </cell>
          <cell r="E46" t="str">
            <v>Dev Narayan Yadav</v>
          </cell>
          <cell r="F46" t="str">
            <v>Singasan Yadav</v>
          </cell>
          <cell r="G46">
            <v>9814618211</v>
          </cell>
          <cell r="H46">
            <v>32509</v>
          </cell>
          <cell r="I46">
            <v>46238</v>
          </cell>
          <cell r="J46" t="str">
            <v xml:space="preserve">Semi-Skilled </v>
          </cell>
        </row>
        <row r="47">
          <cell r="B47" t="str">
            <v>045</v>
          </cell>
          <cell r="C47" t="str">
            <v>LEFT</v>
          </cell>
          <cell r="D47" t="str">
            <v xml:space="preserve">Khed city </v>
          </cell>
          <cell r="E47" t="str">
            <v>Arjun Sen</v>
          </cell>
          <cell r="F47" t="str">
            <v>Samay Lal Sen</v>
          </cell>
          <cell r="G47">
            <v>9516721651</v>
          </cell>
          <cell r="H47">
            <v>32370</v>
          </cell>
          <cell r="J47" t="str">
            <v xml:space="preserve">Semi-Skilled </v>
          </cell>
        </row>
        <row r="48">
          <cell r="B48" t="str">
            <v>046</v>
          </cell>
          <cell r="C48" t="str">
            <v>Active</v>
          </cell>
          <cell r="D48" t="str">
            <v xml:space="preserve">Khed city </v>
          </cell>
          <cell r="E48" t="str">
            <v>Shubham Pandey</v>
          </cell>
          <cell r="F48" t="str">
            <v>Jagdish Prasad Pandey</v>
          </cell>
          <cell r="G48">
            <v>9343367550</v>
          </cell>
          <cell r="H48">
            <v>36729</v>
          </cell>
          <cell r="I48">
            <v>46250</v>
          </cell>
          <cell r="J48" t="str">
            <v xml:space="preserve">Semi-Skilled </v>
          </cell>
        </row>
        <row r="49">
          <cell r="B49" t="str">
            <v>047</v>
          </cell>
          <cell r="C49" t="str">
            <v>LEFT</v>
          </cell>
          <cell r="D49" t="str">
            <v xml:space="preserve">Khed city </v>
          </cell>
          <cell r="E49" t="str">
            <v>Roshan Baban Salave</v>
          </cell>
          <cell r="F49" t="str">
            <v>BaBan Sundar Salave</v>
          </cell>
          <cell r="G49">
            <v>7776025967</v>
          </cell>
          <cell r="H49">
            <v>37444</v>
          </cell>
          <cell r="J49" t="str">
            <v xml:space="preserve">Semi-Skilled </v>
          </cell>
        </row>
        <row r="50">
          <cell r="B50" t="str">
            <v>048</v>
          </cell>
          <cell r="C50" t="str">
            <v>Active</v>
          </cell>
          <cell r="D50" t="str">
            <v xml:space="preserve">Khed city </v>
          </cell>
          <cell r="E50" t="str">
            <v>Sudhir Sudam Mali</v>
          </cell>
          <cell r="F50" t="str">
            <v>Sudam Rambhau Mali</v>
          </cell>
          <cell r="G50">
            <v>7517604725</v>
          </cell>
          <cell r="H50">
            <v>34311</v>
          </cell>
          <cell r="I50">
            <v>46247</v>
          </cell>
          <cell r="J50" t="str">
            <v xml:space="preserve">Semi-Skilled </v>
          </cell>
        </row>
        <row r="51">
          <cell r="B51" t="str">
            <v>049</v>
          </cell>
          <cell r="C51" t="str">
            <v>LEFT</v>
          </cell>
          <cell r="D51" t="str">
            <v xml:space="preserve">Khed city </v>
          </cell>
          <cell r="E51" t="str">
            <v>Ravindra Namdev Thokal</v>
          </cell>
          <cell r="F51" t="str">
            <v>Namdev Thokal</v>
          </cell>
          <cell r="G51">
            <v>7722056694</v>
          </cell>
          <cell r="H51">
            <v>32653</v>
          </cell>
          <cell r="I51">
            <v>46247</v>
          </cell>
          <cell r="J51" t="str">
            <v xml:space="preserve">Semi-Skilled </v>
          </cell>
        </row>
        <row r="52">
          <cell r="B52" t="str">
            <v>050</v>
          </cell>
          <cell r="C52" t="str">
            <v>Active</v>
          </cell>
          <cell r="D52" t="str">
            <v xml:space="preserve">Khed city </v>
          </cell>
          <cell r="E52" t="str">
            <v>Pratik Pandurang Kadam</v>
          </cell>
          <cell r="F52" t="str">
            <v>Pandurang Kadam</v>
          </cell>
          <cell r="G52">
            <v>8668824826</v>
          </cell>
          <cell r="H52">
            <v>37522</v>
          </cell>
          <cell r="I52">
            <v>46247</v>
          </cell>
          <cell r="J52" t="str">
            <v xml:space="preserve">Semi-Skilled </v>
          </cell>
        </row>
        <row r="53">
          <cell r="B53" t="str">
            <v>051</v>
          </cell>
          <cell r="C53" t="str">
            <v>LEFT</v>
          </cell>
          <cell r="D53" t="str">
            <v xml:space="preserve">Khed city </v>
          </cell>
          <cell r="E53" t="str">
            <v>Bandu Bhaskar Pawar</v>
          </cell>
          <cell r="F53" t="str">
            <v>Bhaskar Pawar</v>
          </cell>
          <cell r="G53">
            <v>9875132664</v>
          </cell>
          <cell r="H53">
            <v>35065</v>
          </cell>
          <cell r="I53">
            <v>46247</v>
          </cell>
          <cell r="J53" t="str">
            <v xml:space="preserve">Semi-Skilled </v>
          </cell>
        </row>
        <row r="54">
          <cell r="B54" t="str">
            <v>052</v>
          </cell>
          <cell r="C54" t="str">
            <v>LEFT</v>
          </cell>
          <cell r="D54" t="str">
            <v xml:space="preserve">Khed city </v>
          </cell>
          <cell r="E54" t="str">
            <v>Kartik Pundlik Pawar</v>
          </cell>
          <cell r="F54" t="str">
            <v>Pundlik Pawar</v>
          </cell>
          <cell r="G54">
            <v>9226988064</v>
          </cell>
          <cell r="H54">
            <v>38885</v>
          </cell>
          <cell r="I54">
            <v>46247</v>
          </cell>
          <cell r="J54" t="str">
            <v xml:space="preserve">Semi-Skilled </v>
          </cell>
        </row>
        <row r="55">
          <cell r="B55" t="str">
            <v>053</v>
          </cell>
          <cell r="C55" t="str">
            <v>Active</v>
          </cell>
          <cell r="D55" t="str">
            <v xml:space="preserve">Khed city </v>
          </cell>
          <cell r="E55" t="str">
            <v>Ganesh Balaso Deshmukh</v>
          </cell>
          <cell r="F55" t="str">
            <v>Balaso Vithoba Deshmukh</v>
          </cell>
          <cell r="G55">
            <v>8010323016</v>
          </cell>
          <cell r="H55">
            <v>35337</v>
          </cell>
          <cell r="I55">
            <v>46247</v>
          </cell>
          <cell r="J55" t="str">
            <v xml:space="preserve">Semi-Skilled </v>
          </cell>
        </row>
        <row r="56">
          <cell r="B56" t="str">
            <v>054</v>
          </cell>
          <cell r="C56" t="str">
            <v>LEFT</v>
          </cell>
          <cell r="D56" t="str">
            <v xml:space="preserve">Khed city </v>
          </cell>
          <cell r="E56" t="str">
            <v>Dattatray Somnath Bharati</v>
          </cell>
          <cell r="F56" t="str">
            <v>Somnath Babu Bharati</v>
          </cell>
          <cell r="G56">
            <v>9356383181</v>
          </cell>
          <cell r="H56">
            <v>33558</v>
          </cell>
          <cell r="J56" t="str">
            <v xml:space="preserve">Semi-Skilled </v>
          </cell>
        </row>
        <row r="57">
          <cell r="B57" t="str">
            <v>055</v>
          </cell>
          <cell r="C57" t="str">
            <v>Active</v>
          </cell>
          <cell r="D57" t="str">
            <v xml:space="preserve">Khed city </v>
          </cell>
          <cell r="E57" t="str">
            <v>Khandu Devram Shingade</v>
          </cell>
          <cell r="F57" t="str">
            <v>Devram Shingade</v>
          </cell>
          <cell r="G57">
            <v>8691836586</v>
          </cell>
          <cell r="H57">
            <v>32876</v>
          </cell>
          <cell r="I57">
            <v>46246</v>
          </cell>
          <cell r="J57" t="str">
            <v xml:space="preserve">Semi-Skilled </v>
          </cell>
        </row>
        <row r="58">
          <cell r="B58" t="str">
            <v>056</v>
          </cell>
          <cell r="C58" t="str">
            <v>Active</v>
          </cell>
          <cell r="D58" t="str">
            <v xml:space="preserve">Khed city </v>
          </cell>
          <cell r="E58" t="str">
            <v>Vishal Nitin Shelke</v>
          </cell>
          <cell r="F58" t="str">
            <v>Nitin Shelke</v>
          </cell>
          <cell r="G58">
            <v>8483822016</v>
          </cell>
          <cell r="H58">
            <v>38924</v>
          </cell>
          <cell r="I58">
            <v>46246</v>
          </cell>
          <cell r="J58" t="str">
            <v xml:space="preserve">Semi-Skilled </v>
          </cell>
        </row>
        <row r="59">
          <cell r="B59" t="str">
            <v>057</v>
          </cell>
          <cell r="C59" t="str">
            <v>Active</v>
          </cell>
          <cell r="D59" t="str">
            <v xml:space="preserve">Khed city </v>
          </cell>
          <cell r="E59" t="str">
            <v xml:space="preserve">Ram Sewak </v>
          </cell>
          <cell r="F59" t="str">
            <v>Ramashary</v>
          </cell>
          <cell r="G59">
            <v>9561702010</v>
          </cell>
          <cell r="H59">
            <v>27576</v>
          </cell>
          <cell r="I59">
            <v>46239</v>
          </cell>
          <cell r="J59" t="str">
            <v xml:space="preserve">Semi-Skilled </v>
          </cell>
        </row>
        <row r="60">
          <cell r="B60" t="str">
            <v>058</v>
          </cell>
          <cell r="C60" t="str">
            <v>LEFT</v>
          </cell>
          <cell r="D60" t="str">
            <v xml:space="preserve">Khed city </v>
          </cell>
          <cell r="E60" t="str">
            <v>Md Ali</v>
          </cell>
          <cell r="F60" t="str">
            <v>Ebarar Ali</v>
          </cell>
          <cell r="G60">
            <v>8887559722</v>
          </cell>
          <cell r="H60">
            <v>37622</v>
          </cell>
          <cell r="J60" t="str">
            <v xml:space="preserve">Semi-Skilled </v>
          </cell>
        </row>
        <row r="61">
          <cell r="B61" t="str">
            <v>059</v>
          </cell>
          <cell r="C61" t="str">
            <v>Active</v>
          </cell>
          <cell r="D61" t="str">
            <v xml:space="preserve">Khed city </v>
          </cell>
          <cell r="E61" t="str">
            <v>Nikhil Balu Koli</v>
          </cell>
          <cell r="F61" t="str">
            <v>Balu Koli</v>
          </cell>
          <cell r="G61">
            <v>7028931668</v>
          </cell>
          <cell r="H61">
            <v>38140</v>
          </cell>
          <cell r="I61">
            <v>46247</v>
          </cell>
          <cell r="J61" t="str">
            <v xml:space="preserve">Semi-Skilled </v>
          </cell>
        </row>
        <row r="62">
          <cell r="B62" t="str">
            <v>060</v>
          </cell>
          <cell r="C62" t="str">
            <v>LEFT</v>
          </cell>
          <cell r="D62" t="str">
            <v xml:space="preserve">Khed city </v>
          </cell>
          <cell r="E62" t="str">
            <v>Saksham Satish Thite</v>
          </cell>
          <cell r="F62" t="str">
            <v>Satish Thite</v>
          </cell>
          <cell r="G62">
            <v>7821906537</v>
          </cell>
          <cell r="H62">
            <v>38847</v>
          </cell>
          <cell r="I62">
            <v>46247</v>
          </cell>
          <cell r="J62" t="str">
            <v xml:space="preserve">Semi-Skilled </v>
          </cell>
        </row>
        <row r="63">
          <cell r="B63" t="str">
            <v>061</v>
          </cell>
          <cell r="C63" t="str">
            <v>Active</v>
          </cell>
          <cell r="D63" t="str">
            <v xml:space="preserve">Khed city </v>
          </cell>
          <cell r="E63" t="str">
            <v>Ranjit Umesh Rathod</v>
          </cell>
          <cell r="F63" t="str">
            <v>Umesh Rathod</v>
          </cell>
          <cell r="G63">
            <v>9325332360</v>
          </cell>
          <cell r="H63">
            <v>38101</v>
          </cell>
          <cell r="I63">
            <v>46252</v>
          </cell>
          <cell r="J63" t="str">
            <v xml:space="preserve">Semi-Skilled </v>
          </cell>
        </row>
        <row r="64">
          <cell r="B64" t="str">
            <v>062</v>
          </cell>
          <cell r="C64" t="str">
            <v>Active</v>
          </cell>
          <cell r="D64" t="str">
            <v xml:space="preserve">Khed city </v>
          </cell>
          <cell r="E64" t="str">
            <v>Gopal Bhaurao Chavhan</v>
          </cell>
          <cell r="F64" t="str">
            <v>Bhaurao Atmaram Chavhan</v>
          </cell>
          <cell r="G64">
            <v>8010137787</v>
          </cell>
          <cell r="H64">
            <v>38090</v>
          </cell>
          <cell r="I64">
            <v>46252</v>
          </cell>
          <cell r="J64" t="str">
            <v xml:space="preserve">Semi-Skilled </v>
          </cell>
        </row>
        <row r="65">
          <cell r="B65" t="str">
            <v>063</v>
          </cell>
          <cell r="C65" t="str">
            <v>Active</v>
          </cell>
          <cell r="D65" t="str">
            <v xml:space="preserve">Khed city </v>
          </cell>
          <cell r="E65" t="str">
            <v>Shripal Bhavrav Chavhan</v>
          </cell>
          <cell r="F65" t="str">
            <v>Bhavrav Chavhan</v>
          </cell>
          <cell r="G65">
            <v>9021326792</v>
          </cell>
          <cell r="H65">
            <v>39678</v>
          </cell>
          <cell r="I65">
            <v>46252</v>
          </cell>
          <cell r="J65" t="str">
            <v xml:space="preserve">Semi-Skilled </v>
          </cell>
        </row>
        <row r="66">
          <cell r="B66" t="str">
            <v>064</v>
          </cell>
          <cell r="C66" t="str">
            <v>Active</v>
          </cell>
          <cell r="D66" t="str">
            <v xml:space="preserve">Khed city </v>
          </cell>
          <cell r="E66" t="str">
            <v>Ulhas Mahadev Ovhal</v>
          </cell>
          <cell r="F66" t="str">
            <v>Mahadev Ovhal</v>
          </cell>
          <cell r="G66">
            <v>7028530128</v>
          </cell>
          <cell r="H66">
            <v>30132</v>
          </cell>
          <cell r="I66">
            <v>46252</v>
          </cell>
          <cell r="J66" t="str">
            <v xml:space="preserve">Semi-Skilled </v>
          </cell>
        </row>
        <row r="67">
          <cell r="B67" t="str">
            <v>065</v>
          </cell>
          <cell r="C67" t="str">
            <v>Active</v>
          </cell>
          <cell r="D67" t="str">
            <v xml:space="preserve">Khed city </v>
          </cell>
          <cell r="E67" t="str">
            <v>Sahil Shashikant Waghmare</v>
          </cell>
          <cell r="F67" t="str">
            <v>Savita Shashikant Waghmare</v>
          </cell>
          <cell r="G67">
            <v>7499838094</v>
          </cell>
          <cell r="H67">
            <v>39483</v>
          </cell>
          <cell r="I67">
            <v>46246</v>
          </cell>
          <cell r="J67" t="str">
            <v xml:space="preserve">Semi-Skilled </v>
          </cell>
        </row>
        <row r="68">
          <cell r="B68" t="str">
            <v>066</v>
          </cell>
          <cell r="C68" t="str">
            <v>Active</v>
          </cell>
          <cell r="D68" t="str">
            <v xml:space="preserve">Khed city </v>
          </cell>
          <cell r="E68" t="str">
            <v>Mohit Kumar</v>
          </cell>
          <cell r="F68" t="str">
            <v>Tulan Prasad</v>
          </cell>
          <cell r="G68">
            <v>7985779329</v>
          </cell>
          <cell r="H68">
            <v>38057</v>
          </cell>
          <cell r="I68">
            <v>46238</v>
          </cell>
          <cell r="J68" t="str">
            <v xml:space="preserve">Semi-Skilled </v>
          </cell>
        </row>
        <row r="69">
          <cell r="B69" t="str">
            <v>067</v>
          </cell>
          <cell r="C69" t="str">
            <v>Active</v>
          </cell>
          <cell r="D69" t="str">
            <v xml:space="preserve">Khed city </v>
          </cell>
          <cell r="E69" t="str">
            <v>Sandeep Kumar Dwivedi</v>
          </cell>
          <cell r="F69" t="str">
            <v>Vijay Kumar Dwivedi</v>
          </cell>
          <cell r="G69">
            <v>6265279403</v>
          </cell>
          <cell r="H69">
            <v>35718</v>
          </cell>
          <cell r="I69">
            <v>46251</v>
          </cell>
          <cell r="J69" t="str">
            <v xml:space="preserve">Semi-Skilled </v>
          </cell>
        </row>
        <row r="70">
          <cell r="B70" t="str">
            <v>068</v>
          </cell>
          <cell r="C70" t="str">
            <v>Active</v>
          </cell>
          <cell r="D70" t="str">
            <v xml:space="preserve">Khed city </v>
          </cell>
          <cell r="E70" t="str">
            <v>Hanumant Pardhi</v>
          </cell>
          <cell r="F70" t="str">
            <v>Digambar Pardhi</v>
          </cell>
          <cell r="G70">
            <v>9822609610</v>
          </cell>
          <cell r="H70">
            <v>35847</v>
          </cell>
          <cell r="I70">
            <v>46085</v>
          </cell>
          <cell r="J70" t="str">
            <v xml:space="preserve">Semi-Skilled </v>
          </cell>
        </row>
        <row r="71">
          <cell r="B71" t="str">
            <v>069</v>
          </cell>
          <cell r="C71" t="str">
            <v>Active</v>
          </cell>
          <cell r="D71" t="str">
            <v xml:space="preserve">Khed city </v>
          </cell>
          <cell r="E71" t="str">
            <v>Sharad Shinde</v>
          </cell>
          <cell r="F71" t="str">
            <v>Kisan Shinde</v>
          </cell>
          <cell r="G71">
            <v>9146628361</v>
          </cell>
          <cell r="H71">
            <v>38698</v>
          </cell>
          <cell r="I71">
            <v>46238</v>
          </cell>
          <cell r="J71" t="str">
            <v xml:space="preserve">Semi-Skilled </v>
          </cell>
        </row>
        <row r="72">
          <cell r="B72" t="str">
            <v>070</v>
          </cell>
          <cell r="C72" t="str">
            <v>Active</v>
          </cell>
          <cell r="D72" t="str">
            <v xml:space="preserve">Khed city </v>
          </cell>
          <cell r="E72" t="str">
            <v>Kunal Tijge</v>
          </cell>
          <cell r="F72" t="str">
            <v>Kundlik Tijge</v>
          </cell>
          <cell r="G72">
            <v>8459538765</v>
          </cell>
          <cell r="H72">
            <v>37915</v>
          </cell>
          <cell r="I72">
            <v>46246</v>
          </cell>
          <cell r="J72" t="str">
            <v xml:space="preserve">Semi-Skilled </v>
          </cell>
        </row>
        <row r="73">
          <cell r="B73" t="str">
            <v>071</v>
          </cell>
          <cell r="C73" t="str">
            <v>Active</v>
          </cell>
          <cell r="D73" t="str">
            <v xml:space="preserve">Khed city </v>
          </cell>
          <cell r="E73" t="str">
            <v>Jitendra Chavhan</v>
          </cell>
          <cell r="F73" t="str">
            <v>Hiralal Chavhan</v>
          </cell>
          <cell r="G73">
            <v>9022140232</v>
          </cell>
          <cell r="H73">
            <v>39630</v>
          </cell>
          <cell r="I73">
            <v>46247</v>
          </cell>
          <cell r="J73" t="str">
            <v xml:space="preserve">Semi-Skilled </v>
          </cell>
        </row>
        <row r="74">
          <cell r="B74" t="str">
            <v>072</v>
          </cell>
          <cell r="C74" t="str">
            <v>Active</v>
          </cell>
          <cell r="D74" t="str">
            <v xml:space="preserve">Khed city </v>
          </cell>
          <cell r="E74" t="str">
            <v>Manoj Raghu Raj</v>
          </cell>
          <cell r="F74" t="str">
            <v>Raghu Raj</v>
          </cell>
          <cell r="G74">
            <v>6393030295</v>
          </cell>
          <cell r="H74">
            <v>35988</v>
          </cell>
          <cell r="I74">
            <v>46254</v>
          </cell>
          <cell r="J74" t="str">
            <v xml:space="preserve">Semi-Skilled </v>
          </cell>
        </row>
        <row r="75">
          <cell r="B75" t="str">
            <v>073</v>
          </cell>
          <cell r="C75" t="str">
            <v>Active</v>
          </cell>
          <cell r="D75" t="str">
            <v xml:space="preserve">Khed city </v>
          </cell>
          <cell r="E75" t="str">
            <v>Saigaraj Madhukar Bhagat</v>
          </cell>
          <cell r="F75" t="str">
            <v>Madhukar Bhagat</v>
          </cell>
          <cell r="G75">
            <v>9158527503</v>
          </cell>
          <cell r="H75">
            <v>38442</v>
          </cell>
          <cell r="I75">
            <v>46254</v>
          </cell>
          <cell r="J75" t="str">
            <v xml:space="preserve">Semi-Skilled </v>
          </cell>
        </row>
        <row r="76">
          <cell r="B76" t="str">
            <v>074</v>
          </cell>
          <cell r="C76" t="str">
            <v>Active</v>
          </cell>
          <cell r="D76" t="str">
            <v xml:space="preserve">Khed city </v>
          </cell>
          <cell r="E76" t="str">
            <v>Tejas Santosh Hole</v>
          </cell>
          <cell r="F76" t="str">
            <v>Santosh Hole</v>
          </cell>
          <cell r="G76">
            <v>7758873689</v>
          </cell>
          <cell r="H76">
            <v>38508</v>
          </cell>
          <cell r="I76">
            <v>46254</v>
          </cell>
          <cell r="J76" t="str">
            <v xml:space="preserve">Semi-Skilled </v>
          </cell>
        </row>
        <row r="77">
          <cell r="B77" t="str">
            <v>075</v>
          </cell>
          <cell r="C77" t="str">
            <v>Active</v>
          </cell>
          <cell r="D77" t="str">
            <v xml:space="preserve">Khed city </v>
          </cell>
          <cell r="E77" t="str">
            <v>Shashikant Ramdas Chitalkar</v>
          </cell>
          <cell r="F77" t="str">
            <v>Ramdas Chitalkar</v>
          </cell>
          <cell r="G77">
            <v>9766558844</v>
          </cell>
          <cell r="H77">
            <v>32033</v>
          </cell>
          <cell r="I77">
            <v>46254</v>
          </cell>
          <cell r="J77" t="str">
            <v xml:space="preserve">Semi-Skilled </v>
          </cell>
        </row>
        <row r="78">
          <cell r="B78" t="str">
            <v>076</v>
          </cell>
          <cell r="C78" t="str">
            <v>Active</v>
          </cell>
          <cell r="D78" t="str">
            <v xml:space="preserve">Khed city </v>
          </cell>
          <cell r="E78" t="str">
            <v>Om Dnyaneshwar Kashid</v>
          </cell>
          <cell r="F78" t="str">
            <v>Dnyaneshwar Kashid</v>
          </cell>
          <cell r="G78">
            <v>8766689050</v>
          </cell>
          <cell r="H78">
            <v>38513</v>
          </cell>
          <cell r="I78">
            <v>46254</v>
          </cell>
          <cell r="J78" t="str">
            <v xml:space="preserve">Semi-Skilled </v>
          </cell>
        </row>
        <row r="79">
          <cell r="B79" t="str">
            <v>077</v>
          </cell>
          <cell r="C79" t="str">
            <v>Active</v>
          </cell>
          <cell r="D79" t="str">
            <v xml:space="preserve">Khed city </v>
          </cell>
          <cell r="E79" t="str">
            <v>Sachin Jalindar Bharti</v>
          </cell>
          <cell r="F79" t="str">
            <v>Jalindar Bharti</v>
          </cell>
          <cell r="G79">
            <v>9421478624</v>
          </cell>
          <cell r="H79">
            <v>31562</v>
          </cell>
          <cell r="I79">
            <v>46254</v>
          </cell>
          <cell r="J79" t="str">
            <v xml:space="preserve">Semi-Skilled </v>
          </cell>
        </row>
        <row r="80">
          <cell r="B80" t="str">
            <v>078</v>
          </cell>
          <cell r="C80" t="str">
            <v>Active</v>
          </cell>
          <cell r="D80" t="str">
            <v xml:space="preserve">Khed city </v>
          </cell>
          <cell r="E80" t="str">
            <v>Pranav Ramdas Hole</v>
          </cell>
          <cell r="F80" t="str">
            <v>Ramdas Hole</v>
          </cell>
          <cell r="G80">
            <v>8237930726</v>
          </cell>
          <cell r="H80">
            <v>38224</v>
          </cell>
          <cell r="I80">
            <v>46253</v>
          </cell>
          <cell r="J80" t="str">
            <v xml:space="preserve">Semi-Skilled </v>
          </cell>
        </row>
        <row r="81">
          <cell r="B81" t="str">
            <v>079</v>
          </cell>
          <cell r="C81" t="str">
            <v>Active</v>
          </cell>
          <cell r="D81" t="str">
            <v xml:space="preserve">Khed city </v>
          </cell>
          <cell r="E81" t="str">
            <v>Avinash Nathu Khande</v>
          </cell>
          <cell r="F81" t="str">
            <v>Nathu Khande</v>
          </cell>
          <cell r="G81">
            <v>8459879146</v>
          </cell>
          <cell r="H81">
            <v>38762</v>
          </cell>
          <cell r="I81">
            <v>46259</v>
          </cell>
          <cell r="J81" t="str">
            <v xml:space="preserve">Semi-Skilled </v>
          </cell>
        </row>
        <row r="82">
          <cell r="B82" t="str">
            <v>080</v>
          </cell>
          <cell r="C82" t="str">
            <v>Active</v>
          </cell>
          <cell r="D82" t="str">
            <v xml:space="preserve">Khed city </v>
          </cell>
          <cell r="E82" t="str">
            <v>Rahul Anil Khande</v>
          </cell>
          <cell r="F82" t="str">
            <v>Anil Khande</v>
          </cell>
          <cell r="G82">
            <v>9130575130</v>
          </cell>
          <cell r="H82">
            <v>38699</v>
          </cell>
          <cell r="I82">
            <v>46259</v>
          </cell>
          <cell r="J82" t="str">
            <v xml:space="preserve">Semi-Skilled </v>
          </cell>
        </row>
        <row r="83">
          <cell r="B83" t="str">
            <v>081</v>
          </cell>
          <cell r="C83" t="str">
            <v>Active</v>
          </cell>
          <cell r="D83" t="str">
            <v xml:space="preserve">Khed city </v>
          </cell>
          <cell r="E83" t="str">
            <v>Anuj Kumar</v>
          </cell>
          <cell r="F83" t="str">
            <v>Ram Tavankal</v>
          </cell>
          <cell r="G83">
            <v>8429283335</v>
          </cell>
          <cell r="H83">
            <v>37966</v>
          </cell>
          <cell r="I83">
            <v>46259</v>
          </cell>
          <cell r="J83" t="str">
            <v xml:space="preserve">Semi-Skilled </v>
          </cell>
        </row>
        <row r="84">
          <cell r="B84" t="str">
            <v>082</v>
          </cell>
          <cell r="C84" t="str">
            <v>Active</v>
          </cell>
          <cell r="D84" t="str">
            <v xml:space="preserve">Khed city </v>
          </cell>
          <cell r="E84" t="str">
            <v>Dipak Khandu Borhade</v>
          </cell>
          <cell r="F84" t="str">
            <v>Khandu Borhade</v>
          </cell>
          <cell r="G84">
            <v>8767083306</v>
          </cell>
          <cell r="H84">
            <v>39380</v>
          </cell>
          <cell r="I84">
            <v>46258</v>
          </cell>
          <cell r="J84" t="str">
            <v xml:space="preserve">Semi-Skilled </v>
          </cell>
        </row>
        <row r="85">
          <cell r="B85" t="str">
            <v>083</v>
          </cell>
          <cell r="C85" t="str">
            <v>Active</v>
          </cell>
          <cell r="D85" t="str">
            <v xml:space="preserve">Khed city </v>
          </cell>
          <cell r="E85" t="str">
            <v>Aniket Bharat Korade</v>
          </cell>
          <cell r="F85" t="str">
            <v>Bharat Korade</v>
          </cell>
          <cell r="G85">
            <v>8766076530</v>
          </cell>
          <cell r="H85">
            <v>38908</v>
          </cell>
          <cell r="I85">
            <v>46258</v>
          </cell>
          <cell r="J85" t="str">
            <v xml:space="preserve">Semi-Skilled </v>
          </cell>
        </row>
        <row r="86">
          <cell r="B86" t="str">
            <v>084</v>
          </cell>
          <cell r="C86" t="str">
            <v>LEFT</v>
          </cell>
          <cell r="D86" t="str">
            <v xml:space="preserve">Khed city </v>
          </cell>
          <cell r="E86" t="str">
            <v>Sagar Umakant Lokhnade</v>
          </cell>
          <cell r="F86" t="str">
            <v>Umakant Lokhnade</v>
          </cell>
          <cell r="G86">
            <v>9529112318</v>
          </cell>
          <cell r="H86">
            <v>38699</v>
          </cell>
          <cell r="I86">
            <v>46258</v>
          </cell>
          <cell r="J86" t="str">
            <v xml:space="preserve">Semi-Skilled </v>
          </cell>
        </row>
        <row r="87">
          <cell r="B87" t="str">
            <v>085</v>
          </cell>
          <cell r="C87" t="str">
            <v>Active</v>
          </cell>
          <cell r="D87" t="str">
            <v xml:space="preserve">Khed city </v>
          </cell>
          <cell r="E87" t="str">
            <v>Sachin Tulshiram Bhojane</v>
          </cell>
          <cell r="F87" t="str">
            <v>Tulshiram Bhojane</v>
          </cell>
          <cell r="G87">
            <v>9284138236</v>
          </cell>
          <cell r="H87">
            <v>35540</v>
          </cell>
          <cell r="I87">
            <v>46258</v>
          </cell>
          <cell r="J87" t="str">
            <v xml:space="preserve">Semi-Skilled </v>
          </cell>
        </row>
        <row r="88">
          <cell r="B88" t="str">
            <v>086</v>
          </cell>
          <cell r="C88" t="str">
            <v>Active</v>
          </cell>
          <cell r="D88" t="str">
            <v xml:space="preserve">Khed city </v>
          </cell>
          <cell r="E88" t="str">
            <v>Jitendra Devram Burud</v>
          </cell>
          <cell r="F88" t="str">
            <v>Devram Burud</v>
          </cell>
          <cell r="G88">
            <v>9821070574</v>
          </cell>
          <cell r="H88">
            <v>30875</v>
          </cell>
          <cell r="I88">
            <v>46258</v>
          </cell>
          <cell r="J88" t="str">
            <v xml:space="preserve">Semi-Skilled </v>
          </cell>
        </row>
        <row r="89">
          <cell r="B89" t="str">
            <v>087</v>
          </cell>
          <cell r="C89" t="str">
            <v>Active</v>
          </cell>
          <cell r="D89" t="str">
            <v xml:space="preserve">Khed city </v>
          </cell>
          <cell r="E89" t="str">
            <v>Muneshwar Mandal</v>
          </cell>
          <cell r="F89" t="str">
            <v>Mahesh Mandal</v>
          </cell>
          <cell r="G89">
            <v>6200281466</v>
          </cell>
          <cell r="H89">
            <v>32996</v>
          </cell>
          <cell r="I89">
            <v>46259</v>
          </cell>
          <cell r="J89" t="str">
            <v xml:space="preserve">Semi-Skilled </v>
          </cell>
        </row>
        <row r="90">
          <cell r="B90" t="str">
            <v>088</v>
          </cell>
          <cell r="C90" t="str">
            <v>Active</v>
          </cell>
          <cell r="D90" t="str">
            <v xml:space="preserve">Khed city </v>
          </cell>
          <cell r="E90" t="str">
            <v>Karan Pintu Shinde</v>
          </cell>
          <cell r="F90" t="str">
            <v>Pintu Shinde</v>
          </cell>
          <cell r="G90">
            <v>8261097540</v>
          </cell>
          <cell r="H90">
            <v>38368</v>
          </cell>
          <cell r="I90">
            <v>46258</v>
          </cell>
          <cell r="J90" t="str">
            <v xml:space="preserve">Semi-Skilled </v>
          </cell>
        </row>
        <row r="91">
          <cell r="B91" t="str">
            <v>089</v>
          </cell>
          <cell r="C91" t="str">
            <v>Active</v>
          </cell>
          <cell r="D91" t="str">
            <v xml:space="preserve">Khed city </v>
          </cell>
          <cell r="E91" t="str">
            <v>Hanumant Digambar Pardhi</v>
          </cell>
          <cell r="F91" t="str">
            <v>Digambar Pardhi</v>
          </cell>
          <cell r="G91">
            <v>9822609610</v>
          </cell>
          <cell r="H91">
            <v>35847</v>
          </cell>
          <cell r="J91" t="str">
            <v xml:space="preserve">Semi-Skilled </v>
          </cell>
        </row>
        <row r="92">
          <cell r="B92" t="str">
            <v>090</v>
          </cell>
          <cell r="C92" t="str">
            <v>Active</v>
          </cell>
          <cell r="D92" t="str">
            <v xml:space="preserve">Khed city </v>
          </cell>
          <cell r="E92" t="str">
            <v>Ramdas Sambhaji Shinde</v>
          </cell>
          <cell r="F92" t="str">
            <v>Sambhaji Shinde</v>
          </cell>
          <cell r="G92">
            <v>7776946507</v>
          </cell>
          <cell r="H92">
            <v>34474</v>
          </cell>
          <cell r="J92" t="str">
            <v xml:space="preserve">Semi-Skilled </v>
          </cell>
        </row>
        <row r="93">
          <cell r="B93" t="str">
            <v>091</v>
          </cell>
          <cell r="C93" t="str">
            <v>Active</v>
          </cell>
          <cell r="D93" t="str">
            <v xml:space="preserve">Khed city </v>
          </cell>
          <cell r="E93" t="str">
            <v>Hitesh Balasaheb Kanhurkar</v>
          </cell>
          <cell r="F93" t="str">
            <v>Balasaheb Kanhurkar</v>
          </cell>
          <cell r="G93">
            <v>9921493914</v>
          </cell>
          <cell r="H93">
            <v>33650</v>
          </cell>
          <cell r="I93">
            <v>46259</v>
          </cell>
          <cell r="J93" t="str">
            <v xml:space="preserve">Semi-Skilled </v>
          </cell>
        </row>
        <row r="94">
          <cell r="B94" t="str">
            <v>092</v>
          </cell>
          <cell r="C94" t="str">
            <v>Active</v>
          </cell>
          <cell r="D94" t="str">
            <v xml:space="preserve">Khed city </v>
          </cell>
          <cell r="E94" t="str">
            <v>Sahil Sanjay Gawade</v>
          </cell>
          <cell r="F94" t="str">
            <v>Sanjay Gawade</v>
          </cell>
          <cell r="G94">
            <v>7666025647</v>
          </cell>
          <cell r="H94">
            <v>38779</v>
          </cell>
          <cell r="I94">
            <v>46259</v>
          </cell>
          <cell r="J94" t="str">
            <v xml:space="preserve">Semi-Skilled </v>
          </cell>
        </row>
        <row r="95">
          <cell r="B95" t="str">
            <v>093</v>
          </cell>
          <cell r="C95" t="str">
            <v>Active</v>
          </cell>
          <cell r="D95" t="str">
            <v xml:space="preserve">Khed city </v>
          </cell>
          <cell r="E95" t="str">
            <v>Pratik Dnyaneshwar Thite</v>
          </cell>
          <cell r="F95" t="str">
            <v>Dnyaneshwar Thite</v>
          </cell>
          <cell r="G95">
            <v>7208453495</v>
          </cell>
          <cell r="H95">
            <v>36788</v>
          </cell>
          <cell r="I95">
            <v>46266</v>
          </cell>
          <cell r="J95" t="str">
            <v xml:space="preserve">Semi-Skilled </v>
          </cell>
        </row>
        <row r="96">
          <cell r="B96" t="str">
            <v>094</v>
          </cell>
          <cell r="C96" t="str">
            <v>Active</v>
          </cell>
          <cell r="D96" t="str">
            <v xml:space="preserve">Khed city </v>
          </cell>
          <cell r="E96" t="str">
            <v>Mujalmin Shafi Inamdar</v>
          </cell>
          <cell r="F96" t="str">
            <v>Shafi Inamdar</v>
          </cell>
          <cell r="G96">
            <v>7666175859</v>
          </cell>
          <cell r="H96">
            <v>38783</v>
          </cell>
          <cell r="I96">
            <v>46259</v>
          </cell>
          <cell r="J96" t="str">
            <v xml:space="preserve">Semi-Skilled </v>
          </cell>
        </row>
        <row r="97">
          <cell r="B97" t="str">
            <v>095</v>
          </cell>
          <cell r="C97" t="str">
            <v>Active</v>
          </cell>
          <cell r="D97" t="str">
            <v xml:space="preserve">Khed city </v>
          </cell>
          <cell r="E97" t="str">
            <v>Rohidas Prakash Shinde</v>
          </cell>
          <cell r="F97" t="str">
            <v>Prakash Shinde</v>
          </cell>
          <cell r="G97">
            <v>9112279447</v>
          </cell>
          <cell r="H97">
            <v>35786</v>
          </cell>
          <cell r="I97">
            <v>46259</v>
          </cell>
          <cell r="J97" t="str">
            <v xml:space="preserve">Semi-Skilled </v>
          </cell>
        </row>
        <row r="98">
          <cell r="B98" t="str">
            <v>096</v>
          </cell>
          <cell r="C98" t="str">
            <v>Active</v>
          </cell>
          <cell r="D98" t="str">
            <v xml:space="preserve">Khed city </v>
          </cell>
          <cell r="E98" t="str">
            <v>Mayur Vijay Shinde</v>
          </cell>
          <cell r="F98" t="str">
            <v>Vijay Shinde</v>
          </cell>
          <cell r="G98">
            <v>9763745510</v>
          </cell>
          <cell r="H98">
            <v>36462</v>
          </cell>
          <cell r="I98">
            <v>46258</v>
          </cell>
          <cell r="J98" t="str">
            <v xml:space="preserve">Semi-Skilled </v>
          </cell>
        </row>
        <row r="99">
          <cell r="B99" t="str">
            <v>097</v>
          </cell>
          <cell r="C99" t="str">
            <v>Active</v>
          </cell>
          <cell r="D99" t="str">
            <v xml:space="preserve">Khed city </v>
          </cell>
          <cell r="E99" t="str">
            <v>Jaihind Kumar</v>
          </cell>
          <cell r="F99" t="str">
            <v>Jharkhandey Prasad</v>
          </cell>
          <cell r="G99">
            <v>9910718006</v>
          </cell>
          <cell r="H99">
            <v>32982</v>
          </cell>
          <cell r="I99">
            <v>46261</v>
          </cell>
          <cell r="J99" t="str">
            <v xml:space="preserve">Semi-Skilled </v>
          </cell>
        </row>
        <row r="100">
          <cell r="B100" t="str">
            <v>098</v>
          </cell>
          <cell r="C100" t="str">
            <v>Active</v>
          </cell>
          <cell r="D100" t="str">
            <v xml:space="preserve">Khed city </v>
          </cell>
          <cell r="E100" t="str">
            <v>Ankit Singh</v>
          </cell>
          <cell r="F100" t="str">
            <v>Dinesh Singh</v>
          </cell>
          <cell r="G100">
            <v>8090505547</v>
          </cell>
          <cell r="H100">
            <v>36924</v>
          </cell>
          <cell r="I100">
            <v>46261</v>
          </cell>
          <cell r="J100" t="str">
            <v xml:space="preserve">Semi-Skilled </v>
          </cell>
        </row>
        <row r="101">
          <cell r="B101" t="str">
            <v>099</v>
          </cell>
          <cell r="C101" t="str">
            <v>Active</v>
          </cell>
          <cell r="D101" t="str">
            <v xml:space="preserve">Khed city </v>
          </cell>
          <cell r="E101" t="str">
            <v>Sanjay Chhagan Kanhurkar</v>
          </cell>
          <cell r="F101" t="str">
            <v>Chhagan Kanhurkar</v>
          </cell>
          <cell r="G101">
            <v>9561739070</v>
          </cell>
          <cell r="H101">
            <v>33753</v>
          </cell>
          <cell r="I101">
            <v>46246</v>
          </cell>
          <cell r="J101" t="str">
            <v xml:space="preserve">Semi-Skilled </v>
          </cell>
        </row>
        <row r="102">
          <cell r="B102">
            <v>100</v>
          </cell>
          <cell r="C102" t="str">
            <v>Active</v>
          </cell>
          <cell r="D102" t="str">
            <v xml:space="preserve">Khed city </v>
          </cell>
          <cell r="E102" t="str">
            <v>Amarjeet Atmaz Barbadin</v>
          </cell>
          <cell r="F102" t="str">
            <v>Atmaz Barbadin</v>
          </cell>
          <cell r="G102">
            <v>6389004132</v>
          </cell>
          <cell r="H102">
            <v>31909</v>
          </cell>
          <cell r="I102">
            <v>46266</v>
          </cell>
          <cell r="J102" t="str">
            <v xml:space="preserve">Semi-Skilled </v>
          </cell>
        </row>
        <row r="103">
          <cell r="B103">
            <v>101</v>
          </cell>
          <cell r="C103" t="str">
            <v>Active</v>
          </cell>
          <cell r="D103" t="str">
            <v xml:space="preserve">Khed city </v>
          </cell>
          <cell r="E103" t="str">
            <v>Tanoj Balu Koli</v>
          </cell>
          <cell r="F103" t="str">
            <v>Balu Koli</v>
          </cell>
          <cell r="G103">
            <v>9579321668</v>
          </cell>
          <cell r="H103">
            <v>39013</v>
          </cell>
          <cell r="I103">
            <v>46266</v>
          </cell>
          <cell r="J103" t="str">
            <v xml:space="preserve">Semi-Skilled </v>
          </cell>
        </row>
        <row r="104">
          <cell r="B104">
            <v>102</v>
          </cell>
          <cell r="C104" t="str">
            <v>Active</v>
          </cell>
          <cell r="D104" t="str">
            <v xml:space="preserve">Khed city </v>
          </cell>
          <cell r="E104" t="str">
            <v>Abhishek Mahadev Shinde</v>
          </cell>
          <cell r="F104" t="str">
            <v>Mahadev Waman Shinde</v>
          </cell>
          <cell r="G104">
            <v>9270881429</v>
          </cell>
          <cell r="H104">
            <v>38483</v>
          </cell>
          <cell r="I104">
            <v>46266</v>
          </cell>
          <cell r="J104" t="str">
            <v xml:space="preserve">Semi-Skilled </v>
          </cell>
        </row>
        <row r="105">
          <cell r="B105">
            <v>103</v>
          </cell>
          <cell r="C105" t="str">
            <v>Active</v>
          </cell>
          <cell r="D105" t="str">
            <v xml:space="preserve">Khed city </v>
          </cell>
          <cell r="E105" t="str">
            <v>Akshay Santosh Mohan</v>
          </cell>
          <cell r="F105" t="str">
            <v>Santosh Mohan</v>
          </cell>
          <cell r="G105">
            <v>8767056854</v>
          </cell>
          <cell r="H105">
            <v>38153</v>
          </cell>
          <cell r="I105">
            <v>46265</v>
          </cell>
          <cell r="J105" t="str">
            <v xml:space="preserve">Semi-Skilled </v>
          </cell>
        </row>
        <row r="106">
          <cell r="B106">
            <v>104</v>
          </cell>
          <cell r="C106" t="str">
            <v>Active</v>
          </cell>
          <cell r="D106" t="str">
            <v xml:space="preserve">Khed city </v>
          </cell>
          <cell r="E106" t="str">
            <v>Rajendra Ramdas Lande</v>
          </cell>
          <cell r="F106" t="str">
            <v>Ramdas Kisan Lande</v>
          </cell>
          <cell r="G106">
            <v>9890209925</v>
          </cell>
          <cell r="H106">
            <v>28967</v>
          </cell>
          <cell r="I106">
            <v>46268</v>
          </cell>
          <cell r="J106" t="str">
            <v xml:space="preserve">Semi-Skilled </v>
          </cell>
        </row>
        <row r="107">
          <cell r="B107">
            <v>105</v>
          </cell>
          <cell r="C107" t="str">
            <v>Active</v>
          </cell>
          <cell r="D107" t="str">
            <v xml:space="preserve">Khed city </v>
          </cell>
          <cell r="E107" t="str">
            <v>Sushant Maruti Gundal</v>
          </cell>
          <cell r="F107" t="str">
            <v>Maruti Gundal</v>
          </cell>
          <cell r="G107">
            <v>8830448456</v>
          </cell>
          <cell r="H107">
            <v>38584</v>
          </cell>
          <cell r="I107">
            <v>46272</v>
          </cell>
          <cell r="J107" t="str">
            <v xml:space="preserve">Semi-Skilled </v>
          </cell>
        </row>
        <row r="108">
          <cell r="B108">
            <v>106</v>
          </cell>
          <cell r="C108" t="str">
            <v>Active</v>
          </cell>
          <cell r="D108" t="str">
            <v xml:space="preserve">Khed city </v>
          </cell>
          <cell r="E108" t="str">
            <v>Chandrakant Suresh Pawar</v>
          </cell>
          <cell r="F108" t="str">
            <v>Suresh Pawar</v>
          </cell>
          <cell r="G108">
            <v>7030746887</v>
          </cell>
          <cell r="H108">
            <v>28478</v>
          </cell>
          <cell r="J108" t="str">
            <v xml:space="preserve">Semi-Skilled 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7"/>
  <sheetViews>
    <sheetView tabSelected="1" view="pageBreakPreview" zoomScale="65" zoomScaleNormal="70" zoomScaleSheetLayoutView="65" workbookViewId="0">
      <pane xSplit="3" ySplit="5" topLeftCell="AD35" activePane="bottomRight" state="frozen"/>
      <selection pane="topRight" activeCell="D1" sqref="D1"/>
      <selection pane="bottomLeft" activeCell="A6" sqref="A6"/>
      <selection pane="bottomRight" activeCell="AT25" sqref="AT25"/>
    </sheetView>
  </sheetViews>
  <sheetFormatPr defaultColWidth="10.7265625" defaultRowHeight="17.5" x14ac:dyDescent="0.35"/>
  <cols>
    <col min="1" max="1" width="7" style="7" bestFit="1" customWidth="1"/>
    <col min="2" max="2" width="15.90625" style="2" bestFit="1" customWidth="1"/>
    <col min="3" max="3" width="43.6328125" style="5" bestFit="1" customWidth="1"/>
    <col min="4" max="4" width="48.453125" style="5" customWidth="1"/>
    <col min="5" max="5" width="24.7265625" style="5" customWidth="1"/>
    <col min="6" max="6" width="20.6328125" style="5" customWidth="1"/>
    <col min="7" max="7" width="23.90625" style="5" customWidth="1"/>
    <col min="8" max="8" width="24.7265625" style="8" customWidth="1"/>
    <col min="9" max="9" width="14" style="5" customWidth="1"/>
    <col min="10" max="10" width="24.453125" style="14" customWidth="1"/>
    <col min="11" max="11" width="19.08984375" style="14" customWidth="1"/>
    <col min="12" max="12" width="50.7265625" style="57" bestFit="1" customWidth="1"/>
    <col min="13" max="13" width="35.1796875" style="8" customWidth="1"/>
    <col min="14" max="14" width="19.08984375" style="4" customWidth="1"/>
    <col min="15" max="15" width="20.6328125" style="4" customWidth="1"/>
    <col min="16" max="16" width="27.90625" style="6" customWidth="1"/>
    <col min="17" max="18" width="15.54296875" style="2" customWidth="1"/>
    <col min="19" max="19" width="9.453125" style="1" customWidth="1"/>
    <col min="20" max="20" width="13.6328125" style="1" customWidth="1"/>
    <col min="21" max="21" width="15.36328125" style="1" customWidth="1"/>
    <col min="22" max="22" width="17.7265625" style="6" customWidth="1"/>
    <col min="23" max="23" width="9.1796875" style="1" customWidth="1"/>
    <col min="24" max="24" width="19.7265625" style="2" customWidth="1"/>
    <col min="25" max="25" width="15.1796875" style="2" customWidth="1"/>
    <col min="26" max="26" width="20.1796875" style="2" customWidth="1"/>
    <col min="27" max="28" width="18" style="2" customWidth="1"/>
    <col min="29" max="29" width="20.1796875" style="2" customWidth="1"/>
    <col min="30" max="31" width="20.1796875" style="1" customWidth="1"/>
    <col min="32" max="32" width="18" style="6" customWidth="1"/>
    <col min="33" max="33" width="22.1796875" style="6" customWidth="1"/>
    <col min="34" max="34" width="18.26953125" style="1" customWidth="1"/>
    <col min="35" max="35" width="12.26953125" style="1" customWidth="1"/>
    <col min="36" max="36" width="14.08984375" style="1" customWidth="1"/>
    <col min="37" max="37" width="24.54296875" style="1" customWidth="1"/>
    <col min="38" max="38" width="21.6328125" style="1" bestFit="1" customWidth="1"/>
    <col min="39" max="39" width="23" style="1" hidden="1" customWidth="1"/>
    <col min="40" max="40" width="27.26953125" style="1" hidden="1" customWidth="1"/>
    <col min="41" max="41" width="12.26953125" style="1" hidden="1" customWidth="1"/>
    <col min="42" max="42" width="35.1796875" style="1" hidden="1" customWidth="1"/>
    <col min="43" max="44" width="20.1796875" style="2" hidden="1" customWidth="1"/>
    <col min="45" max="45" width="26.1796875" style="2" hidden="1" customWidth="1"/>
    <col min="46" max="46" width="10.7265625" style="1" customWidth="1"/>
    <col min="47" max="16384" width="10.7265625" style="1"/>
  </cols>
  <sheetData>
    <row r="1" spans="1:46" ht="36.5" customHeight="1" thickBot="1" x14ac:dyDescent="0.55000000000000004">
      <c r="A1" s="73" t="s">
        <v>137</v>
      </c>
      <c r="B1" s="74"/>
      <c r="C1" s="75"/>
      <c r="D1" s="75"/>
      <c r="E1" s="75"/>
      <c r="F1" s="75"/>
      <c r="G1" s="75"/>
      <c r="H1" s="75"/>
      <c r="I1" s="75"/>
      <c r="J1" s="76"/>
      <c r="K1" s="76"/>
      <c r="L1" s="76"/>
      <c r="M1" s="76"/>
      <c r="N1" s="76"/>
      <c r="O1" s="76"/>
      <c r="P1" s="77"/>
      <c r="Q1" s="74"/>
      <c r="R1" s="74"/>
      <c r="S1" s="78"/>
      <c r="T1" s="78"/>
      <c r="U1" s="78"/>
      <c r="V1" s="77"/>
      <c r="W1" s="78"/>
      <c r="X1" s="74"/>
      <c r="Y1" s="74"/>
      <c r="Z1" s="74"/>
      <c r="AA1" s="74"/>
      <c r="AB1" s="74"/>
      <c r="AC1" s="74"/>
      <c r="AD1" s="78"/>
      <c r="AE1" s="78"/>
      <c r="AF1" s="77"/>
      <c r="AG1" s="77"/>
      <c r="AH1" s="78"/>
      <c r="AI1" s="78"/>
      <c r="AJ1" s="78"/>
      <c r="AK1" s="78"/>
      <c r="AL1" s="78"/>
      <c r="AM1" s="78"/>
      <c r="AN1" s="78"/>
      <c r="AO1" s="78"/>
      <c r="AP1" s="78"/>
      <c r="AQ1" s="74"/>
      <c r="AR1" s="74"/>
      <c r="AS1" s="74"/>
    </row>
    <row r="2" spans="1:46" ht="18" customHeight="1" thickBot="1" x14ac:dyDescent="0.4">
      <c r="A2" s="81"/>
      <c r="B2" s="82"/>
      <c r="C2" s="83"/>
      <c r="D2" s="83"/>
      <c r="E2" s="83"/>
      <c r="F2" s="83"/>
      <c r="G2" s="83"/>
      <c r="H2" s="83"/>
      <c r="I2" s="83"/>
      <c r="J2" s="84"/>
      <c r="K2" s="84"/>
      <c r="L2" s="84"/>
      <c r="M2" s="84"/>
      <c r="N2" s="84"/>
      <c r="O2" s="84"/>
      <c r="P2" s="85"/>
      <c r="Q2" s="82"/>
      <c r="R2" s="82"/>
      <c r="S2" s="86"/>
      <c r="T2" s="86"/>
      <c r="U2" s="86"/>
      <c r="V2" s="85"/>
      <c r="W2" s="86"/>
      <c r="X2" s="82"/>
      <c r="Y2" s="82"/>
      <c r="Z2" s="82"/>
      <c r="AA2" s="82"/>
      <c r="AB2" s="82"/>
      <c r="AC2" s="82"/>
      <c r="AD2" s="86"/>
      <c r="AE2" s="86"/>
      <c r="AF2" s="85"/>
      <c r="AG2" s="85"/>
      <c r="AH2" s="86"/>
      <c r="AI2" s="86"/>
      <c r="AJ2" s="86"/>
      <c r="AK2" s="86"/>
      <c r="AL2" s="86"/>
      <c r="AM2" s="86"/>
      <c r="AN2" s="86"/>
      <c r="AO2" s="86"/>
      <c r="AP2" s="86"/>
      <c r="AQ2" s="82"/>
      <c r="AR2" s="82"/>
      <c r="AS2" s="87"/>
    </row>
    <row r="3" spans="1:46" ht="35.5" customHeight="1" x14ac:dyDescent="0.5">
      <c r="A3" s="80" t="s">
        <v>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70"/>
      <c r="AC3" s="15"/>
      <c r="AD3" s="16"/>
      <c r="AE3" s="68" t="s">
        <v>1</v>
      </c>
      <c r="AF3" s="69"/>
      <c r="AG3" s="69"/>
      <c r="AH3" s="69"/>
      <c r="AI3" s="69"/>
      <c r="AJ3" s="69"/>
      <c r="AK3" s="69"/>
      <c r="AL3" s="70"/>
      <c r="AM3" s="16"/>
      <c r="AN3" s="16"/>
      <c r="AO3" s="16"/>
      <c r="AP3" s="16"/>
      <c r="AQ3" s="15"/>
      <c r="AR3" s="15"/>
      <c r="AS3" s="17"/>
    </row>
    <row r="4" spans="1:46" s="3" customFormat="1" ht="18" customHeight="1" thickBot="1" x14ac:dyDescent="0.55000000000000004">
      <c r="A4" s="66"/>
      <c r="B4" s="67"/>
      <c r="C4" s="18"/>
      <c r="D4" s="19"/>
      <c r="E4" s="19"/>
      <c r="F4" s="18"/>
      <c r="G4" s="19"/>
      <c r="H4" s="20"/>
      <c r="I4" s="19"/>
      <c r="J4" s="71"/>
      <c r="K4" s="72"/>
      <c r="L4" s="72"/>
      <c r="M4" s="72"/>
      <c r="N4" s="72"/>
      <c r="O4" s="72"/>
      <c r="P4" s="67"/>
      <c r="Q4" s="71" t="s">
        <v>2</v>
      </c>
      <c r="R4" s="72"/>
      <c r="S4" s="72"/>
      <c r="T4" s="72"/>
      <c r="U4" s="67"/>
      <c r="V4" s="71" t="s">
        <v>3</v>
      </c>
      <c r="W4" s="72"/>
      <c r="X4" s="72"/>
      <c r="Y4" s="67"/>
      <c r="Z4" s="71" t="s">
        <v>4</v>
      </c>
      <c r="AA4" s="72"/>
      <c r="AB4" s="72"/>
      <c r="AC4" s="72"/>
      <c r="AD4" s="72"/>
      <c r="AE4" s="67"/>
      <c r="AF4" s="71" t="s">
        <v>5</v>
      </c>
      <c r="AG4" s="72"/>
      <c r="AH4" s="72"/>
      <c r="AI4" s="72"/>
      <c r="AJ4" s="72"/>
      <c r="AK4" s="72"/>
      <c r="AL4" s="67"/>
      <c r="AM4" s="71" t="s">
        <v>6</v>
      </c>
      <c r="AN4" s="72"/>
      <c r="AO4" s="72"/>
      <c r="AP4" s="72"/>
      <c r="AQ4" s="72"/>
      <c r="AR4" s="72"/>
      <c r="AS4" s="79"/>
    </row>
    <row r="5" spans="1:46" s="13" customFormat="1" ht="54.5" customHeight="1" thickBot="1" x14ac:dyDescent="0.4">
      <c r="A5" s="21" t="s">
        <v>7</v>
      </c>
      <c r="B5" s="22" t="s">
        <v>8</v>
      </c>
      <c r="C5" s="22" t="s">
        <v>9</v>
      </c>
      <c r="D5" s="23" t="s">
        <v>10</v>
      </c>
      <c r="E5" s="23" t="s">
        <v>11</v>
      </c>
      <c r="F5" s="23" t="s">
        <v>12</v>
      </c>
      <c r="G5" s="22" t="s">
        <v>13</v>
      </c>
      <c r="H5" s="24" t="s">
        <v>58</v>
      </c>
      <c r="I5" s="22" t="s">
        <v>14</v>
      </c>
      <c r="J5" s="25" t="s">
        <v>15</v>
      </c>
      <c r="K5" s="25" t="s">
        <v>16</v>
      </c>
      <c r="L5" s="54" t="s">
        <v>489</v>
      </c>
      <c r="M5" s="58" t="s">
        <v>490</v>
      </c>
      <c r="N5" s="22" t="s">
        <v>491</v>
      </c>
      <c r="O5" s="22" t="s">
        <v>17</v>
      </c>
      <c r="P5" s="22" t="s">
        <v>18</v>
      </c>
      <c r="Q5" s="22" t="s">
        <v>19</v>
      </c>
      <c r="R5" s="22" t="s">
        <v>20</v>
      </c>
      <c r="S5" s="22" t="s">
        <v>21</v>
      </c>
      <c r="T5" s="22" t="s">
        <v>22</v>
      </c>
      <c r="U5" s="22" t="s">
        <v>23</v>
      </c>
      <c r="V5" s="26" t="s">
        <v>24</v>
      </c>
      <c r="W5" s="26" t="s">
        <v>25</v>
      </c>
      <c r="X5" s="26" t="s">
        <v>26</v>
      </c>
      <c r="Y5" s="26" t="s">
        <v>27</v>
      </c>
      <c r="Z5" s="26" t="s">
        <v>19</v>
      </c>
      <c r="AA5" s="26" t="s">
        <v>20</v>
      </c>
      <c r="AB5" s="26" t="s">
        <v>21</v>
      </c>
      <c r="AC5" s="26" t="s">
        <v>22</v>
      </c>
      <c r="AD5" s="26" t="s">
        <v>28</v>
      </c>
      <c r="AE5" s="26" t="s">
        <v>29</v>
      </c>
      <c r="AF5" s="26" t="s">
        <v>30</v>
      </c>
      <c r="AG5" s="26" t="s">
        <v>31</v>
      </c>
      <c r="AH5" s="26" t="s">
        <v>32</v>
      </c>
      <c r="AI5" s="26" t="s">
        <v>33</v>
      </c>
      <c r="AJ5" s="26" t="s">
        <v>34</v>
      </c>
      <c r="AK5" s="26" t="s">
        <v>35</v>
      </c>
      <c r="AL5" s="26" t="s">
        <v>36</v>
      </c>
      <c r="AM5" s="26" t="s">
        <v>37</v>
      </c>
      <c r="AN5" s="26" t="s">
        <v>38</v>
      </c>
      <c r="AO5" s="26" t="s">
        <v>33</v>
      </c>
      <c r="AP5" s="26" t="s">
        <v>39</v>
      </c>
      <c r="AQ5" s="26" t="s">
        <v>40</v>
      </c>
      <c r="AR5" s="26" t="s">
        <v>41</v>
      </c>
      <c r="AS5" s="27" t="s">
        <v>42</v>
      </c>
    </row>
    <row r="6" spans="1:46" s="9" customFormat="1" ht="22.5" x14ac:dyDescent="0.35">
      <c r="A6" s="28">
        <v>1</v>
      </c>
      <c r="B6" s="42" t="s">
        <v>43</v>
      </c>
      <c r="C6" s="30" t="s">
        <v>234</v>
      </c>
      <c r="D6" s="30" t="s">
        <v>235</v>
      </c>
      <c r="E6" s="31">
        <v>102323165327</v>
      </c>
      <c r="F6" s="30">
        <v>3318292114</v>
      </c>
      <c r="G6" s="29">
        <v>0</v>
      </c>
      <c r="H6" s="31">
        <v>637083841610</v>
      </c>
      <c r="I6" s="29" t="s">
        <v>44</v>
      </c>
      <c r="J6" s="32" t="s">
        <v>236</v>
      </c>
      <c r="K6" s="32" t="s">
        <v>237</v>
      </c>
      <c r="L6" s="55" t="s">
        <v>492</v>
      </c>
      <c r="M6" s="59">
        <v>68022042383</v>
      </c>
      <c r="N6" s="29" t="s">
        <v>493</v>
      </c>
      <c r="O6" s="29">
        <v>9561429667</v>
      </c>
      <c r="P6" s="33" t="str">
        <f>VLOOKUP(B6,'[1]Sagar Enterprises '!$B$3:$J$123,9,0)</f>
        <v xml:space="preserve">Semi-Skilled </v>
      </c>
      <c r="Q6" s="34">
        <v>15382</v>
      </c>
      <c r="R6" s="34">
        <v>2511</v>
      </c>
      <c r="S6" s="34">
        <f t="shared" ref="S6:S69" si="0">(Q6+R6)*5%</f>
        <v>894.65000000000009</v>
      </c>
      <c r="T6" s="34">
        <f t="shared" ref="T6:T42" si="1">SUM(Q6:S6)</f>
        <v>18787.650000000001</v>
      </c>
      <c r="U6" s="34">
        <v>86</v>
      </c>
      <c r="V6" s="35">
        <v>9</v>
      </c>
      <c r="W6" s="35">
        <v>1</v>
      </c>
      <c r="X6" s="35">
        <v>10</v>
      </c>
      <c r="Y6" s="36">
        <v>24</v>
      </c>
      <c r="Z6" s="34">
        <f t="shared" ref="Z6:Z42" si="2">ROUND(Q6/26*X6,0)</f>
        <v>5916</v>
      </c>
      <c r="AA6" s="34">
        <f t="shared" ref="AA6:AA42" si="3">ROUND(R6/26*X6,0)</f>
        <v>966</v>
      </c>
      <c r="AB6" s="34">
        <f t="shared" ref="AB6:AB42" si="4">ROUND(S6/26*X6,0)</f>
        <v>344</v>
      </c>
      <c r="AC6" s="34">
        <f t="shared" ref="AC6:AC42" si="5">ROUND(SUM(Z6:AB6),0)</f>
        <v>7226</v>
      </c>
      <c r="AD6" s="34">
        <f t="shared" ref="AD6:AD42" si="6">ROUND(U6*Y6,0)</f>
        <v>2064</v>
      </c>
      <c r="AE6" s="34">
        <f>ROUND(AC6+AD6,0)</f>
        <v>9290</v>
      </c>
      <c r="AF6" s="37">
        <f t="shared" ref="AF6:AF42" si="7">IF((Z6+AA6)&lt;=15000,(Z6+AA6)*12/100,1800)</f>
        <v>825.84</v>
      </c>
      <c r="AG6" s="37">
        <f>ROUND(AE6*0.75%,0)</f>
        <v>70</v>
      </c>
      <c r="AH6" s="38">
        <f t="shared" ref="AH6:AH42" si="8">IF(I6="M",IF(AE6&gt;10000,200,IF(AE6&gt;7500,175,0)),IF(J6="F",IF(AE6&gt;25000,200,0)))</f>
        <v>175</v>
      </c>
      <c r="AI6" s="34">
        <v>0</v>
      </c>
      <c r="AJ6" s="34"/>
      <c r="AK6" s="34">
        <f>ROUND(SUM(AF6:AJ6),0)</f>
        <v>1071</v>
      </c>
      <c r="AL6" s="39">
        <f>ROUND(AE6-AK6,0)</f>
        <v>8219</v>
      </c>
      <c r="AM6" s="37">
        <f t="shared" ref="AM6:AM42" si="9">IF((Z6+AA6)&lt;=15000,(Z6+AA6)*13/100,1950)</f>
        <v>894.66</v>
      </c>
      <c r="AN6" s="37">
        <f>(AE6)*3.25%</f>
        <v>301.92500000000001</v>
      </c>
      <c r="AO6" s="37">
        <v>0</v>
      </c>
      <c r="AP6" s="34">
        <f>AE6*7%</f>
        <v>650.30000000000007</v>
      </c>
      <c r="AQ6" s="34">
        <f>AE6+AM6+AN6+AO6+AP6</f>
        <v>11136.884999999998</v>
      </c>
      <c r="AR6" s="40">
        <f>AQ6*18%</f>
        <v>2004.6392999999996</v>
      </c>
      <c r="AS6" s="41">
        <f>AQ6+AR6</f>
        <v>13141.524299999997</v>
      </c>
    </row>
    <row r="7" spans="1:46" s="9" customFormat="1" ht="22.5" x14ac:dyDescent="0.35">
      <c r="A7" s="42">
        <v>2</v>
      </c>
      <c r="B7" s="42" t="s">
        <v>45</v>
      </c>
      <c r="C7" s="30" t="s">
        <v>238</v>
      </c>
      <c r="D7" s="30" t="s">
        <v>239</v>
      </c>
      <c r="E7" s="31">
        <v>102337176812</v>
      </c>
      <c r="F7" s="30">
        <v>3319012176</v>
      </c>
      <c r="G7" s="29" t="s">
        <v>240</v>
      </c>
      <c r="H7" s="31">
        <v>708764074304</v>
      </c>
      <c r="I7" s="33" t="s">
        <v>44</v>
      </c>
      <c r="J7" s="32">
        <v>46298</v>
      </c>
      <c r="K7" s="32" t="s">
        <v>241</v>
      </c>
      <c r="L7" s="55" t="s">
        <v>494</v>
      </c>
      <c r="M7" s="59" t="s">
        <v>495</v>
      </c>
      <c r="N7" s="29" t="s">
        <v>496</v>
      </c>
      <c r="O7" s="29">
        <v>7517354943</v>
      </c>
      <c r="P7" s="33" t="str">
        <f>VLOOKUP(B7,'[1]Sagar Enterprises '!$B$3:$J$123,9,0)</f>
        <v xml:space="preserve">Semi-Skilled </v>
      </c>
      <c r="Q7" s="34">
        <v>15382</v>
      </c>
      <c r="R7" s="34">
        <v>2511</v>
      </c>
      <c r="S7" s="34">
        <f t="shared" ref="S7:S10" si="10">(Q7+R7)*5%</f>
        <v>894.65000000000009</v>
      </c>
      <c r="T7" s="43">
        <f t="shared" si="1"/>
        <v>18787.650000000001</v>
      </c>
      <c r="U7" s="43">
        <v>86</v>
      </c>
      <c r="V7" s="35">
        <v>23</v>
      </c>
      <c r="W7" s="35">
        <v>1</v>
      </c>
      <c r="X7" s="44">
        <v>24</v>
      </c>
      <c r="Y7" s="36">
        <v>28</v>
      </c>
      <c r="Z7" s="43">
        <f t="shared" si="2"/>
        <v>14199</v>
      </c>
      <c r="AA7" s="43">
        <f t="shared" si="3"/>
        <v>2318</v>
      </c>
      <c r="AB7" s="43">
        <f t="shared" si="4"/>
        <v>826</v>
      </c>
      <c r="AC7" s="43">
        <f t="shared" si="5"/>
        <v>17343</v>
      </c>
      <c r="AD7" s="43">
        <f t="shared" si="6"/>
        <v>2408</v>
      </c>
      <c r="AE7" s="43">
        <f t="shared" ref="AE7:AE21" si="11">ROUND(AC7+AD7,0)</f>
        <v>19751</v>
      </c>
      <c r="AF7" s="45">
        <f t="shared" si="7"/>
        <v>1800</v>
      </c>
      <c r="AG7" s="45">
        <f t="shared" ref="AG7:AG21" si="12">ROUND(AE7*0.75%,0)</f>
        <v>148</v>
      </c>
      <c r="AH7" s="46">
        <f t="shared" si="8"/>
        <v>200</v>
      </c>
      <c r="AI7" s="34">
        <v>0</v>
      </c>
      <c r="AJ7" s="43"/>
      <c r="AK7" s="43">
        <f t="shared" ref="AK7:AK21" si="13">ROUND(SUM(AF7:AJ7),0)</f>
        <v>2148</v>
      </c>
      <c r="AL7" s="47">
        <f t="shared" ref="AL7:AL21" si="14">ROUND(AE7-AK7,0)</f>
        <v>17603</v>
      </c>
      <c r="AM7" s="45">
        <f t="shared" si="9"/>
        <v>1950</v>
      </c>
      <c r="AN7" s="45">
        <f t="shared" ref="AN7:AN21" si="15">(AE7)*3.25%</f>
        <v>641.90750000000003</v>
      </c>
      <c r="AO7" s="37">
        <v>0</v>
      </c>
      <c r="AP7" s="43">
        <f t="shared" ref="AP7:AP21" si="16">AE7*7%</f>
        <v>1382.5700000000002</v>
      </c>
      <c r="AQ7" s="34">
        <f>AE7+AM7+AN7+AO7+AP7</f>
        <v>23725.477500000001</v>
      </c>
      <c r="AR7" s="48">
        <f t="shared" ref="AR7:AR21" si="17">AQ7*18%</f>
        <v>4270.5859499999997</v>
      </c>
      <c r="AS7" s="49">
        <f t="shared" ref="AS7:AS21" si="18">AQ7+AR7</f>
        <v>27996.063450000001</v>
      </c>
    </row>
    <row r="8" spans="1:46" s="9" customFormat="1" ht="22.5" x14ac:dyDescent="0.35">
      <c r="A8" s="42">
        <v>3</v>
      </c>
      <c r="B8" s="42" t="s">
        <v>46</v>
      </c>
      <c r="C8" s="30" t="s">
        <v>242</v>
      </c>
      <c r="D8" s="30" t="s">
        <v>243</v>
      </c>
      <c r="E8" s="31">
        <v>102091408474</v>
      </c>
      <c r="F8" s="30">
        <v>3318044497</v>
      </c>
      <c r="G8" s="29" t="s">
        <v>244</v>
      </c>
      <c r="H8" s="31">
        <v>386342477476</v>
      </c>
      <c r="I8" s="33" t="s">
        <v>44</v>
      </c>
      <c r="J8" s="32">
        <v>46298</v>
      </c>
      <c r="K8" s="32">
        <v>39026</v>
      </c>
      <c r="L8" s="55" t="s">
        <v>497</v>
      </c>
      <c r="M8" s="59">
        <v>43649600751</v>
      </c>
      <c r="N8" s="29" t="s">
        <v>498</v>
      </c>
      <c r="O8" s="29">
        <v>7498204186</v>
      </c>
      <c r="P8" s="33" t="str">
        <f>VLOOKUP(B8,'[1]Sagar Enterprises '!$B$3:$J$123,9,0)</f>
        <v xml:space="preserve">Semi-Skilled </v>
      </c>
      <c r="Q8" s="34">
        <v>15382</v>
      </c>
      <c r="R8" s="34">
        <v>2511</v>
      </c>
      <c r="S8" s="34">
        <f t="shared" si="10"/>
        <v>894.65000000000009</v>
      </c>
      <c r="T8" s="43">
        <f t="shared" si="1"/>
        <v>18787.650000000001</v>
      </c>
      <c r="U8" s="43">
        <v>86</v>
      </c>
      <c r="V8" s="35">
        <v>24</v>
      </c>
      <c r="W8" s="35">
        <v>1</v>
      </c>
      <c r="X8" s="44">
        <v>25</v>
      </c>
      <c r="Y8" s="36">
        <v>28</v>
      </c>
      <c r="Z8" s="43">
        <f t="shared" si="2"/>
        <v>14790</v>
      </c>
      <c r="AA8" s="43">
        <f t="shared" si="3"/>
        <v>2414</v>
      </c>
      <c r="AB8" s="43">
        <f t="shared" si="4"/>
        <v>860</v>
      </c>
      <c r="AC8" s="43">
        <f t="shared" si="5"/>
        <v>18064</v>
      </c>
      <c r="AD8" s="43">
        <f t="shared" si="6"/>
        <v>2408</v>
      </c>
      <c r="AE8" s="43">
        <f t="shared" si="11"/>
        <v>20472</v>
      </c>
      <c r="AF8" s="45">
        <f t="shared" si="7"/>
        <v>1800</v>
      </c>
      <c r="AG8" s="45">
        <f t="shared" si="12"/>
        <v>154</v>
      </c>
      <c r="AH8" s="46">
        <f t="shared" si="8"/>
        <v>200</v>
      </c>
      <c r="AI8" s="34">
        <v>0</v>
      </c>
      <c r="AJ8" s="43"/>
      <c r="AK8" s="43">
        <f t="shared" si="13"/>
        <v>2154</v>
      </c>
      <c r="AL8" s="47">
        <f t="shared" si="14"/>
        <v>18318</v>
      </c>
      <c r="AM8" s="45">
        <f t="shared" si="9"/>
        <v>1950</v>
      </c>
      <c r="AN8" s="45">
        <f t="shared" si="15"/>
        <v>665.34</v>
      </c>
      <c r="AO8" s="37">
        <v>0</v>
      </c>
      <c r="AP8" s="43">
        <f t="shared" si="16"/>
        <v>1433.0400000000002</v>
      </c>
      <c r="AQ8" s="34">
        <f t="shared" ref="AQ8:AQ21" si="19">AE8+AM8+AN8+AO8+AP8</f>
        <v>24520.38</v>
      </c>
      <c r="AR8" s="48">
        <f t="shared" si="17"/>
        <v>4413.6684000000005</v>
      </c>
      <c r="AS8" s="49">
        <f t="shared" si="18"/>
        <v>28934.0484</v>
      </c>
    </row>
    <row r="9" spans="1:46" s="9" customFormat="1" ht="22.5" x14ac:dyDescent="0.35">
      <c r="A9" s="28">
        <v>4</v>
      </c>
      <c r="B9" s="42" t="s">
        <v>47</v>
      </c>
      <c r="C9" s="30" t="s">
        <v>245</v>
      </c>
      <c r="D9" s="30" t="s">
        <v>246</v>
      </c>
      <c r="E9" s="31">
        <v>102020243088</v>
      </c>
      <c r="F9" s="30">
        <v>3315805405</v>
      </c>
      <c r="G9" s="29" t="s">
        <v>247</v>
      </c>
      <c r="H9" s="31">
        <v>458228297817</v>
      </c>
      <c r="I9" s="33" t="s">
        <v>44</v>
      </c>
      <c r="J9" s="32">
        <v>46118</v>
      </c>
      <c r="K9" s="32">
        <v>37692</v>
      </c>
      <c r="L9" s="55" t="s">
        <v>499</v>
      </c>
      <c r="M9" s="59">
        <v>110266447597</v>
      </c>
      <c r="N9" s="29" t="s">
        <v>500</v>
      </c>
      <c r="O9" s="29">
        <v>8767253238</v>
      </c>
      <c r="P9" s="33" t="str">
        <f>VLOOKUP(B9,'[1]Sagar Enterprises '!$B$3:$J$123,9,0)</f>
        <v xml:space="preserve">Semi-Skilled </v>
      </c>
      <c r="Q9" s="34">
        <v>15382</v>
      </c>
      <c r="R9" s="34">
        <v>2511</v>
      </c>
      <c r="S9" s="34">
        <f t="shared" si="10"/>
        <v>894.65000000000009</v>
      </c>
      <c r="T9" s="43">
        <f t="shared" si="1"/>
        <v>18787.650000000001</v>
      </c>
      <c r="U9" s="43">
        <v>86</v>
      </c>
      <c r="V9" s="35">
        <v>24</v>
      </c>
      <c r="W9" s="35">
        <v>1</v>
      </c>
      <c r="X9" s="44">
        <v>25</v>
      </c>
      <c r="Y9" s="36">
        <v>30</v>
      </c>
      <c r="Z9" s="43">
        <f t="shared" si="2"/>
        <v>14790</v>
      </c>
      <c r="AA9" s="43">
        <f t="shared" si="3"/>
        <v>2414</v>
      </c>
      <c r="AB9" s="43">
        <f t="shared" si="4"/>
        <v>860</v>
      </c>
      <c r="AC9" s="43">
        <f t="shared" si="5"/>
        <v>18064</v>
      </c>
      <c r="AD9" s="43">
        <f t="shared" si="6"/>
        <v>2580</v>
      </c>
      <c r="AE9" s="43">
        <f t="shared" si="11"/>
        <v>20644</v>
      </c>
      <c r="AF9" s="45">
        <f t="shared" si="7"/>
        <v>1800</v>
      </c>
      <c r="AG9" s="45">
        <f t="shared" si="12"/>
        <v>155</v>
      </c>
      <c r="AH9" s="46">
        <f t="shared" si="8"/>
        <v>200</v>
      </c>
      <c r="AI9" s="34">
        <v>0</v>
      </c>
      <c r="AJ9" s="43"/>
      <c r="AK9" s="43">
        <f t="shared" si="13"/>
        <v>2155</v>
      </c>
      <c r="AL9" s="47">
        <f t="shared" si="14"/>
        <v>18489</v>
      </c>
      <c r="AM9" s="45">
        <f t="shared" si="9"/>
        <v>1950</v>
      </c>
      <c r="AN9" s="45">
        <f t="shared" si="15"/>
        <v>670.93000000000006</v>
      </c>
      <c r="AO9" s="37">
        <v>0</v>
      </c>
      <c r="AP9" s="43">
        <f t="shared" si="16"/>
        <v>1445.0800000000002</v>
      </c>
      <c r="AQ9" s="34">
        <f t="shared" si="19"/>
        <v>24710.010000000002</v>
      </c>
      <c r="AR9" s="48">
        <f t="shared" si="17"/>
        <v>4447.8018000000002</v>
      </c>
      <c r="AS9" s="49">
        <f t="shared" si="18"/>
        <v>29157.811800000003</v>
      </c>
    </row>
    <row r="10" spans="1:46" s="9" customFormat="1" ht="22.5" x14ac:dyDescent="0.35">
      <c r="A10" s="42">
        <v>5</v>
      </c>
      <c r="B10" s="42" t="s">
        <v>48</v>
      </c>
      <c r="C10" s="30" t="s">
        <v>248</v>
      </c>
      <c r="D10" s="30" t="s">
        <v>249</v>
      </c>
      <c r="E10" s="31">
        <v>100851754777</v>
      </c>
      <c r="F10" s="30">
        <v>3310487721</v>
      </c>
      <c r="G10" s="29" t="s">
        <v>250</v>
      </c>
      <c r="H10" s="31">
        <v>879331922710</v>
      </c>
      <c r="I10" s="33" t="s">
        <v>44</v>
      </c>
      <c r="J10" s="32">
        <v>46301</v>
      </c>
      <c r="K10" s="32" t="s">
        <v>251</v>
      </c>
      <c r="L10" s="55" t="s">
        <v>501</v>
      </c>
      <c r="M10" s="59" t="s">
        <v>502</v>
      </c>
      <c r="N10" s="29" t="s">
        <v>496</v>
      </c>
      <c r="O10" s="29">
        <v>9011171099</v>
      </c>
      <c r="P10" s="33" t="str">
        <f>VLOOKUP(B10,'[1]Sagar Enterprises '!$B$3:$J$123,9,0)</f>
        <v xml:space="preserve">Semi-Skilled </v>
      </c>
      <c r="Q10" s="34">
        <v>15382</v>
      </c>
      <c r="R10" s="34">
        <v>2511</v>
      </c>
      <c r="S10" s="34">
        <f t="shared" si="10"/>
        <v>894.65000000000009</v>
      </c>
      <c r="T10" s="43">
        <f t="shared" si="1"/>
        <v>18787.650000000001</v>
      </c>
      <c r="U10" s="43">
        <v>86</v>
      </c>
      <c r="V10" s="35">
        <v>19</v>
      </c>
      <c r="W10" s="35">
        <v>1</v>
      </c>
      <c r="X10" s="44">
        <v>20</v>
      </c>
      <c r="Y10" s="36">
        <v>24</v>
      </c>
      <c r="Z10" s="43">
        <f t="shared" si="2"/>
        <v>11832</v>
      </c>
      <c r="AA10" s="43">
        <f t="shared" si="3"/>
        <v>1932</v>
      </c>
      <c r="AB10" s="43">
        <f t="shared" si="4"/>
        <v>688</v>
      </c>
      <c r="AC10" s="43">
        <f t="shared" si="5"/>
        <v>14452</v>
      </c>
      <c r="AD10" s="43">
        <f t="shared" si="6"/>
        <v>2064</v>
      </c>
      <c r="AE10" s="43">
        <f t="shared" si="11"/>
        <v>16516</v>
      </c>
      <c r="AF10" s="45">
        <f t="shared" si="7"/>
        <v>1651.68</v>
      </c>
      <c r="AG10" s="45">
        <f t="shared" si="12"/>
        <v>124</v>
      </c>
      <c r="AH10" s="46">
        <f t="shared" si="8"/>
        <v>200</v>
      </c>
      <c r="AI10" s="34">
        <v>0</v>
      </c>
      <c r="AJ10" s="43"/>
      <c r="AK10" s="43">
        <f t="shared" si="13"/>
        <v>1976</v>
      </c>
      <c r="AL10" s="47">
        <f t="shared" si="14"/>
        <v>14540</v>
      </c>
      <c r="AM10" s="45">
        <f t="shared" si="9"/>
        <v>1789.32</v>
      </c>
      <c r="AN10" s="45">
        <f t="shared" si="15"/>
        <v>536.77</v>
      </c>
      <c r="AO10" s="37">
        <v>0</v>
      </c>
      <c r="AP10" s="43">
        <f t="shared" si="16"/>
        <v>1156.1200000000001</v>
      </c>
      <c r="AQ10" s="34">
        <f t="shared" si="19"/>
        <v>19998.21</v>
      </c>
      <c r="AR10" s="48">
        <f t="shared" si="17"/>
        <v>3599.6777999999999</v>
      </c>
      <c r="AS10" s="49">
        <f t="shared" si="18"/>
        <v>23597.8878</v>
      </c>
    </row>
    <row r="11" spans="1:46" s="11" customFormat="1" ht="23" x14ac:dyDescent="0.5">
      <c r="A11" s="42">
        <v>6</v>
      </c>
      <c r="B11" s="42" t="s">
        <v>49</v>
      </c>
      <c r="C11" s="30" t="s">
        <v>252</v>
      </c>
      <c r="D11" s="30" t="s">
        <v>253</v>
      </c>
      <c r="E11" s="31">
        <v>101375809310</v>
      </c>
      <c r="F11" s="30">
        <v>3312324863</v>
      </c>
      <c r="G11" s="29" t="s">
        <v>254</v>
      </c>
      <c r="H11" s="31">
        <v>600079261028</v>
      </c>
      <c r="I11" s="33" t="s">
        <v>44</v>
      </c>
      <c r="J11" s="32">
        <v>46301</v>
      </c>
      <c r="K11" s="32" t="s">
        <v>255</v>
      </c>
      <c r="L11" s="55" t="s">
        <v>497</v>
      </c>
      <c r="M11" s="59">
        <v>42795625991</v>
      </c>
      <c r="N11" s="29" t="s">
        <v>503</v>
      </c>
      <c r="O11" s="29">
        <v>7888163211</v>
      </c>
      <c r="P11" s="33" t="str">
        <f>VLOOKUP(B11,'[1]Sagar Enterprises '!$B$3:$J$123,9,0)</f>
        <v xml:space="preserve">Skilled </v>
      </c>
      <c r="Q11" s="43">
        <v>20543</v>
      </c>
      <c r="R11" s="43">
        <v>2511</v>
      </c>
      <c r="S11" s="43">
        <f t="shared" si="0"/>
        <v>1152.7</v>
      </c>
      <c r="T11" s="43">
        <f t="shared" si="1"/>
        <v>24206.7</v>
      </c>
      <c r="U11" s="43">
        <v>111</v>
      </c>
      <c r="V11" s="35">
        <v>24</v>
      </c>
      <c r="W11" s="35">
        <v>1</v>
      </c>
      <c r="X11" s="44">
        <v>25</v>
      </c>
      <c r="Y11" s="36">
        <v>185</v>
      </c>
      <c r="Z11" s="43">
        <f t="shared" si="2"/>
        <v>19753</v>
      </c>
      <c r="AA11" s="43">
        <f t="shared" si="3"/>
        <v>2414</v>
      </c>
      <c r="AB11" s="43">
        <f t="shared" si="4"/>
        <v>1108</v>
      </c>
      <c r="AC11" s="43">
        <f t="shared" si="5"/>
        <v>23275</v>
      </c>
      <c r="AD11" s="43">
        <f t="shared" si="6"/>
        <v>20535</v>
      </c>
      <c r="AE11" s="43">
        <f t="shared" si="11"/>
        <v>43810</v>
      </c>
      <c r="AF11" s="45">
        <f t="shared" si="7"/>
        <v>1800</v>
      </c>
      <c r="AG11" s="45">
        <f t="shared" si="12"/>
        <v>329</v>
      </c>
      <c r="AH11" s="46">
        <f t="shared" si="8"/>
        <v>200</v>
      </c>
      <c r="AI11" s="34">
        <v>0</v>
      </c>
      <c r="AJ11" s="43"/>
      <c r="AK11" s="43">
        <f t="shared" si="13"/>
        <v>2329</v>
      </c>
      <c r="AL11" s="47">
        <f t="shared" si="14"/>
        <v>41481</v>
      </c>
      <c r="AM11" s="45">
        <f t="shared" si="9"/>
        <v>1950</v>
      </c>
      <c r="AN11" s="45">
        <f t="shared" si="15"/>
        <v>1423.825</v>
      </c>
      <c r="AO11" s="37">
        <v>0</v>
      </c>
      <c r="AP11" s="43">
        <f t="shared" si="16"/>
        <v>3066.7000000000003</v>
      </c>
      <c r="AQ11" s="34">
        <f t="shared" si="19"/>
        <v>50250.524999999994</v>
      </c>
      <c r="AR11" s="48">
        <f t="shared" si="17"/>
        <v>9045.0944999999992</v>
      </c>
      <c r="AS11" s="49">
        <f t="shared" si="18"/>
        <v>59295.619499999993</v>
      </c>
      <c r="AT11" s="10"/>
    </row>
    <row r="12" spans="1:46" s="12" customFormat="1" ht="22.5" x14ac:dyDescent="0.45">
      <c r="A12" s="28">
        <v>7</v>
      </c>
      <c r="B12" s="42" t="s">
        <v>50</v>
      </c>
      <c r="C12" s="30" t="s">
        <v>256</v>
      </c>
      <c r="D12" s="30" t="s">
        <v>257</v>
      </c>
      <c r="E12" s="31">
        <v>102351110384</v>
      </c>
      <c r="F12" s="30">
        <v>3319012572</v>
      </c>
      <c r="G12" s="29" t="s">
        <v>258</v>
      </c>
      <c r="H12" s="31">
        <v>510764589318</v>
      </c>
      <c r="I12" s="33" t="s">
        <v>44</v>
      </c>
      <c r="J12" s="32">
        <v>46301</v>
      </c>
      <c r="K12" s="32">
        <v>38992</v>
      </c>
      <c r="L12" s="55" t="s">
        <v>504</v>
      </c>
      <c r="M12" s="59">
        <v>60276896887</v>
      </c>
      <c r="N12" s="29" t="s">
        <v>505</v>
      </c>
      <c r="O12" s="29">
        <v>9561469692</v>
      </c>
      <c r="P12" s="33" t="str">
        <f>VLOOKUP(B12,'[1]Sagar Enterprises '!$B$3:$J$123,9,0)</f>
        <v xml:space="preserve">Semi-Skilled </v>
      </c>
      <c r="Q12" s="34">
        <v>15382</v>
      </c>
      <c r="R12" s="34">
        <v>2511</v>
      </c>
      <c r="S12" s="34">
        <f t="shared" si="0"/>
        <v>894.65000000000009</v>
      </c>
      <c r="T12" s="43">
        <f t="shared" si="1"/>
        <v>18787.650000000001</v>
      </c>
      <c r="U12" s="43">
        <v>86</v>
      </c>
      <c r="V12" s="35">
        <v>25</v>
      </c>
      <c r="W12" s="35">
        <v>1</v>
      </c>
      <c r="X12" s="44">
        <v>26</v>
      </c>
      <c r="Y12" s="36">
        <v>42</v>
      </c>
      <c r="Z12" s="43">
        <f t="shared" si="2"/>
        <v>15382</v>
      </c>
      <c r="AA12" s="43">
        <f t="shared" si="3"/>
        <v>2511</v>
      </c>
      <c r="AB12" s="43">
        <f t="shared" si="4"/>
        <v>895</v>
      </c>
      <c r="AC12" s="43">
        <f t="shared" si="5"/>
        <v>18788</v>
      </c>
      <c r="AD12" s="43">
        <f t="shared" si="6"/>
        <v>3612</v>
      </c>
      <c r="AE12" s="43">
        <f t="shared" si="11"/>
        <v>22400</v>
      </c>
      <c r="AF12" s="45">
        <f t="shared" si="7"/>
        <v>1800</v>
      </c>
      <c r="AG12" s="45">
        <f t="shared" si="12"/>
        <v>168</v>
      </c>
      <c r="AH12" s="46">
        <f t="shared" si="8"/>
        <v>200</v>
      </c>
      <c r="AI12" s="34">
        <v>0</v>
      </c>
      <c r="AJ12" s="43"/>
      <c r="AK12" s="43">
        <f t="shared" si="13"/>
        <v>2168</v>
      </c>
      <c r="AL12" s="47">
        <f t="shared" si="14"/>
        <v>20232</v>
      </c>
      <c r="AM12" s="45">
        <f t="shared" si="9"/>
        <v>1950</v>
      </c>
      <c r="AN12" s="45">
        <f t="shared" si="15"/>
        <v>728</v>
      </c>
      <c r="AO12" s="37">
        <v>0</v>
      </c>
      <c r="AP12" s="43">
        <f t="shared" si="16"/>
        <v>1568.0000000000002</v>
      </c>
      <c r="AQ12" s="34">
        <f t="shared" si="19"/>
        <v>26646</v>
      </c>
      <c r="AR12" s="48">
        <f t="shared" si="17"/>
        <v>4796.28</v>
      </c>
      <c r="AS12" s="49">
        <f t="shared" si="18"/>
        <v>31442.28</v>
      </c>
    </row>
    <row r="13" spans="1:46" s="12" customFormat="1" ht="22.5" x14ac:dyDescent="0.45">
      <c r="A13" s="42">
        <v>8</v>
      </c>
      <c r="B13" s="42" t="s">
        <v>51</v>
      </c>
      <c r="C13" s="30" t="s">
        <v>259</v>
      </c>
      <c r="D13" s="30" t="s">
        <v>260</v>
      </c>
      <c r="E13" s="31">
        <v>102295170239</v>
      </c>
      <c r="F13" s="30">
        <v>3318420729</v>
      </c>
      <c r="G13" s="29" t="s">
        <v>261</v>
      </c>
      <c r="H13" s="31">
        <v>220770153106</v>
      </c>
      <c r="I13" s="33" t="s">
        <v>44</v>
      </c>
      <c r="J13" s="32" t="s">
        <v>262</v>
      </c>
      <c r="K13" s="32">
        <v>39002</v>
      </c>
      <c r="L13" s="55" t="s">
        <v>506</v>
      </c>
      <c r="M13" s="59">
        <v>5911031314</v>
      </c>
      <c r="N13" s="29" t="s">
        <v>507</v>
      </c>
      <c r="O13" s="29">
        <v>7264838853</v>
      </c>
      <c r="P13" s="33" t="str">
        <f>VLOOKUP(B13,'[1]Sagar Enterprises '!$B$3:$J$123,9,0)</f>
        <v xml:space="preserve">Semi-Skilled </v>
      </c>
      <c r="Q13" s="34">
        <v>15382</v>
      </c>
      <c r="R13" s="34">
        <v>2511</v>
      </c>
      <c r="S13" s="34">
        <f t="shared" si="0"/>
        <v>894.65000000000009</v>
      </c>
      <c r="T13" s="43">
        <f t="shared" si="1"/>
        <v>18787.650000000001</v>
      </c>
      <c r="U13" s="43">
        <v>86</v>
      </c>
      <c r="V13" s="35">
        <v>24</v>
      </c>
      <c r="W13" s="35">
        <v>1</v>
      </c>
      <c r="X13" s="44">
        <v>25</v>
      </c>
      <c r="Y13" s="36">
        <v>200</v>
      </c>
      <c r="Z13" s="43">
        <f t="shared" si="2"/>
        <v>14790</v>
      </c>
      <c r="AA13" s="43">
        <f t="shared" si="3"/>
        <v>2414</v>
      </c>
      <c r="AB13" s="43">
        <f t="shared" si="4"/>
        <v>860</v>
      </c>
      <c r="AC13" s="43">
        <f t="shared" si="5"/>
        <v>18064</v>
      </c>
      <c r="AD13" s="43">
        <f t="shared" si="6"/>
        <v>17200</v>
      </c>
      <c r="AE13" s="43">
        <f t="shared" si="11"/>
        <v>35264</v>
      </c>
      <c r="AF13" s="45">
        <f t="shared" si="7"/>
        <v>1800</v>
      </c>
      <c r="AG13" s="45">
        <f t="shared" si="12"/>
        <v>264</v>
      </c>
      <c r="AH13" s="46">
        <f t="shared" si="8"/>
        <v>200</v>
      </c>
      <c r="AI13" s="34">
        <v>0</v>
      </c>
      <c r="AJ13" s="43"/>
      <c r="AK13" s="43">
        <f t="shared" si="13"/>
        <v>2264</v>
      </c>
      <c r="AL13" s="47">
        <f t="shared" si="14"/>
        <v>33000</v>
      </c>
      <c r="AM13" s="45">
        <f t="shared" si="9"/>
        <v>1950</v>
      </c>
      <c r="AN13" s="45">
        <f t="shared" si="15"/>
        <v>1146.08</v>
      </c>
      <c r="AO13" s="37">
        <v>0</v>
      </c>
      <c r="AP13" s="43">
        <f t="shared" si="16"/>
        <v>2468.48</v>
      </c>
      <c r="AQ13" s="34">
        <f t="shared" si="19"/>
        <v>40828.560000000005</v>
      </c>
      <c r="AR13" s="48">
        <f t="shared" si="17"/>
        <v>7349.140800000001</v>
      </c>
      <c r="AS13" s="49">
        <f t="shared" si="18"/>
        <v>48177.700800000006</v>
      </c>
    </row>
    <row r="14" spans="1:46" s="12" customFormat="1" ht="22.5" x14ac:dyDescent="0.45">
      <c r="A14" s="42">
        <v>9</v>
      </c>
      <c r="B14" s="42" t="s">
        <v>52</v>
      </c>
      <c r="C14" s="30" t="s">
        <v>263</v>
      </c>
      <c r="D14" s="30" t="s">
        <v>264</v>
      </c>
      <c r="E14" s="31">
        <v>101802030138</v>
      </c>
      <c r="F14" s="30">
        <v>3315801786</v>
      </c>
      <c r="G14" s="29" t="s">
        <v>265</v>
      </c>
      <c r="H14" s="31">
        <v>635023716819</v>
      </c>
      <c r="I14" s="33" t="s">
        <v>44</v>
      </c>
      <c r="J14" s="32" t="s">
        <v>262</v>
      </c>
      <c r="K14" s="32">
        <v>37471</v>
      </c>
      <c r="L14" s="55" t="s">
        <v>497</v>
      </c>
      <c r="M14" s="59">
        <v>33114758597</v>
      </c>
      <c r="N14" s="29" t="s">
        <v>498</v>
      </c>
      <c r="O14" s="29">
        <v>7057631968</v>
      </c>
      <c r="P14" s="33" t="str">
        <f>VLOOKUP(B14,'[1]Sagar Enterprises '!$B$3:$J$123,9,0)</f>
        <v xml:space="preserve">Semi-Skilled </v>
      </c>
      <c r="Q14" s="34">
        <v>15382</v>
      </c>
      <c r="R14" s="34">
        <v>2511</v>
      </c>
      <c r="S14" s="34">
        <f t="shared" si="0"/>
        <v>894.65000000000009</v>
      </c>
      <c r="T14" s="43">
        <f t="shared" si="1"/>
        <v>18787.650000000001</v>
      </c>
      <c r="U14" s="43">
        <v>86</v>
      </c>
      <c r="V14" s="35">
        <v>22</v>
      </c>
      <c r="W14" s="35">
        <v>1</v>
      </c>
      <c r="X14" s="44">
        <v>23</v>
      </c>
      <c r="Y14" s="36">
        <v>172</v>
      </c>
      <c r="Z14" s="43">
        <f t="shared" si="2"/>
        <v>13607</v>
      </c>
      <c r="AA14" s="43">
        <f t="shared" si="3"/>
        <v>2221</v>
      </c>
      <c r="AB14" s="43">
        <f t="shared" si="4"/>
        <v>791</v>
      </c>
      <c r="AC14" s="43">
        <f t="shared" si="5"/>
        <v>16619</v>
      </c>
      <c r="AD14" s="43">
        <f t="shared" si="6"/>
        <v>14792</v>
      </c>
      <c r="AE14" s="43">
        <f t="shared" si="11"/>
        <v>31411</v>
      </c>
      <c r="AF14" s="45">
        <f t="shared" si="7"/>
        <v>1800</v>
      </c>
      <c r="AG14" s="45">
        <f t="shared" si="12"/>
        <v>236</v>
      </c>
      <c r="AH14" s="46">
        <f t="shared" si="8"/>
        <v>200</v>
      </c>
      <c r="AI14" s="34">
        <v>0</v>
      </c>
      <c r="AJ14" s="43"/>
      <c r="AK14" s="43">
        <f t="shared" si="13"/>
        <v>2236</v>
      </c>
      <c r="AL14" s="47">
        <f t="shared" si="14"/>
        <v>29175</v>
      </c>
      <c r="AM14" s="45">
        <f t="shared" si="9"/>
        <v>1950</v>
      </c>
      <c r="AN14" s="45">
        <f t="shared" si="15"/>
        <v>1020.8575000000001</v>
      </c>
      <c r="AO14" s="37">
        <v>0</v>
      </c>
      <c r="AP14" s="43">
        <f t="shared" si="16"/>
        <v>2198.7700000000004</v>
      </c>
      <c r="AQ14" s="34">
        <f t="shared" si="19"/>
        <v>36580.627500000002</v>
      </c>
      <c r="AR14" s="48">
        <f t="shared" si="17"/>
        <v>6584.5129500000003</v>
      </c>
      <c r="AS14" s="49">
        <f t="shared" si="18"/>
        <v>43165.140450000006</v>
      </c>
    </row>
    <row r="15" spans="1:46" s="12" customFormat="1" ht="22.5" x14ac:dyDescent="0.45">
      <c r="A15" s="28">
        <v>10</v>
      </c>
      <c r="B15" s="42" t="s">
        <v>53</v>
      </c>
      <c r="C15" s="30" t="s">
        <v>266</v>
      </c>
      <c r="D15" s="30" t="s">
        <v>267</v>
      </c>
      <c r="E15" s="31">
        <v>102126151544</v>
      </c>
      <c r="F15" s="30">
        <v>5222603594</v>
      </c>
      <c r="G15" s="29" t="s">
        <v>268</v>
      </c>
      <c r="H15" s="31">
        <v>471705786833</v>
      </c>
      <c r="I15" s="33" t="s">
        <v>44</v>
      </c>
      <c r="J15" s="32" t="s">
        <v>269</v>
      </c>
      <c r="K15" s="32" t="s">
        <v>270</v>
      </c>
      <c r="L15" s="55" t="s">
        <v>499</v>
      </c>
      <c r="M15" s="59">
        <v>110192053850</v>
      </c>
      <c r="N15" s="29" t="s">
        <v>508</v>
      </c>
      <c r="O15" s="29">
        <v>7821855670</v>
      </c>
      <c r="P15" s="33" t="str">
        <f>VLOOKUP(B15,'[1]Sagar Enterprises '!$B$3:$J$123,9,0)</f>
        <v xml:space="preserve">Semi-Skilled </v>
      </c>
      <c r="Q15" s="34">
        <v>15382</v>
      </c>
      <c r="R15" s="34">
        <v>2511</v>
      </c>
      <c r="S15" s="34">
        <f t="shared" si="0"/>
        <v>894.65000000000009</v>
      </c>
      <c r="T15" s="43">
        <f t="shared" si="1"/>
        <v>18787.650000000001</v>
      </c>
      <c r="U15" s="43">
        <v>86</v>
      </c>
      <c r="V15" s="35">
        <v>23</v>
      </c>
      <c r="W15" s="35">
        <v>1</v>
      </c>
      <c r="X15" s="44">
        <v>24</v>
      </c>
      <c r="Y15" s="36">
        <v>176</v>
      </c>
      <c r="Z15" s="43">
        <f t="shared" si="2"/>
        <v>14199</v>
      </c>
      <c r="AA15" s="43">
        <f t="shared" si="3"/>
        <v>2318</v>
      </c>
      <c r="AB15" s="43">
        <f t="shared" si="4"/>
        <v>826</v>
      </c>
      <c r="AC15" s="43">
        <f t="shared" si="5"/>
        <v>17343</v>
      </c>
      <c r="AD15" s="43">
        <f t="shared" si="6"/>
        <v>15136</v>
      </c>
      <c r="AE15" s="43">
        <f t="shared" si="11"/>
        <v>32479</v>
      </c>
      <c r="AF15" s="45">
        <f t="shared" si="7"/>
        <v>1800</v>
      </c>
      <c r="AG15" s="45">
        <f t="shared" si="12"/>
        <v>244</v>
      </c>
      <c r="AH15" s="46">
        <f t="shared" si="8"/>
        <v>200</v>
      </c>
      <c r="AI15" s="34">
        <v>0</v>
      </c>
      <c r="AJ15" s="43"/>
      <c r="AK15" s="43">
        <f t="shared" si="13"/>
        <v>2244</v>
      </c>
      <c r="AL15" s="47">
        <f t="shared" si="14"/>
        <v>30235</v>
      </c>
      <c r="AM15" s="45">
        <f t="shared" si="9"/>
        <v>1950</v>
      </c>
      <c r="AN15" s="45">
        <f t="shared" si="15"/>
        <v>1055.5675000000001</v>
      </c>
      <c r="AO15" s="37">
        <v>0</v>
      </c>
      <c r="AP15" s="43">
        <f t="shared" si="16"/>
        <v>2273.5300000000002</v>
      </c>
      <c r="AQ15" s="34">
        <f t="shared" si="19"/>
        <v>37758.097499999996</v>
      </c>
      <c r="AR15" s="48">
        <f t="shared" si="17"/>
        <v>6796.4575499999992</v>
      </c>
      <c r="AS15" s="49">
        <f t="shared" si="18"/>
        <v>44554.555049999995</v>
      </c>
    </row>
    <row r="16" spans="1:46" s="12" customFormat="1" ht="22.5" x14ac:dyDescent="0.45">
      <c r="A16" s="42">
        <v>11</v>
      </c>
      <c r="B16" s="42" t="s">
        <v>54</v>
      </c>
      <c r="C16" s="30" t="s">
        <v>271</v>
      </c>
      <c r="D16" s="30" t="s">
        <v>272</v>
      </c>
      <c r="E16" s="31">
        <v>100005906300</v>
      </c>
      <c r="F16" s="30">
        <v>3313849042</v>
      </c>
      <c r="G16" s="29" t="s">
        <v>273</v>
      </c>
      <c r="H16" s="31">
        <v>595932689927</v>
      </c>
      <c r="I16" s="33" t="s">
        <v>44</v>
      </c>
      <c r="J16" s="32" t="s">
        <v>262</v>
      </c>
      <c r="K16" s="32" t="s">
        <v>274</v>
      </c>
      <c r="L16" s="55" t="s">
        <v>499</v>
      </c>
      <c r="M16" s="59">
        <v>53362200053328</v>
      </c>
      <c r="N16" s="29" t="s">
        <v>509</v>
      </c>
      <c r="O16" s="29">
        <v>9623552920</v>
      </c>
      <c r="P16" s="33" t="str">
        <f>VLOOKUP(B16,'[1]Sagar Enterprises '!$B$3:$J$123,9,0)</f>
        <v xml:space="preserve">Semi-Skilled </v>
      </c>
      <c r="Q16" s="34">
        <v>15382</v>
      </c>
      <c r="R16" s="34">
        <v>2511</v>
      </c>
      <c r="S16" s="34">
        <f t="shared" si="0"/>
        <v>894.65000000000009</v>
      </c>
      <c r="T16" s="43">
        <f t="shared" si="1"/>
        <v>18787.650000000001</v>
      </c>
      <c r="U16" s="43">
        <v>86</v>
      </c>
      <c r="V16" s="35">
        <v>24</v>
      </c>
      <c r="W16" s="35">
        <v>1</v>
      </c>
      <c r="X16" s="44">
        <v>25</v>
      </c>
      <c r="Y16" s="36">
        <v>168</v>
      </c>
      <c r="Z16" s="43">
        <f t="shared" si="2"/>
        <v>14790</v>
      </c>
      <c r="AA16" s="43">
        <f t="shared" si="3"/>
        <v>2414</v>
      </c>
      <c r="AB16" s="43">
        <f t="shared" si="4"/>
        <v>860</v>
      </c>
      <c r="AC16" s="43">
        <f t="shared" si="5"/>
        <v>18064</v>
      </c>
      <c r="AD16" s="43">
        <f t="shared" si="6"/>
        <v>14448</v>
      </c>
      <c r="AE16" s="43">
        <f t="shared" si="11"/>
        <v>32512</v>
      </c>
      <c r="AF16" s="45">
        <f t="shared" si="7"/>
        <v>1800</v>
      </c>
      <c r="AG16" s="45">
        <f t="shared" si="12"/>
        <v>244</v>
      </c>
      <c r="AH16" s="46">
        <f t="shared" si="8"/>
        <v>200</v>
      </c>
      <c r="AI16" s="34">
        <v>0</v>
      </c>
      <c r="AJ16" s="43"/>
      <c r="AK16" s="43">
        <f t="shared" si="13"/>
        <v>2244</v>
      </c>
      <c r="AL16" s="47">
        <f t="shared" si="14"/>
        <v>30268</v>
      </c>
      <c r="AM16" s="45">
        <f t="shared" si="9"/>
        <v>1950</v>
      </c>
      <c r="AN16" s="45">
        <f t="shared" si="15"/>
        <v>1056.6400000000001</v>
      </c>
      <c r="AO16" s="37">
        <v>0</v>
      </c>
      <c r="AP16" s="43">
        <f t="shared" si="16"/>
        <v>2275.84</v>
      </c>
      <c r="AQ16" s="34">
        <f t="shared" si="19"/>
        <v>37794.479999999996</v>
      </c>
      <c r="AR16" s="48">
        <f t="shared" si="17"/>
        <v>6803.0063999999993</v>
      </c>
      <c r="AS16" s="49">
        <f t="shared" si="18"/>
        <v>44597.486399999994</v>
      </c>
    </row>
    <row r="17" spans="1:45" s="12" customFormat="1" ht="22.5" x14ac:dyDescent="0.45">
      <c r="A17" s="42">
        <v>12</v>
      </c>
      <c r="B17" s="42" t="s">
        <v>55</v>
      </c>
      <c r="C17" s="30" t="s">
        <v>275</v>
      </c>
      <c r="D17" s="30" t="s">
        <v>276</v>
      </c>
      <c r="E17" s="31">
        <v>102222616680</v>
      </c>
      <c r="F17" s="30">
        <v>3318163918</v>
      </c>
      <c r="G17" s="29" t="s">
        <v>277</v>
      </c>
      <c r="H17" s="31">
        <v>812628742014</v>
      </c>
      <c r="I17" s="33" t="s">
        <v>44</v>
      </c>
      <c r="J17" s="32" t="s">
        <v>278</v>
      </c>
      <c r="K17" s="32">
        <v>33604</v>
      </c>
      <c r="L17" s="55" t="s">
        <v>510</v>
      </c>
      <c r="M17" s="59">
        <v>20391672672</v>
      </c>
      <c r="N17" s="29" t="s">
        <v>511</v>
      </c>
      <c r="O17" s="29">
        <v>8543863216</v>
      </c>
      <c r="P17" s="33" t="str">
        <f>VLOOKUP(B17,'[1]Sagar Enterprises '!$B$3:$J$123,9,0)</f>
        <v xml:space="preserve">Semi-Skilled </v>
      </c>
      <c r="Q17" s="34">
        <v>15382</v>
      </c>
      <c r="R17" s="34">
        <v>2511</v>
      </c>
      <c r="S17" s="34">
        <f t="shared" si="0"/>
        <v>894.65000000000009</v>
      </c>
      <c r="T17" s="43">
        <f t="shared" si="1"/>
        <v>18787.650000000001</v>
      </c>
      <c r="U17" s="43">
        <v>86</v>
      </c>
      <c r="V17" s="35">
        <v>23</v>
      </c>
      <c r="W17" s="35">
        <v>1</v>
      </c>
      <c r="X17" s="44">
        <v>24</v>
      </c>
      <c r="Y17" s="36">
        <v>112</v>
      </c>
      <c r="Z17" s="43">
        <f t="shared" si="2"/>
        <v>14199</v>
      </c>
      <c r="AA17" s="43">
        <f t="shared" si="3"/>
        <v>2318</v>
      </c>
      <c r="AB17" s="43">
        <f t="shared" si="4"/>
        <v>826</v>
      </c>
      <c r="AC17" s="43">
        <f t="shared" si="5"/>
        <v>17343</v>
      </c>
      <c r="AD17" s="43">
        <f t="shared" si="6"/>
        <v>9632</v>
      </c>
      <c r="AE17" s="43">
        <f t="shared" si="11"/>
        <v>26975</v>
      </c>
      <c r="AF17" s="45">
        <f t="shared" si="7"/>
        <v>1800</v>
      </c>
      <c r="AG17" s="45">
        <f t="shared" si="12"/>
        <v>202</v>
      </c>
      <c r="AH17" s="46">
        <f t="shared" si="8"/>
        <v>200</v>
      </c>
      <c r="AI17" s="34">
        <v>0</v>
      </c>
      <c r="AJ17" s="43"/>
      <c r="AK17" s="43">
        <f t="shared" si="13"/>
        <v>2202</v>
      </c>
      <c r="AL17" s="47">
        <f t="shared" si="14"/>
        <v>24773</v>
      </c>
      <c r="AM17" s="45">
        <f t="shared" si="9"/>
        <v>1950</v>
      </c>
      <c r="AN17" s="45">
        <f t="shared" si="15"/>
        <v>876.6875</v>
      </c>
      <c r="AO17" s="37">
        <v>0</v>
      </c>
      <c r="AP17" s="43">
        <f t="shared" si="16"/>
        <v>1888.2500000000002</v>
      </c>
      <c r="AQ17" s="34">
        <f t="shared" si="19"/>
        <v>31689.9375</v>
      </c>
      <c r="AR17" s="48">
        <f t="shared" si="17"/>
        <v>5704.1887499999993</v>
      </c>
      <c r="AS17" s="49">
        <f t="shared" si="18"/>
        <v>37394.126250000001</v>
      </c>
    </row>
    <row r="18" spans="1:45" s="12" customFormat="1" ht="22.5" x14ac:dyDescent="0.45">
      <c r="A18" s="28">
        <v>13</v>
      </c>
      <c r="B18" s="42" t="s">
        <v>56</v>
      </c>
      <c r="C18" s="30" t="s">
        <v>279</v>
      </c>
      <c r="D18" s="30" t="s">
        <v>280</v>
      </c>
      <c r="E18" s="31">
        <v>102181434167</v>
      </c>
      <c r="F18" s="30">
        <v>3317426696</v>
      </c>
      <c r="G18" s="29" t="s">
        <v>281</v>
      </c>
      <c r="H18" s="31">
        <v>413570798204</v>
      </c>
      <c r="I18" s="33" t="s">
        <v>44</v>
      </c>
      <c r="J18" s="32" t="s">
        <v>278</v>
      </c>
      <c r="K18" s="32">
        <v>33610</v>
      </c>
      <c r="L18" s="55" t="s">
        <v>512</v>
      </c>
      <c r="M18" s="59" t="s">
        <v>513</v>
      </c>
      <c r="N18" s="29" t="s">
        <v>514</v>
      </c>
      <c r="O18" s="29">
        <v>6389004132</v>
      </c>
      <c r="P18" s="33" t="str">
        <f>VLOOKUP(B18,'[1]Sagar Enterprises '!$B$3:$J$123,9,0)</f>
        <v xml:space="preserve">Semi-Skilled </v>
      </c>
      <c r="Q18" s="34">
        <v>15382</v>
      </c>
      <c r="R18" s="34">
        <v>2511</v>
      </c>
      <c r="S18" s="34">
        <f t="shared" si="0"/>
        <v>894.65000000000009</v>
      </c>
      <c r="T18" s="43">
        <f t="shared" si="1"/>
        <v>18787.650000000001</v>
      </c>
      <c r="U18" s="43">
        <v>86</v>
      </c>
      <c r="V18" s="35">
        <v>25</v>
      </c>
      <c r="W18" s="35">
        <v>1</v>
      </c>
      <c r="X18" s="44">
        <v>26</v>
      </c>
      <c r="Y18" s="36">
        <v>68</v>
      </c>
      <c r="Z18" s="43">
        <f t="shared" si="2"/>
        <v>15382</v>
      </c>
      <c r="AA18" s="43">
        <f t="shared" si="3"/>
        <v>2511</v>
      </c>
      <c r="AB18" s="43">
        <f t="shared" si="4"/>
        <v>895</v>
      </c>
      <c r="AC18" s="43">
        <f t="shared" si="5"/>
        <v>18788</v>
      </c>
      <c r="AD18" s="43">
        <f t="shared" si="6"/>
        <v>5848</v>
      </c>
      <c r="AE18" s="43">
        <f t="shared" si="11"/>
        <v>24636</v>
      </c>
      <c r="AF18" s="45">
        <f t="shared" si="7"/>
        <v>1800</v>
      </c>
      <c r="AG18" s="45">
        <f t="shared" si="12"/>
        <v>185</v>
      </c>
      <c r="AH18" s="46">
        <f t="shared" si="8"/>
        <v>200</v>
      </c>
      <c r="AI18" s="34">
        <v>0</v>
      </c>
      <c r="AJ18" s="43">
        <v>1000</v>
      </c>
      <c r="AK18" s="43">
        <f t="shared" si="13"/>
        <v>3185</v>
      </c>
      <c r="AL18" s="47">
        <f t="shared" si="14"/>
        <v>21451</v>
      </c>
      <c r="AM18" s="45">
        <f t="shared" si="9"/>
        <v>1950</v>
      </c>
      <c r="AN18" s="45">
        <f t="shared" si="15"/>
        <v>800.67000000000007</v>
      </c>
      <c r="AO18" s="37">
        <v>0</v>
      </c>
      <c r="AP18" s="43">
        <f t="shared" si="16"/>
        <v>1724.5200000000002</v>
      </c>
      <c r="AQ18" s="34">
        <f t="shared" si="19"/>
        <v>29111.19</v>
      </c>
      <c r="AR18" s="48">
        <f t="shared" si="17"/>
        <v>5240.0141999999996</v>
      </c>
      <c r="AS18" s="49">
        <f t="shared" si="18"/>
        <v>34351.2042</v>
      </c>
    </row>
    <row r="19" spans="1:45" s="12" customFormat="1" ht="22.5" x14ac:dyDescent="0.45">
      <c r="A19" s="42">
        <v>14</v>
      </c>
      <c r="B19" s="42" t="s">
        <v>57</v>
      </c>
      <c r="C19" s="30" t="s">
        <v>282</v>
      </c>
      <c r="D19" s="30" t="s">
        <v>283</v>
      </c>
      <c r="E19" s="31">
        <v>102354440364</v>
      </c>
      <c r="F19" s="30">
        <v>3318604020</v>
      </c>
      <c r="G19" s="29" t="s">
        <v>284</v>
      </c>
      <c r="H19" s="31">
        <v>430453114264</v>
      </c>
      <c r="I19" s="33" t="s">
        <v>44</v>
      </c>
      <c r="J19" s="32" t="s">
        <v>278</v>
      </c>
      <c r="K19" s="32" t="s">
        <v>285</v>
      </c>
      <c r="L19" s="55" t="s">
        <v>515</v>
      </c>
      <c r="M19" s="59">
        <v>687502010011955</v>
      </c>
      <c r="N19" s="29" t="s">
        <v>516</v>
      </c>
      <c r="O19" s="29">
        <v>9325306144</v>
      </c>
      <c r="P19" s="33" t="str">
        <f>VLOOKUP(B19,'[1]Sagar Enterprises '!$B$3:$J$123,9,0)</f>
        <v xml:space="preserve">Semi-Skilled </v>
      </c>
      <c r="Q19" s="34">
        <v>15382</v>
      </c>
      <c r="R19" s="34">
        <v>2511</v>
      </c>
      <c r="S19" s="34">
        <f t="shared" si="0"/>
        <v>894.65000000000009</v>
      </c>
      <c r="T19" s="43">
        <f t="shared" si="1"/>
        <v>18787.650000000001</v>
      </c>
      <c r="U19" s="43">
        <v>86</v>
      </c>
      <c r="V19" s="35">
        <v>8</v>
      </c>
      <c r="W19" s="35">
        <v>0</v>
      </c>
      <c r="X19" s="44">
        <v>8</v>
      </c>
      <c r="Y19" s="36">
        <v>40</v>
      </c>
      <c r="Z19" s="43">
        <f t="shared" si="2"/>
        <v>4733</v>
      </c>
      <c r="AA19" s="43">
        <f t="shared" si="3"/>
        <v>773</v>
      </c>
      <c r="AB19" s="43">
        <f t="shared" si="4"/>
        <v>275</v>
      </c>
      <c r="AC19" s="43">
        <f t="shared" si="5"/>
        <v>5781</v>
      </c>
      <c r="AD19" s="43">
        <f t="shared" si="6"/>
        <v>3440</v>
      </c>
      <c r="AE19" s="43">
        <f t="shared" si="11"/>
        <v>9221</v>
      </c>
      <c r="AF19" s="45">
        <f t="shared" si="7"/>
        <v>660.72</v>
      </c>
      <c r="AG19" s="45">
        <f t="shared" si="12"/>
        <v>69</v>
      </c>
      <c r="AH19" s="46">
        <f t="shared" si="8"/>
        <v>175</v>
      </c>
      <c r="AI19" s="34">
        <v>0</v>
      </c>
      <c r="AJ19" s="43"/>
      <c r="AK19" s="43">
        <f t="shared" si="13"/>
        <v>905</v>
      </c>
      <c r="AL19" s="47">
        <f t="shared" si="14"/>
        <v>8316</v>
      </c>
      <c r="AM19" s="45">
        <f t="shared" si="9"/>
        <v>715.78</v>
      </c>
      <c r="AN19" s="45">
        <f t="shared" si="15"/>
        <v>299.6825</v>
      </c>
      <c r="AO19" s="37">
        <v>0</v>
      </c>
      <c r="AP19" s="43">
        <f t="shared" si="16"/>
        <v>645.47</v>
      </c>
      <c r="AQ19" s="34">
        <f t="shared" si="19"/>
        <v>10881.932500000001</v>
      </c>
      <c r="AR19" s="48">
        <f t="shared" si="17"/>
        <v>1958.74785</v>
      </c>
      <c r="AS19" s="49">
        <f t="shared" si="18"/>
        <v>12840.680350000001</v>
      </c>
    </row>
    <row r="20" spans="1:45" s="12" customFormat="1" ht="22.5" x14ac:dyDescent="0.45">
      <c r="A20" s="42">
        <v>15</v>
      </c>
      <c r="B20" s="42" t="s">
        <v>59</v>
      </c>
      <c r="C20" s="30" t="s">
        <v>286</v>
      </c>
      <c r="D20" s="30" t="s">
        <v>287</v>
      </c>
      <c r="E20" s="31">
        <v>102112208340</v>
      </c>
      <c r="F20" s="30">
        <v>3316784933</v>
      </c>
      <c r="G20" s="29" t="s">
        <v>288</v>
      </c>
      <c r="H20" s="31">
        <v>668088226851</v>
      </c>
      <c r="I20" s="33" t="s">
        <v>44</v>
      </c>
      <c r="J20" s="32" t="s">
        <v>289</v>
      </c>
      <c r="K20" s="32">
        <v>38667</v>
      </c>
      <c r="L20" s="55" t="s">
        <v>517</v>
      </c>
      <c r="M20" s="59">
        <v>924010032415535</v>
      </c>
      <c r="N20" s="29" t="s">
        <v>518</v>
      </c>
      <c r="O20" s="29">
        <v>9284771326</v>
      </c>
      <c r="P20" s="33" t="str">
        <f>VLOOKUP(B20,'[1]Sagar Enterprises '!$B$3:$J$123,9,0)</f>
        <v xml:space="preserve">Semi-Skilled </v>
      </c>
      <c r="Q20" s="34">
        <v>15382</v>
      </c>
      <c r="R20" s="34">
        <v>2511</v>
      </c>
      <c r="S20" s="34">
        <f t="shared" si="0"/>
        <v>894.65000000000009</v>
      </c>
      <c r="T20" s="43">
        <f t="shared" si="1"/>
        <v>18787.650000000001</v>
      </c>
      <c r="U20" s="43">
        <v>86</v>
      </c>
      <c r="V20" s="35">
        <v>22</v>
      </c>
      <c r="W20" s="35">
        <v>1</v>
      </c>
      <c r="X20" s="44">
        <v>23</v>
      </c>
      <c r="Y20" s="36">
        <v>24</v>
      </c>
      <c r="Z20" s="43">
        <f t="shared" si="2"/>
        <v>13607</v>
      </c>
      <c r="AA20" s="43">
        <f t="shared" si="3"/>
        <v>2221</v>
      </c>
      <c r="AB20" s="43">
        <f t="shared" si="4"/>
        <v>791</v>
      </c>
      <c r="AC20" s="43">
        <f t="shared" si="5"/>
        <v>16619</v>
      </c>
      <c r="AD20" s="43">
        <f t="shared" si="6"/>
        <v>2064</v>
      </c>
      <c r="AE20" s="43">
        <f t="shared" si="11"/>
        <v>18683</v>
      </c>
      <c r="AF20" s="45">
        <f t="shared" si="7"/>
        <v>1800</v>
      </c>
      <c r="AG20" s="45">
        <f t="shared" si="12"/>
        <v>140</v>
      </c>
      <c r="AH20" s="46">
        <f t="shared" si="8"/>
        <v>200</v>
      </c>
      <c r="AI20" s="34">
        <v>0</v>
      </c>
      <c r="AJ20" s="43"/>
      <c r="AK20" s="43">
        <f t="shared" si="13"/>
        <v>2140</v>
      </c>
      <c r="AL20" s="47">
        <f t="shared" si="14"/>
        <v>16543</v>
      </c>
      <c r="AM20" s="45">
        <f t="shared" si="9"/>
        <v>1950</v>
      </c>
      <c r="AN20" s="45">
        <f t="shared" si="15"/>
        <v>607.19749999999999</v>
      </c>
      <c r="AO20" s="37">
        <v>0</v>
      </c>
      <c r="AP20" s="43">
        <f t="shared" si="16"/>
        <v>1307.8100000000002</v>
      </c>
      <c r="AQ20" s="34">
        <f t="shared" si="19"/>
        <v>22548.0075</v>
      </c>
      <c r="AR20" s="48">
        <f t="shared" si="17"/>
        <v>4058.6413499999999</v>
      </c>
      <c r="AS20" s="49">
        <f t="shared" si="18"/>
        <v>26606.648849999998</v>
      </c>
    </row>
    <row r="21" spans="1:45" s="12" customFormat="1" ht="22.5" x14ac:dyDescent="0.45">
      <c r="A21" s="28">
        <v>16</v>
      </c>
      <c r="B21" s="42" t="s">
        <v>60</v>
      </c>
      <c r="C21" s="30" t="s">
        <v>290</v>
      </c>
      <c r="D21" s="30" t="s">
        <v>291</v>
      </c>
      <c r="E21" s="31">
        <v>102064067667</v>
      </c>
      <c r="F21" s="30">
        <v>3518462875</v>
      </c>
      <c r="G21" s="29" t="s">
        <v>292</v>
      </c>
      <c r="H21" s="31">
        <v>647980824388</v>
      </c>
      <c r="I21" s="33" t="s">
        <v>44</v>
      </c>
      <c r="J21" s="32">
        <v>46333</v>
      </c>
      <c r="K21" s="32">
        <v>38811</v>
      </c>
      <c r="L21" s="55" t="s">
        <v>504</v>
      </c>
      <c r="M21" s="59">
        <v>60204208003</v>
      </c>
      <c r="N21" s="29" t="s">
        <v>519</v>
      </c>
      <c r="O21" s="29">
        <v>7499043674</v>
      </c>
      <c r="P21" s="33" t="str">
        <f>VLOOKUP(B21,'[1]Sagar Enterprises '!$B$3:$J$123,9,0)</f>
        <v xml:space="preserve">Semi-Skilled </v>
      </c>
      <c r="Q21" s="34">
        <v>15382</v>
      </c>
      <c r="R21" s="34">
        <v>2511</v>
      </c>
      <c r="S21" s="34">
        <f t="shared" si="0"/>
        <v>894.65000000000009</v>
      </c>
      <c r="T21" s="43">
        <f t="shared" si="1"/>
        <v>18787.650000000001</v>
      </c>
      <c r="U21" s="43">
        <v>86</v>
      </c>
      <c r="V21" s="35">
        <v>14</v>
      </c>
      <c r="W21" s="35">
        <v>1</v>
      </c>
      <c r="X21" s="44">
        <v>15</v>
      </c>
      <c r="Y21" s="36">
        <v>8</v>
      </c>
      <c r="Z21" s="43">
        <f t="shared" si="2"/>
        <v>8874</v>
      </c>
      <c r="AA21" s="43">
        <f t="shared" si="3"/>
        <v>1449</v>
      </c>
      <c r="AB21" s="43">
        <f t="shared" si="4"/>
        <v>516</v>
      </c>
      <c r="AC21" s="43">
        <f t="shared" si="5"/>
        <v>10839</v>
      </c>
      <c r="AD21" s="43">
        <f t="shared" si="6"/>
        <v>688</v>
      </c>
      <c r="AE21" s="43">
        <f t="shared" si="11"/>
        <v>11527</v>
      </c>
      <c r="AF21" s="45">
        <f t="shared" si="7"/>
        <v>1238.76</v>
      </c>
      <c r="AG21" s="45">
        <f t="shared" si="12"/>
        <v>86</v>
      </c>
      <c r="AH21" s="46">
        <f t="shared" si="8"/>
        <v>200</v>
      </c>
      <c r="AI21" s="34">
        <v>0</v>
      </c>
      <c r="AJ21" s="43"/>
      <c r="AK21" s="43">
        <f t="shared" si="13"/>
        <v>1525</v>
      </c>
      <c r="AL21" s="47">
        <f t="shared" si="14"/>
        <v>10002</v>
      </c>
      <c r="AM21" s="45">
        <f t="shared" si="9"/>
        <v>1341.99</v>
      </c>
      <c r="AN21" s="45">
        <f t="shared" si="15"/>
        <v>374.6275</v>
      </c>
      <c r="AO21" s="37">
        <v>0</v>
      </c>
      <c r="AP21" s="43">
        <f t="shared" si="16"/>
        <v>806.8900000000001</v>
      </c>
      <c r="AQ21" s="34">
        <f t="shared" si="19"/>
        <v>14050.5075</v>
      </c>
      <c r="AR21" s="48">
        <f t="shared" si="17"/>
        <v>2529.0913499999997</v>
      </c>
      <c r="AS21" s="49">
        <f t="shared" si="18"/>
        <v>16579.598849999998</v>
      </c>
    </row>
    <row r="22" spans="1:45" s="12" customFormat="1" ht="22.5" x14ac:dyDescent="0.45">
      <c r="A22" s="42">
        <v>17</v>
      </c>
      <c r="B22" s="42" t="s">
        <v>61</v>
      </c>
      <c r="C22" s="30" t="s">
        <v>293</v>
      </c>
      <c r="D22" s="30" t="s">
        <v>294</v>
      </c>
      <c r="E22" s="31">
        <v>102360127997</v>
      </c>
      <c r="F22" s="30">
        <v>3319012869</v>
      </c>
      <c r="G22" s="29" t="s">
        <v>295</v>
      </c>
      <c r="H22" s="31">
        <v>887446784412</v>
      </c>
      <c r="I22" s="33" t="s">
        <v>44</v>
      </c>
      <c r="J22" s="32">
        <v>46180</v>
      </c>
      <c r="K22" s="32">
        <v>38421</v>
      </c>
      <c r="L22" s="55" t="s">
        <v>512</v>
      </c>
      <c r="M22" s="59">
        <v>41438100006348</v>
      </c>
      <c r="N22" s="29" t="s">
        <v>520</v>
      </c>
      <c r="O22" s="29">
        <v>8299062771</v>
      </c>
      <c r="P22" s="33" t="str">
        <f>VLOOKUP(B22,'[1]Sagar Enterprises '!$B$3:$J$123,9,0)</f>
        <v xml:space="preserve">Semi-Skilled </v>
      </c>
      <c r="Q22" s="34">
        <v>15382</v>
      </c>
      <c r="R22" s="34">
        <v>2511</v>
      </c>
      <c r="S22" s="34">
        <f t="shared" si="0"/>
        <v>894.65000000000009</v>
      </c>
      <c r="T22" s="43">
        <f t="shared" si="1"/>
        <v>18787.650000000001</v>
      </c>
      <c r="U22" s="43">
        <v>86</v>
      </c>
      <c r="V22" s="35">
        <v>25</v>
      </c>
      <c r="W22" s="35">
        <v>1</v>
      </c>
      <c r="X22" s="44">
        <v>26</v>
      </c>
      <c r="Y22" s="36">
        <v>96</v>
      </c>
      <c r="Z22" s="43">
        <f t="shared" si="2"/>
        <v>15382</v>
      </c>
      <c r="AA22" s="43">
        <f t="shared" si="3"/>
        <v>2511</v>
      </c>
      <c r="AB22" s="43">
        <f t="shared" si="4"/>
        <v>895</v>
      </c>
      <c r="AC22" s="43">
        <f t="shared" si="5"/>
        <v>18788</v>
      </c>
      <c r="AD22" s="43">
        <f t="shared" si="6"/>
        <v>8256</v>
      </c>
      <c r="AE22" s="43">
        <f t="shared" ref="AE22:AE42" si="20">ROUND(AC22+AD22,0)</f>
        <v>27044</v>
      </c>
      <c r="AF22" s="45">
        <f t="shared" si="7"/>
        <v>1800</v>
      </c>
      <c r="AG22" s="45">
        <f t="shared" ref="AG22:AG42" si="21">ROUND(AE22*0.75%,0)</f>
        <v>203</v>
      </c>
      <c r="AH22" s="46">
        <f t="shared" si="8"/>
        <v>200</v>
      </c>
      <c r="AI22" s="34">
        <v>0</v>
      </c>
      <c r="AJ22" s="43"/>
      <c r="AK22" s="43">
        <f t="shared" ref="AK22:AK42" si="22">ROUND(SUM(AF22:AJ22),0)</f>
        <v>2203</v>
      </c>
      <c r="AL22" s="47">
        <f t="shared" ref="AL22:AL42" si="23">ROUND(AE22-AK22,0)</f>
        <v>24841</v>
      </c>
      <c r="AM22" s="45">
        <f t="shared" si="9"/>
        <v>1950</v>
      </c>
      <c r="AN22" s="45">
        <f t="shared" ref="AN22:AN42" si="24">(AE22)*3.25%</f>
        <v>878.93000000000006</v>
      </c>
      <c r="AO22" s="37">
        <v>0</v>
      </c>
      <c r="AP22" s="43">
        <f t="shared" ref="AP22:AP42" si="25">AE22*7%</f>
        <v>1893.0800000000002</v>
      </c>
      <c r="AQ22" s="34">
        <f t="shared" ref="AQ22:AQ42" si="26">AE22+AM22+AN22+AO22+AP22</f>
        <v>31766.010000000002</v>
      </c>
      <c r="AR22" s="48">
        <f t="shared" ref="AR22:AR42" si="27">AQ22*18%</f>
        <v>5717.8818000000001</v>
      </c>
      <c r="AS22" s="49">
        <f t="shared" ref="AS22:AS42" si="28">AQ22+AR22</f>
        <v>37483.891800000005</v>
      </c>
    </row>
    <row r="23" spans="1:45" s="12" customFormat="1" ht="22.5" x14ac:dyDescent="0.45">
      <c r="A23" s="42">
        <v>18</v>
      </c>
      <c r="B23" s="42" t="s">
        <v>62</v>
      </c>
      <c r="C23" s="30" t="s">
        <v>296</v>
      </c>
      <c r="D23" s="30" t="s">
        <v>297</v>
      </c>
      <c r="E23" s="31">
        <v>102359888377</v>
      </c>
      <c r="F23" s="30">
        <v>3318870134</v>
      </c>
      <c r="G23" s="29" t="s">
        <v>298</v>
      </c>
      <c r="H23" s="31">
        <v>566903249137</v>
      </c>
      <c r="I23" s="33" t="s">
        <v>44</v>
      </c>
      <c r="J23" s="32">
        <v>46302</v>
      </c>
      <c r="K23" s="32" t="s">
        <v>299</v>
      </c>
      <c r="L23" s="55" t="s">
        <v>499</v>
      </c>
      <c r="M23" s="59">
        <v>110266471822</v>
      </c>
      <c r="N23" s="29" t="s">
        <v>500</v>
      </c>
      <c r="O23" s="29">
        <v>9309260335</v>
      </c>
      <c r="P23" s="33" t="str">
        <f>VLOOKUP(B23,'[1]Sagar Enterprises '!$B$3:$J$123,9,0)</f>
        <v xml:space="preserve">Semi-Skilled </v>
      </c>
      <c r="Q23" s="34">
        <v>15382</v>
      </c>
      <c r="R23" s="34">
        <v>2511</v>
      </c>
      <c r="S23" s="34">
        <f t="shared" si="0"/>
        <v>894.65000000000009</v>
      </c>
      <c r="T23" s="43">
        <f t="shared" si="1"/>
        <v>18787.650000000001</v>
      </c>
      <c r="U23" s="43">
        <v>86</v>
      </c>
      <c r="V23" s="35">
        <v>21</v>
      </c>
      <c r="W23" s="35">
        <v>1</v>
      </c>
      <c r="X23" s="44">
        <v>22</v>
      </c>
      <c r="Y23" s="36">
        <v>60</v>
      </c>
      <c r="Z23" s="43">
        <f t="shared" si="2"/>
        <v>13016</v>
      </c>
      <c r="AA23" s="43">
        <f t="shared" si="3"/>
        <v>2125</v>
      </c>
      <c r="AB23" s="43">
        <f t="shared" si="4"/>
        <v>757</v>
      </c>
      <c r="AC23" s="43">
        <f t="shared" si="5"/>
        <v>15898</v>
      </c>
      <c r="AD23" s="43">
        <f t="shared" si="6"/>
        <v>5160</v>
      </c>
      <c r="AE23" s="43">
        <f t="shared" si="20"/>
        <v>21058</v>
      </c>
      <c r="AF23" s="45">
        <f t="shared" si="7"/>
        <v>1800</v>
      </c>
      <c r="AG23" s="45">
        <f t="shared" si="21"/>
        <v>158</v>
      </c>
      <c r="AH23" s="46">
        <f t="shared" si="8"/>
        <v>200</v>
      </c>
      <c r="AI23" s="34">
        <v>0</v>
      </c>
      <c r="AJ23" s="43"/>
      <c r="AK23" s="43">
        <f t="shared" si="22"/>
        <v>2158</v>
      </c>
      <c r="AL23" s="47">
        <f t="shared" si="23"/>
        <v>18900</v>
      </c>
      <c r="AM23" s="45">
        <f t="shared" si="9"/>
        <v>1950</v>
      </c>
      <c r="AN23" s="45">
        <f t="shared" si="24"/>
        <v>684.38499999999999</v>
      </c>
      <c r="AO23" s="37">
        <v>0</v>
      </c>
      <c r="AP23" s="43">
        <f t="shared" si="25"/>
        <v>1474.0600000000002</v>
      </c>
      <c r="AQ23" s="34">
        <f t="shared" si="26"/>
        <v>25166.445</v>
      </c>
      <c r="AR23" s="48">
        <f t="shared" si="27"/>
        <v>4529.9600999999993</v>
      </c>
      <c r="AS23" s="49">
        <f t="shared" si="28"/>
        <v>29696.4051</v>
      </c>
    </row>
    <row r="24" spans="1:45" s="12" customFormat="1" ht="22.5" x14ac:dyDescent="0.45">
      <c r="A24" s="28">
        <v>19</v>
      </c>
      <c r="B24" s="42" t="s">
        <v>63</v>
      </c>
      <c r="C24" s="30" t="s">
        <v>300</v>
      </c>
      <c r="D24" s="30" t="s">
        <v>301</v>
      </c>
      <c r="E24" s="31">
        <v>101865934862</v>
      </c>
      <c r="F24" s="30">
        <v>3416577432</v>
      </c>
      <c r="G24" s="29" t="s">
        <v>302</v>
      </c>
      <c r="H24" s="31">
        <v>358588868149</v>
      </c>
      <c r="I24" s="33" t="s">
        <v>44</v>
      </c>
      <c r="J24" s="32">
        <v>46333</v>
      </c>
      <c r="K24" s="32">
        <v>37869</v>
      </c>
      <c r="L24" s="55" t="s">
        <v>521</v>
      </c>
      <c r="M24" s="59">
        <v>30002360061</v>
      </c>
      <c r="N24" s="29" t="s">
        <v>522</v>
      </c>
      <c r="O24" s="29">
        <v>8917841446</v>
      </c>
      <c r="P24" s="33" t="str">
        <f>VLOOKUP(B24,'[1]Sagar Enterprises '!$B$3:$J$123,9,0)</f>
        <v xml:space="preserve">Semi-Skilled </v>
      </c>
      <c r="Q24" s="34">
        <v>15382</v>
      </c>
      <c r="R24" s="34">
        <v>2511</v>
      </c>
      <c r="S24" s="34">
        <f t="shared" si="0"/>
        <v>894.65000000000009</v>
      </c>
      <c r="T24" s="43">
        <f t="shared" si="1"/>
        <v>18787.650000000001</v>
      </c>
      <c r="U24" s="43">
        <v>86</v>
      </c>
      <c r="V24" s="35">
        <v>25</v>
      </c>
      <c r="W24" s="35">
        <v>1</v>
      </c>
      <c r="X24" s="44">
        <v>26</v>
      </c>
      <c r="Y24" s="36">
        <v>92</v>
      </c>
      <c r="Z24" s="43">
        <f t="shared" si="2"/>
        <v>15382</v>
      </c>
      <c r="AA24" s="43">
        <f t="shared" si="3"/>
        <v>2511</v>
      </c>
      <c r="AB24" s="43">
        <f t="shared" si="4"/>
        <v>895</v>
      </c>
      <c r="AC24" s="43">
        <f t="shared" si="5"/>
        <v>18788</v>
      </c>
      <c r="AD24" s="43">
        <f t="shared" si="6"/>
        <v>7912</v>
      </c>
      <c r="AE24" s="43">
        <f t="shared" si="20"/>
        <v>26700</v>
      </c>
      <c r="AF24" s="45">
        <f t="shared" si="7"/>
        <v>1800</v>
      </c>
      <c r="AG24" s="45">
        <f t="shared" si="21"/>
        <v>200</v>
      </c>
      <c r="AH24" s="46">
        <f t="shared" si="8"/>
        <v>200</v>
      </c>
      <c r="AI24" s="34">
        <v>0</v>
      </c>
      <c r="AJ24" s="43">
        <v>1000</v>
      </c>
      <c r="AK24" s="43">
        <f t="shared" si="22"/>
        <v>3200</v>
      </c>
      <c r="AL24" s="47">
        <f t="shared" si="23"/>
        <v>23500</v>
      </c>
      <c r="AM24" s="45">
        <f t="shared" si="9"/>
        <v>1950</v>
      </c>
      <c r="AN24" s="45">
        <f t="shared" si="24"/>
        <v>867.75</v>
      </c>
      <c r="AO24" s="37">
        <v>0</v>
      </c>
      <c r="AP24" s="43">
        <f t="shared" si="25"/>
        <v>1869.0000000000002</v>
      </c>
      <c r="AQ24" s="34">
        <f t="shared" si="26"/>
        <v>31386.75</v>
      </c>
      <c r="AR24" s="48">
        <f t="shared" si="27"/>
        <v>5649.6149999999998</v>
      </c>
      <c r="AS24" s="49">
        <f t="shared" si="28"/>
        <v>37036.364999999998</v>
      </c>
    </row>
    <row r="25" spans="1:45" s="12" customFormat="1" ht="22.5" x14ac:dyDescent="0.45">
      <c r="A25" s="42">
        <v>20</v>
      </c>
      <c r="B25" s="42" t="s">
        <v>64</v>
      </c>
      <c r="C25" s="30" t="s">
        <v>303</v>
      </c>
      <c r="D25" s="30" t="s">
        <v>304</v>
      </c>
      <c r="E25" s="31">
        <v>101757100864</v>
      </c>
      <c r="F25" s="30">
        <v>3313745878</v>
      </c>
      <c r="G25" s="29" t="s">
        <v>305</v>
      </c>
      <c r="H25" s="31">
        <v>408119615783</v>
      </c>
      <c r="I25" s="33" t="s">
        <v>44</v>
      </c>
      <c r="J25" s="32">
        <v>46333</v>
      </c>
      <c r="K25" s="32">
        <v>31393</v>
      </c>
      <c r="L25" s="55" t="s">
        <v>504</v>
      </c>
      <c r="M25" s="59">
        <v>60174931692</v>
      </c>
      <c r="N25" s="29" t="s">
        <v>493</v>
      </c>
      <c r="O25" s="29">
        <v>9657969155</v>
      </c>
      <c r="P25" s="33" t="str">
        <f>VLOOKUP(B25,'[1]Sagar Enterprises '!$B$3:$J$123,9,0)</f>
        <v xml:space="preserve">Semi-Skilled </v>
      </c>
      <c r="Q25" s="34">
        <v>15382</v>
      </c>
      <c r="R25" s="34">
        <v>2511</v>
      </c>
      <c r="S25" s="34">
        <f t="shared" si="0"/>
        <v>894.65000000000009</v>
      </c>
      <c r="T25" s="43">
        <f t="shared" si="1"/>
        <v>18787.650000000001</v>
      </c>
      <c r="U25" s="43">
        <v>86</v>
      </c>
      <c r="V25" s="35">
        <v>20</v>
      </c>
      <c r="W25" s="35">
        <v>1</v>
      </c>
      <c r="X25" s="44">
        <v>21</v>
      </c>
      <c r="Y25" s="36">
        <v>24</v>
      </c>
      <c r="Z25" s="43">
        <f t="shared" si="2"/>
        <v>12424</v>
      </c>
      <c r="AA25" s="43">
        <f t="shared" si="3"/>
        <v>2028</v>
      </c>
      <c r="AB25" s="43">
        <f t="shared" si="4"/>
        <v>723</v>
      </c>
      <c r="AC25" s="43">
        <f t="shared" si="5"/>
        <v>15175</v>
      </c>
      <c r="AD25" s="43">
        <f t="shared" si="6"/>
        <v>2064</v>
      </c>
      <c r="AE25" s="43">
        <f t="shared" si="20"/>
        <v>17239</v>
      </c>
      <c r="AF25" s="45">
        <f t="shared" si="7"/>
        <v>1734.24</v>
      </c>
      <c r="AG25" s="45">
        <f t="shared" si="21"/>
        <v>129</v>
      </c>
      <c r="AH25" s="46">
        <f t="shared" si="8"/>
        <v>200</v>
      </c>
      <c r="AI25" s="34">
        <v>0</v>
      </c>
      <c r="AJ25" s="43"/>
      <c r="AK25" s="43">
        <f t="shared" si="22"/>
        <v>2063</v>
      </c>
      <c r="AL25" s="47">
        <f t="shared" si="23"/>
        <v>15176</v>
      </c>
      <c r="AM25" s="45">
        <f t="shared" si="9"/>
        <v>1878.76</v>
      </c>
      <c r="AN25" s="45">
        <f t="shared" si="24"/>
        <v>560.26750000000004</v>
      </c>
      <c r="AO25" s="37">
        <v>0</v>
      </c>
      <c r="AP25" s="43">
        <f t="shared" si="25"/>
        <v>1206.73</v>
      </c>
      <c r="AQ25" s="34">
        <f t="shared" si="26"/>
        <v>20884.7575</v>
      </c>
      <c r="AR25" s="48">
        <f t="shared" si="27"/>
        <v>3759.2563499999997</v>
      </c>
      <c r="AS25" s="49">
        <f t="shared" si="28"/>
        <v>24644.013849999999</v>
      </c>
    </row>
    <row r="26" spans="1:45" s="12" customFormat="1" ht="22.5" x14ac:dyDescent="0.45">
      <c r="A26" s="42">
        <v>21</v>
      </c>
      <c r="B26" s="42" t="s">
        <v>65</v>
      </c>
      <c r="C26" s="30" t="s">
        <v>306</v>
      </c>
      <c r="D26" s="30" t="s">
        <v>307</v>
      </c>
      <c r="E26" s="31">
        <v>102017423584</v>
      </c>
      <c r="F26" s="30">
        <v>3315723746</v>
      </c>
      <c r="G26" s="29" t="s">
        <v>308</v>
      </c>
      <c r="H26" s="31">
        <v>672700524400</v>
      </c>
      <c r="I26" s="33" t="s">
        <v>44</v>
      </c>
      <c r="J26" s="32">
        <v>46302</v>
      </c>
      <c r="K26" s="32" t="s">
        <v>309</v>
      </c>
      <c r="L26" s="55" t="s">
        <v>523</v>
      </c>
      <c r="M26" s="59">
        <v>40869940459</v>
      </c>
      <c r="N26" s="29" t="s">
        <v>503</v>
      </c>
      <c r="O26" s="29">
        <v>9356879743</v>
      </c>
      <c r="P26" s="33" t="str">
        <f>VLOOKUP(B26,'[1]Sagar Enterprises '!$B$3:$J$123,9,0)</f>
        <v xml:space="preserve">Skilled </v>
      </c>
      <c r="Q26" s="43">
        <v>20543</v>
      </c>
      <c r="R26" s="43">
        <v>2511</v>
      </c>
      <c r="S26" s="43">
        <f t="shared" ref="S26" si="29">(Q26+R26)*5%</f>
        <v>1152.7</v>
      </c>
      <c r="T26" s="43">
        <f t="shared" si="1"/>
        <v>24206.7</v>
      </c>
      <c r="U26" s="43">
        <f t="shared" ref="U26" si="30">(Q26+R26)/26/8*2</f>
        <v>221.67307692307693</v>
      </c>
      <c r="V26" s="35">
        <v>25</v>
      </c>
      <c r="W26" s="35">
        <v>1</v>
      </c>
      <c r="X26" s="44">
        <v>26</v>
      </c>
      <c r="Y26" s="36">
        <v>180</v>
      </c>
      <c r="Z26" s="43">
        <f t="shared" si="2"/>
        <v>20543</v>
      </c>
      <c r="AA26" s="43">
        <f t="shared" si="3"/>
        <v>2511</v>
      </c>
      <c r="AB26" s="43">
        <f t="shared" si="4"/>
        <v>1153</v>
      </c>
      <c r="AC26" s="43">
        <f t="shared" si="5"/>
        <v>24207</v>
      </c>
      <c r="AD26" s="43">
        <f t="shared" si="6"/>
        <v>39901</v>
      </c>
      <c r="AE26" s="43">
        <f t="shared" si="20"/>
        <v>64108</v>
      </c>
      <c r="AF26" s="45">
        <f t="shared" si="7"/>
        <v>1800</v>
      </c>
      <c r="AG26" s="45">
        <f t="shared" si="21"/>
        <v>481</v>
      </c>
      <c r="AH26" s="46">
        <f t="shared" si="8"/>
        <v>200</v>
      </c>
      <c r="AI26" s="34">
        <v>0</v>
      </c>
      <c r="AJ26" s="43"/>
      <c r="AK26" s="43">
        <f t="shared" si="22"/>
        <v>2481</v>
      </c>
      <c r="AL26" s="47">
        <f t="shared" si="23"/>
        <v>61627</v>
      </c>
      <c r="AM26" s="45">
        <f t="shared" si="9"/>
        <v>1950</v>
      </c>
      <c r="AN26" s="45">
        <f t="shared" si="24"/>
        <v>2083.5100000000002</v>
      </c>
      <c r="AO26" s="37">
        <v>0</v>
      </c>
      <c r="AP26" s="43">
        <f t="shared" si="25"/>
        <v>4487.5600000000004</v>
      </c>
      <c r="AQ26" s="34">
        <f t="shared" si="26"/>
        <v>72629.069999999992</v>
      </c>
      <c r="AR26" s="48">
        <f t="shared" si="27"/>
        <v>13073.232599999998</v>
      </c>
      <c r="AS26" s="49">
        <f t="shared" si="28"/>
        <v>85702.302599999995</v>
      </c>
    </row>
    <row r="27" spans="1:45" s="12" customFormat="1" ht="22.5" x14ac:dyDescent="0.45">
      <c r="A27" s="28">
        <v>22</v>
      </c>
      <c r="B27" s="42" t="s">
        <v>66</v>
      </c>
      <c r="C27" s="30" t="s">
        <v>310</v>
      </c>
      <c r="D27" s="30" t="s">
        <v>311</v>
      </c>
      <c r="E27" s="31">
        <v>101604172982</v>
      </c>
      <c r="F27" s="30">
        <v>3312026745</v>
      </c>
      <c r="G27" s="29" t="s">
        <v>312</v>
      </c>
      <c r="H27" s="31">
        <v>852444064019</v>
      </c>
      <c r="I27" s="33" t="s">
        <v>44</v>
      </c>
      <c r="J27" s="32">
        <v>46333</v>
      </c>
      <c r="K27" s="32" t="s">
        <v>313</v>
      </c>
      <c r="L27" s="55" t="s">
        <v>504</v>
      </c>
      <c r="M27" s="59">
        <v>60290361035</v>
      </c>
      <c r="N27" s="29" t="s">
        <v>493</v>
      </c>
      <c r="O27" s="29">
        <v>9021282445</v>
      </c>
      <c r="P27" s="33" t="str">
        <f>VLOOKUP(B27,'[1]Sagar Enterprises '!$B$3:$J$123,9,0)</f>
        <v xml:space="preserve">Semi-Skilled </v>
      </c>
      <c r="Q27" s="34">
        <v>15382</v>
      </c>
      <c r="R27" s="34">
        <v>2511</v>
      </c>
      <c r="S27" s="34">
        <f t="shared" si="0"/>
        <v>894.65000000000009</v>
      </c>
      <c r="T27" s="43">
        <f t="shared" si="1"/>
        <v>18787.650000000001</v>
      </c>
      <c r="U27" s="43">
        <v>86</v>
      </c>
      <c r="V27" s="35">
        <v>15</v>
      </c>
      <c r="W27" s="35">
        <v>1</v>
      </c>
      <c r="X27" s="44">
        <v>16</v>
      </c>
      <c r="Y27" s="36">
        <v>8</v>
      </c>
      <c r="Z27" s="43">
        <f t="shared" si="2"/>
        <v>9466</v>
      </c>
      <c r="AA27" s="43">
        <f t="shared" si="3"/>
        <v>1545</v>
      </c>
      <c r="AB27" s="43">
        <f t="shared" si="4"/>
        <v>551</v>
      </c>
      <c r="AC27" s="43">
        <f t="shared" si="5"/>
        <v>11562</v>
      </c>
      <c r="AD27" s="43">
        <f t="shared" si="6"/>
        <v>688</v>
      </c>
      <c r="AE27" s="43">
        <f t="shared" si="20"/>
        <v>12250</v>
      </c>
      <c r="AF27" s="45">
        <f t="shared" si="7"/>
        <v>1321.32</v>
      </c>
      <c r="AG27" s="45">
        <f t="shared" si="21"/>
        <v>92</v>
      </c>
      <c r="AH27" s="46">
        <f t="shared" si="8"/>
        <v>200</v>
      </c>
      <c r="AI27" s="34">
        <v>0</v>
      </c>
      <c r="AJ27" s="43"/>
      <c r="AK27" s="43">
        <f t="shared" si="22"/>
        <v>1613</v>
      </c>
      <c r="AL27" s="47">
        <f t="shared" si="23"/>
        <v>10637</v>
      </c>
      <c r="AM27" s="45">
        <f t="shared" si="9"/>
        <v>1431.43</v>
      </c>
      <c r="AN27" s="45">
        <f t="shared" si="24"/>
        <v>398.125</v>
      </c>
      <c r="AO27" s="37">
        <v>0</v>
      </c>
      <c r="AP27" s="43">
        <f t="shared" si="25"/>
        <v>857.50000000000011</v>
      </c>
      <c r="AQ27" s="34">
        <f t="shared" si="26"/>
        <v>14937.055</v>
      </c>
      <c r="AR27" s="48">
        <f t="shared" si="27"/>
        <v>2688.6698999999999</v>
      </c>
      <c r="AS27" s="49">
        <f t="shared" si="28"/>
        <v>17625.724900000001</v>
      </c>
    </row>
    <row r="28" spans="1:45" s="12" customFormat="1" ht="22.5" x14ac:dyDescent="0.45">
      <c r="A28" s="42">
        <v>23</v>
      </c>
      <c r="B28" s="42" t="s">
        <v>67</v>
      </c>
      <c r="C28" s="30" t="s">
        <v>314</v>
      </c>
      <c r="D28" s="30" t="s">
        <v>315</v>
      </c>
      <c r="E28" s="31">
        <v>101112101513</v>
      </c>
      <c r="F28" s="30">
        <v>3314079511</v>
      </c>
      <c r="G28" s="29" t="s">
        <v>316</v>
      </c>
      <c r="H28" s="31">
        <v>952586516779</v>
      </c>
      <c r="I28" s="33" t="s">
        <v>44</v>
      </c>
      <c r="J28" s="32" t="s">
        <v>77</v>
      </c>
      <c r="K28" s="32">
        <v>35645</v>
      </c>
      <c r="L28" s="55" t="s">
        <v>512</v>
      </c>
      <c r="M28" s="59">
        <v>41250100004101</v>
      </c>
      <c r="N28" s="29" t="s">
        <v>524</v>
      </c>
      <c r="O28" s="29">
        <v>8261835695</v>
      </c>
      <c r="P28" s="33" t="str">
        <f>VLOOKUP(B28,'[1]Sagar Enterprises '!$B$3:$J$123,9,0)</f>
        <v xml:space="preserve">Semi-Skilled </v>
      </c>
      <c r="Q28" s="34">
        <v>15382</v>
      </c>
      <c r="R28" s="34">
        <v>2511</v>
      </c>
      <c r="S28" s="34">
        <f t="shared" si="0"/>
        <v>894.65000000000009</v>
      </c>
      <c r="T28" s="43">
        <f t="shared" si="1"/>
        <v>18787.650000000001</v>
      </c>
      <c r="U28" s="43">
        <v>86</v>
      </c>
      <c r="V28" s="35">
        <v>25</v>
      </c>
      <c r="W28" s="35">
        <v>1</v>
      </c>
      <c r="X28" s="44">
        <v>26</v>
      </c>
      <c r="Y28" s="36">
        <v>108</v>
      </c>
      <c r="Z28" s="43">
        <f t="shared" si="2"/>
        <v>15382</v>
      </c>
      <c r="AA28" s="43">
        <f t="shared" si="3"/>
        <v>2511</v>
      </c>
      <c r="AB28" s="43">
        <f t="shared" si="4"/>
        <v>895</v>
      </c>
      <c r="AC28" s="43">
        <f t="shared" si="5"/>
        <v>18788</v>
      </c>
      <c r="AD28" s="43">
        <f t="shared" si="6"/>
        <v>9288</v>
      </c>
      <c r="AE28" s="43">
        <f t="shared" si="20"/>
        <v>28076</v>
      </c>
      <c r="AF28" s="45">
        <f t="shared" si="7"/>
        <v>1800</v>
      </c>
      <c r="AG28" s="45">
        <f t="shared" si="21"/>
        <v>211</v>
      </c>
      <c r="AH28" s="46">
        <f t="shared" si="8"/>
        <v>200</v>
      </c>
      <c r="AI28" s="34">
        <v>0</v>
      </c>
      <c r="AJ28" s="43"/>
      <c r="AK28" s="43">
        <f t="shared" si="22"/>
        <v>2211</v>
      </c>
      <c r="AL28" s="47">
        <f t="shared" si="23"/>
        <v>25865</v>
      </c>
      <c r="AM28" s="45">
        <f t="shared" si="9"/>
        <v>1950</v>
      </c>
      <c r="AN28" s="45">
        <f t="shared" si="24"/>
        <v>912.47</v>
      </c>
      <c r="AO28" s="37">
        <v>0</v>
      </c>
      <c r="AP28" s="43">
        <f t="shared" si="25"/>
        <v>1965.3200000000002</v>
      </c>
      <c r="AQ28" s="34">
        <f t="shared" si="26"/>
        <v>32903.79</v>
      </c>
      <c r="AR28" s="48">
        <f t="shared" si="27"/>
        <v>5922.6822000000002</v>
      </c>
      <c r="AS28" s="49">
        <f t="shared" si="28"/>
        <v>38826.472200000004</v>
      </c>
    </row>
    <row r="29" spans="1:45" s="12" customFormat="1" ht="22.5" x14ac:dyDescent="0.45">
      <c r="A29" s="42">
        <v>24</v>
      </c>
      <c r="B29" s="42" t="s">
        <v>68</v>
      </c>
      <c r="C29" s="30" t="s">
        <v>317</v>
      </c>
      <c r="D29" s="30" t="s">
        <v>318</v>
      </c>
      <c r="E29" s="31">
        <v>101597828827</v>
      </c>
      <c r="F29" s="30">
        <v>6930206235</v>
      </c>
      <c r="G29" s="29" t="s">
        <v>319</v>
      </c>
      <c r="H29" s="31">
        <v>368277744498</v>
      </c>
      <c r="I29" s="33" t="s">
        <v>44</v>
      </c>
      <c r="J29" s="32" t="s">
        <v>320</v>
      </c>
      <c r="K29" s="32" t="s">
        <v>321</v>
      </c>
      <c r="L29" s="55" t="s">
        <v>510</v>
      </c>
      <c r="M29" s="59">
        <v>30001167214</v>
      </c>
      <c r="N29" s="29" t="s">
        <v>522</v>
      </c>
      <c r="O29" s="29">
        <v>8896609691</v>
      </c>
      <c r="P29" s="33" t="str">
        <f>VLOOKUP(B29,'[1]Sagar Enterprises '!$B$3:$J$123,9,0)</f>
        <v xml:space="preserve">Semi-Skilled </v>
      </c>
      <c r="Q29" s="34">
        <v>15382</v>
      </c>
      <c r="R29" s="34">
        <v>2511</v>
      </c>
      <c r="S29" s="34">
        <f t="shared" si="0"/>
        <v>894.65000000000009</v>
      </c>
      <c r="T29" s="43">
        <f t="shared" si="1"/>
        <v>18787.650000000001</v>
      </c>
      <c r="U29" s="43">
        <v>86</v>
      </c>
      <c r="V29" s="35">
        <v>25</v>
      </c>
      <c r="W29" s="35">
        <v>1</v>
      </c>
      <c r="X29" s="44">
        <v>26</v>
      </c>
      <c r="Y29" s="36">
        <v>65</v>
      </c>
      <c r="Z29" s="43">
        <f t="shared" si="2"/>
        <v>15382</v>
      </c>
      <c r="AA29" s="43">
        <f t="shared" si="3"/>
        <v>2511</v>
      </c>
      <c r="AB29" s="43">
        <f t="shared" si="4"/>
        <v>895</v>
      </c>
      <c r="AC29" s="43">
        <f t="shared" si="5"/>
        <v>18788</v>
      </c>
      <c r="AD29" s="43">
        <f t="shared" si="6"/>
        <v>5590</v>
      </c>
      <c r="AE29" s="43">
        <f t="shared" si="20"/>
        <v>24378</v>
      </c>
      <c r="AF29" s="45">
        <f t="shared" si="7"/>
        <v>1800</v>
      </c>
      <c r="AG29" s="45">
        <f t="shared" si="21"/>
        <v>183</v>
      </c>
      <c r="AH29" s="46">
        <f t="shared" si="8"/>
        <v>200</v>
      </c>
      <c r="AI29" s="34">
        <v>0</v>
      </c>
      <c r="AJ29" s="43"/>
      <c r="AK29" s="43">
        <f t="shared" si="22"/>
        <v>2183</v>
      </c>
      <c r="AL29" s="47">
        <f t="shared" si="23"/>
        <v>22195</v>
      </c>
      <c r="AM29" s="45">
        <f t="shared" si="9"/>
        <v>1950</v>
      </c>
      <c r="AN29" s="45">
        <f t="shared" si="24"/>
        <v>792.28500000000008</v>
      </c>
      <c r="AO29" s="37">
        <v>0</v>
      </c>
      <c r="AP29" s="43">
        <f t="shared" si="25"/>
        <v>1706.4600000000003</v>
      </c>
      <c r="AQ29" s="34">
        <f t="shared" si="26"/>
        <v>28826.744999999999</v>
      </c>
      <c r="AR29" s="48">
        <f t="shared" si="27"/>
        <v>5188.8140999999996</v>
      </c>
      <c r="AS29" s="49">
        <f t="shared" si="28"/>
        <v>34015.559099999999</v>
      </c>
    </row>
    <row r="30" spans="1:45" s="12" customFormat="1" ht="22.5" x14ac:dyDescent="0.45">
      <c r="A30" s="28">
        <v>25</v>
      </c>
      <c r="B30" s="42" t="s">
        <v>88</v>
      </c>
      <c r="C30" s="30" t="s">
        <v>322</v>
      </c>
      <c r="D30" s="30" t="s">
        <v>323</v>
      </c>
      <c r="E30" s="31">
        <v>101815422695</v>
      </c>
      <c r="F30" s="30">
        <v>3314197222</v>
      </c>
      <c r="G30" s="29" t="s">
        <v>324</v>
      </c>
      <c r="H30" s="31">
        <v>911754455890</v>
      </c>
      <c r="I30" s="33" t="s">
        <v>44</v>
      </c>
      <c r="J30" s="32" t="s">
        <v>325</v>
      </c>
      <c r="K30" s="32" t="s">
        <v>81</v>
      </c>
      <c r="L30" s="55" t="s">
        <v>525</v>
      </c>
      <c r="M30" s="59">
        <v>5100934543</v>
      </c>
      <c r="N30" s="29" t="s">
        <v>526</v>
      </c>
      <c r="O30" s="29">
        <v>8010847100</v>
      </c>
      <c r="P30" s="33" t="str">
        <f>VLOOKUP(B30,'[1]Sagar Enterprises '!$B$3:$J$123,9,0)</f>
        <v xml:space="preserve">Semi-Skilled </v>
      </c>
      <c r="Q30" s="34">
        <v>15382</v>
      </c>
      <c r="R30" s="34">
        <v>2511</v>
      </c>
      <c r="S30" s="34">
        <f t="shared" si="0"/>
        <v>894.65000000000009</v>
      </c>
      <c r="T30" s="43">
        <f t="shared" si="1"/>
        <v>18787.650000000001</v>
      </c>
      <c r="U30" s="43">
        <v>86</v>
      </c>
      <c r="V30" s="35">
        <v>23</v>
      </c>
      <c r="W30" s="35">
        <v>1</v>
      </c>
      <c r="X30" s="44">
        <v>24</v>
      </c>
      <c r="Y30" s="36">
        <v>4</v>
      </c>
      <c r="Z30" s="43">
        <f t="shared" si="2"/>
        <v>14199</v>
      </c>
      <c r="AA30" s="43">
        <f t="shared" si="3"/>
        <v>2318</v>
      </c>
      <c r="AB30" s="43">
        <f t="shared" si="4"/>
        <v>826</v>
      </c>
      <c r="AC30" s="43">
        <f t="shared" si="5"/>
        <v>17343</v>
      </c>
      <c r="AD30" s="43">
        <f t="shared" si="6"/>
        <v>344</v>
      </c>
      <c r="AE30" s="43">
        <f t="shared" si="20"/>
        <v>17687</v>
      </c>
      <c r="AF30" s="45">
        <f t="shared" si="7"/>
        <v>1800</v>
      </c>
      <c r="AG30" s="45">
        <f t="shared" si="21"/>
        <v>133</v>
      </c>
      <c r="AH30" s="46">
        <f t="shared" si="8"/>
        <v>200</v>
      </c>
      <c r="AI30" s="34">
        <v>0</v>
      </c>
      <c r="AJ30" s="43"/>
      <c r="AK30" s="43">
        <f t="shared" si="22"/>
        <v>2133</v>
      </c>
      <c r="AL30" s="47">
        <f t="shared" si="23"/>
        <v>15554</v>
      </c>
      <c r="AM30" s="45">
        <f t="shared" si="9"/>
        <v>1950</v>
      </c>
      <c r="AN30" s="45">
        <f t="shared" si="24"/>
        <v>574.82749999999999</v>
      </c>
      <c r="AO30" s="37">
        <v>0</v>
      </c>
      <c r="AP30" s="43">
        <f t="shared" si="25"/>
        <v>1238.0900000000001</v>
      </c>
      <c r="AQ30" s="34">
        <f t="shared" si="26"/>
        <v>21449.9175</v>
      </c>
      <c r="AR30" s="48">
        <f t="shared" si="27"/>
        <v>3860.98515</v>
      </c>
      <c r="AS30" s="49">
        <f t="shared" si="28"/>
        <v>25310.90265</v>
      </c>
    </row>
    <row r="31" spans="1:45" s="12" customFormat="1" ht="22.5" x14ac:dyDescent="0.45">
      <c r="A31" s="42">
        <v>26</v>
      </c>
      <c r="B31" s="42" t="s">
        <v>69</v>
      </c>
      <c r="C31" s="30" t="s">
        <v>326</v>
      </c>
      <c r="D31" s="30" t="s">
        <v>327</v>
      </c>
      <c r="E31" s="31">
        <v>101779790429</v>
      </c>
      <c r="F31" s="30">
        <v>5132023810</v>
      </c>
      <c r="G31" s="29" t="s">
        <v>328</v>
      </c>
      <c r="H31" s="31">
        <v>908528843593</v>
      </c>
      <c r="I31" s="33" t="s">
        <v>44</v>
      </c>
      <c r="J31" s="32" t="s">
        <v>329</v>
      </c>
      <c r="K31" s="32">
        <v>32509</v>
      </c>
      <c r="L31" s="55" t="s">
        <v>501</v>
      </c>
      <c r="M31" s="59" t="s">
        <v>527</v>
      </c>
      <c r="N31" s="29" t="s">
        <v>496</v>
      </c>
      <c r="O31" s="29">
        <v>9011689495</v>
      </c>
      <c r="P31" s="33" t="str">
        <f>VLOOKUP(B31,'[1]Sagar Enterprises '!$B$3:$J$123,9,0)</f>
        <v xml:space="preserve">Semi-Skilled </v>
      </c>
      <c r="Q31" s="34">
        <v>15382</v>
      </c>
      <c r="R31" s="34">
        <v>2511</v>
      </c>
      <c r="S31" s="34">
        <f t="shared" si="0"/>
        <v>894.65000000000009</v>
      </c>
      <c r="T31" s="43">
        <f t="shared" si="1"/>
        <v>18787.650000000001</v>
      </c>
      <c r="U31" s="43">
        <v>86</v>
      </c>
      <c r="V31" s="35">
        <v>19</v>
      </c>
      <c r="W31" s="35">
        <v>1</v>
      </c>
      <c r="X31" s="44">
        <v>20</v>
      </c>
      <c r="Y31" s="36">
        <v>40</v>
      </c>
      <c r="Z31" s="43">
        <f t="shared" si="2"/>
        <v>11832</v>
      </c>
      <c r="AA31" s="43">
        <f t="shared" si="3"/>
        <v>1932</v>
      </c>
      <c r="AB31" s="43">
        <f t="shared" si="4"/>
        <v>688</v>
      </c>
      <c r="AC31" s="43">
        <f t="shared" si="5"/>
        <v>14452</v>
      </c>
      <c r="AD31" s="43">
        <f t="shared" si="6"/>
        <v>3440</v>
      </c>
      <c r="AE31" s="43">
        <f t="shared" si="20"/>
        <v>17892</v>
      </c>
      <c r="AF31" s="45">
        <f t="shared" si="7"/>
        <v>1651.68</v>
      </c>
      <c r="AG31" s="45">
        <f t="shared" si="21"/>
        <v>134</v>
      </c>
      <c r="AH31" s="46">
        <f t="shared" si="8"/>
        <v>200</v>
      </c>
      <c r="AI31" s="34">
        <v>0</v>
      </c>
      <c r="AJ31" s="43"/>
      <c r="AK31" s="43">
        <f t="shared" si="22"/>
        <v>1986</v>
      </c>
      <c r="AL31" s="47">
        <f t="shared" si="23"/>
        <v>15906</v>
      </c>
      <c r="AM31" s="45">
        <f t="shared" si="9"/>
        <v>1789.32</v>
      </c>
      <c r="AN31" s="45">
        <f t="shared" si="24"/>
        <v>581.49</v>
      </c>
      <c r="AO31" s="37">
        <v>0</v>
      </c>
      <c r="AP31" s="43">
        <f t="shared" si="25"/>
        <v>1252.44</v>
      </c>
      <c r="AQ31" s="34">
        <f t="shared" si="26"/>
        <v>21515.25</v>
      </c>
      <c r="AR31" s="48">
        <f t="shared" si="27"/>
        <v>3872.7449999999999</v>
      </c>
      <c r="AS31" s="49">
        <f t="shared" si="28"/>
        <v>25387.994999999999</v>
      </c>
    </row>
    <row r="32" spans="1:45" s="12" customFormat="1" ht="22.5" x14ac:dyDescent="0.45">
      <c r="A32" s="42">
        <v>27</v>
      </c>
      <c r="B32" s="42" t="s">
        <v>70</v>
      </c>
      <c r="C32" s="30" t="s">
        <v>330</v>
      </c>
      <c r="D32" s="30" t="s">
        <v>331</v>
      </c>
      <c r="E32" s="31">
        <v>102361841952</v>
      </c>
      <c r="F32" s="30">
        <v>3319017289</v>
      </c>
      <c r="G32" s="29" t="s">
        <v>332</v>
      </c>
      <c r="H32" s="31">
        <v>499657435512</v>
      </c>
      <c r="I32" s="33" t="s">
        <v>44</v>
      </c>
      <c r="J32" s="32" t="s">
        <v>78</v>
      </c>
      <c r="K32" s="32" t="s">
        <v>333</v>
      </c>
      <c r="L32" s="55" t="s">
        <v>510</v>
      </c>
      <c r="M32" s="59">
        <v>30000246242</v>
      </c>
      <c r="N32" s="29" t="s">
        <v>511</v>
      </c>
      <c r="O32" s="29">
        <v>7266021504</v>
      </c>
      <c r="P32" s="33" t="str">
        <f>VLOOKUP(B32,'[1]Sagar Enterprises '!$B$3:$J$123,9,0)</f>
        <v xml:space="preserve">Semi-Skilled </v>
      </c>
      <c r="Q32" s="34">
        <v>15382</v>
      </c>
      <c r="R32" s="34">
        <v>2511</v>
      </c>
      <c r="S32" s="34">
        <f t="shared" si="0"/>
        <v>894.65000000000009</v>
      </c>
      <c r="T32" s="43">
        <f t="shared" si="1"/>
        <v>18787.650000000001</v>
      </c>
      <c r="U32" s="43">
        <v>86</v>
      </c>
      <c r="V32" s="35">
        <v>24</v>
      </c>
      <c r="W32" s="35">
        <v>1</v>
      </c>
      <c r="X32" s="44">
        <v>25</v>
      </c>
      <c r="Y32" s="36">
        <v>68</v>
      </c>
      <c r="Z32" s="43">
        <f t="shared" si="2"/>
        <v>14790</v>
      </c>
      <c r="AA32" s="43">
        <f t="shared" si="3"/>
        <v>2414</v>
      </c>
      <c r="AB32" s="43">
        <f t="shared" si="4"/>
        <v>860</v>
      </c>
      <c r="AC32" s="43">
        <f t="shared" si="5"/>
        <v>18064</v>
      </c>
      <c r="AD32" s="43">
        <f t="shared" si="6"/>
        <v>5848</v>
      </c>
      <c r="AE32" s="43">
        <f t="shared" si="20"/>
        <v>23912</v>
      </c>
      <c r="AF32" s="45">
        <f t="shared" si="7"/>
        <v>1800</v>
      </c>
      <c r="AG32" s="45">
        <f t="shared" si="21"/>
        <v>179</v>
      </c>
      <c r="AH32" s="46">
        <f t="shared" si="8"/>
        <v>200</v>
      </c>
      <c r="AI32" s="34">
        <v>0</v>
      </c>
      <c r="AJ32" s="43"/>
      <c r="AK32" s="43">
        <f t="shared" si="22"/>
        <v>2179</v>
      </c>
      <c r="AL32" s="47">
        <f t="shared" si="23"/>
        <v>21733</v>
      </c>
      <c r="AM32" s="45">
        <f t="shared" si="9"/>
        <v>1950</v>
      </c>
      <c r="AN32" s="45">
        <f t="shared" si="24"/>
        <v>777.14</v>
      </c>
      <c r="AO32" s="37">
        <v>0</v>
      </c>
      <c r="AP32" s="43">
        <f t="shared" si="25"/>
        <v>1673.8400000000001</v>
      </c>
      <c r="AQ32" s="34">
        <f t="shared" si="26"/>
        <v>28312.98</v>
      </c>
      <c r="AR32" s="48">
        <f t="shared" si="27"/>
        <v>5096.3364000000001</v>
      </c>
      <c r="AS32" s="49">
        <f t="shared" si="28"/>
        <v>33409.316399999996</v>
      </c>
    </row>
    <row r="33" spans="1:45" s="12" customFormat="1" ht="22.5" x14ac:dyDescent="0.45">
      <c r="A33" s="28">
        <v>28</v>
      </c>
      <c r="B33" s="42" t="s">
        <v>71</v>
      </c>
      <c r="C33" s="30" t="s">
        <v>334</v>
      </c>
      <c r="D33" s="30" t="s">
        <v>335</v>
      </c>
      <c r="E33" s="31">
        <v>101792485695</v>
      </c>
      <c r="F33" s="30">
        <v>3318712338</v>
      </c>
      <c r="G33" s="29" t="s">
        <v>79</v>
      </c>
      <c r="H33" s="31">
        <v>915828415086</v>
      </c>
      <c r="I33" s="33" t="s">
        <v>44</v>
      </c>
      <c r="J33" s="32" t="s">
        <v>78</v>
      </c>
      <c r="K33" s="32">
        <v>36896</v>
      </c>
      <c r="L33" s="55" t="s">
        <v>523</v>
      </c>
      <c r="M33" s="59">
        <v>38693638328</v>
      </c>
      <c r="N33" s="29" t="s">
        <v>528</v>
      </c>
      <c r="O33" s="29">
        <v>6355247166</v>
      </c>
      <c r="P33" s="33" t="s">
        <v>138</v>
      </c>
      <c r="Q33" s="34">
        <v>15382</v>
      </c>
      <c r="R33" s="34">
        <v>2511</v>
      </c>
      <c r="S33" s="34">
        <f t="shared" si="0"/>
        <v>894.65000000000009</v>
      </c>
      <c r="T33" s="43">
        <f t="shared" si="1"/>
        <v>18787.650000000001</v>
      </c>
      <c r="U33" s="43">
        <v>86</v>
      </c>
      <c r="V33" s="35">
        <v>23</v>
      </c>
      <c r="W33" s="35">
        <v>1</v>
      </c>
      <c r="X33" s="44">
        <v>24</v>
      </c>
      <c r="Y33" s="36">
        <v>84</v>
      </c>
      <c r="Z33" s="43">
        <f t="shared" si="2"/>
        <v>14199</v>
      </c>
      <c r="AA33" s="43">
        <f t="shared" si="3"/>
        <v>2318</v>
      </c>
      <c r="AB33" s="43">
        <f t="shared" si="4"/>
        <v>826</v>
      </c>
      <c r="AC33" s="43">
        <f t="shared" si="5"/>
        <v>17343</v>
      </c>
      <c r="AD33" s="43">
        <f t="shared" si="6"/>
        <v>7224</v>
      </c>
      <c r="AE33" s="43">
        <f t="shared" si="20"/>
        <v>24567</v>
      </c>
      <c r="AF33" s="45">
        <f t="shared" si="7"/>
        <v>1800</v>
      </c>
      <c r="AG33" s="45">
        <f t="shared" si="21"/>
        <v>184</v>
      </c>
      <c r="AH33" s="46">
        <f t="shared" si="8"/>
        <v>200</v>
      </c>
      <c r="AI33" s="34">
        <v>0</v>
      </c>
      <c r="AJ33" s="43"/>
      <c r="AK33" s="43">
        <f t="shared" si="22"/>
        <v>2184</v>
      </c>
      <c r="AL33" s="47">
        <f t="shared" si="23"/>
        <v>22383</v>
      </c>
      <c r="AM33" s="45">
        <f t="shared" si="9"/>
        <v>1950</v>
      </c>
      <c r="AN33" s="45">
        <f t="shared" si="24"/>
        <v>798.42750000000001</v>
      </c>
      <c r="AO33" s="37">
        <v>0</v>
      </c>
      <c r="AP33" s="43">
        <f t="shared" si="25"/>
        <v>1719.69</v>
      </c>
      <c r="AQ33" s="34">
        <f t="shared" si="26"/>
        <v>29035.1175</v>
      </c>
      <c r="AR33" s="48">
        <f t="shared" si="27"/>
        <v>5226.3211499999998</v>
      </c>
      <c r="AS33" s="49">
        <f t="shared" si="28"/>
        <v>34261.438649999996</v>
      </c>
    </row>
    <row r="34" spans="1:45" s="12" customFormat="1" ht="22.5" x14ac:dyDescent="0.45">
      <c r="A34" s="42">
        <v>29</v>
      </c>
      <c r="B34" s="42" t="s">
        <v>89</v>
      </c>
      <c r="C34" s="30" t="s">
        <v>336</v>
      </c>
      <c r="D34" s="30" t="s">
        <v>337</v>
      </c>
      <c r="E34" s="31">
        <v>102181434179</v>
      </c>
      <c r="F34" s="30">
        <v>3317426624</v>
      </c>
      <c r="G34" s="29" t="s">
        <v>139</v>
      </c>
      <c r="H34" s="31">
        <v>323893470310</v>
      </c>
      <c r="I34" s="33" t="s">
        <v>44</v>
      </c>
      <c r="J34" s="32">
        <v>46089</v>
      </c>
      <c r="K34" s="32">
        <v>38541</v>
      </c>
      <c r="L34" s="55" t="s">
        <v>510</v>
      </c>
      <c r="M34" s="59">
        <v>20381433693</v>
      </c>
      <c r="N34" s="29" t="s">
        <v>522</v>
      </c>
      <c r="O34" s="29">
        <v>6386682286</v>
      </c>
      <c r="P34" s="33" t="s">
        <v>138</v>
      </c>
      <c r="Q34" s="34">
        <v>15382</v>
      </c>
      <c r="R34" s="34">
        <v>2511</v>
      </c>
      <c r="S34" s="34">
        <f t="shared" si="0"/>
        <v>894.65000000000009</v>
      </c>
      <c r="T34" s="43">
        <f t="shared" si="1"/>
        <v>18787.650000000001</v>
      </c>
      <c r="U34" s="43">
        <v>86</v>
      </c>
      <c r="V34" s="35">
        <v>21</v>
      </c>
      <c r="W34" s="35">
        <v>1</v>
      </c>
      <c r="X34" s="44">
        <v>22</v>
      </c>
      <c r="Y34" s="36">
        <v>56</v>
      </c>
      <c r="Z34" s="43">
        <f t="shared" si="2"/>
        <v>13016</v>
      </c>
      <c r="AA34" s="43">
        <f t="shared" si="3"/>
        <v>2125</v>
      </c>
      <c r="AB34" s="43">
        <f t="shared" si="4"/>
        <v>757</v>
      </c>
      <c r="AC34" s="43">
        <f t="shared" si="5"/>
        <v>15898</v>
      </c>
      <c r="AD34" s="43">
        <f t="shared" si="6"/>
        <v>4816</v>
      </c>
      <c r="AE34" s="43">
        <f t="shared" si="20"/>
        <v>20714</v>
      </c>
      <c r="AF34" s="45">
        <f t="shared" si="7"/>
        <v>1800</v>
      </c>
      <c r="AG34" s="45">
        <f t="shared" si="21"/>
        <v>155</v>
      </c>
      <c r="AH34" s="46">
        <f t="shared" si="8"/>
        <v>200</v>
      </c>
      <c r="AI34" s="34">
        <v>0</v>
      </c>
      <c r="AJ34" s="43"/>
      <c r="AK34" s="43">
        <f t="shared" si="22"/>
        <v>2155</v>
      </c>
      <c r="AL34" s="47">
        <f t="shared" si="23"/>
        <v>18559</v>
      </c>
      <c r="AM34" s="45">
        <f t="shared" si="9"/>
        <v>1950</v>
      </c>
      <c r="AN34" s="45">
        <f t="shared" si="24"/>
        <v>673.20500000000004</v>
      </c>
      <c r="AO34" s="37">
        <v>0</v>
      </c>
      <c r="AP34" s="43">
        <f t="shared" si="25"/>
        <v>1449.9800000000002</v>
      </c>
      <c r="AQ34" s="34">
        <f t="shared" si="26"/>
        <v>24787.185000000001</v>
      </c>
      <c r="AR34" s="48">
        <f t="shared" si="27"/>
        <v>4461.6932999999999</v>
      </c>
      <c r="AS34" s="49">
        <f t="shared" si="28"/>
        <v>29248.8783</v>
      </c>
    </row>
    <row r="35" spans="1:45" s="12" customFormat="1" ht="22.5" x14ac:dyDescent="0.45">
      <c r="A35" s="42">
        <v>30</v>
      </c>
      <c r="B35" s="42" t="s">
        <v>72</v>
      </c>
      <c r="C35" s="30" t="s">
        <v>338</v>
      </c>
      <c r="D35" s="30" t="s">
        <v>339</v>
      </c>
      <c r="E35" s="31">
        <v>102181954616</v>
      </c>
      <c r="F35" s="30">
        <v>3601662957</v>
      </c>
      <c r="G35" s="29" t="s">
        <v>80</v>
      </c>
      <c r="H35" s="31">
        <v>911754455890</v>
      </c>
      <c r="I35" s="33" t="s">
        <v>44</v>
      </c>
      <c r="J35" s="32" t="s">
        <v>77</v>
      </c>
      <c r="K35" s="32" t="s">
        <v>81</v>
      </c>
      <c r="L35" s="55" t="s">
        <v>523</v>
      </c>
      <c r="M35" s="59">
        <v>43892842180</v>
      </c>
      <c r="N35" s="29" t="s">
        <v>529</v>
      </c>
      <c r="O35" s="29">
        <v>8010847100</v>
      </c>
      <c r="P35" s="33" t="s">
        <v>138</v>
      </c>
      <c r="Q35" s="34">
        <v>15382</v>
      </c>
      <c r="R35" s="34">
        <v>2511</v>
      </c>
      <c r="S35" s="34">
        <f t="shared" si="0"/>
        <v>894.65000000000009</v>
      </c>
      <c r="T35" s="43">
        <f t="shared" si="1"/>
        <v>18787.650000000001</v>
      </c>
      <c r="U35" s="43">
        <v>86</v>
      </c>
      <c r="V35" s="35">
        <v>25</v>
      </c>
      <c r="W35" s="35">
        <v>1</v>
      </c>
      <c r="X35" s="44">
        <v>26</v>
      </c>
      <c r="Y35" s="36">
        <v>152</v>
      </c>
      <c r="Z35" s="43">
        <f t="shared" si="2"/>
        <v>15382</v>
      </c>
      <c r="AA35" s="43">
        <f t="shared" si="3"/>
        <v>2511</v>
      </c>
      <c r="AB35" s="43">
        <f t="shared" si="4"/>
        <v>895</v>
      </c>
      <c r="AC35" s="43">
        <f t="shared" si="5"/>
        <v>18788</v>
      </c>
      <c r="AD35" s="43">
        <f t="shared" si="6"/>
        <v>13072</v>
      </c>
      <c r="AE35" s="43">
        <f t="shared" si="20"/>
        <v>31860</v>
      </c>
      <c r="AF35" s="45">
        <f t="shared" si="7"/>
        <v>1800</v>
      </c>
      <c r="AG35" s="45">
        <f t="shared" si="21"/>
        <v>239</v>
      </c>
      <c r="AH35" s="46">
        <f t="shared" si="8"/>
        <v>200</v>
      </c>
      <c r="AI35" s="34">
        <v>0</v>
      </c>
      <c r="AJ35" s="43"/>
      <c r="AK35" s="43">
        <f t="shared" si="22"/>
        <v>2239</v>
      </c>
      <c r="AL35" s="47">
        <f t="shared" si="23"/>
        <v>29621</v>
      </c>
      <c r="AM35" s="45">
        <f t="shared" si="9"/>
        <v>1950</v>
      </c>
      <c r="AN35" s="45">
        <f t="shared" si="24"/>
        <v>1035.45</v>
      </c>
      <c r="AO35" s="37">
        <v>0</v>
      </c>
      <c r="AP35" s="43">
        <f t="shared" si="25"/>
        <v>2230.2000000000003</v>
      </c>
      <c r="AQ35" s="34">
        <f t="shared" si="26"/>
        <v>37075.649999999994</v>
      </c>
      <c r="AR35" s="48">
        <f t="shared" si="27"/>
        <v>6673.6169999999984</v>
      </c>
      <c r="AS35" s="49">
        <f t="shared" si="28"/>
        <v>43749.266999999993</v>
      </c>
    </row>
    <row r="36" spans="1:45" s="12" customFormat="1" ht="22.5" x14ac:dyDescent="0.45">
      <c r="A36" s="28">
        <v>31</v>
      </c>
      <c r="B36" s="42" t="s">
        <v>73</v>
      </c>
      <c r="C36" s="30" t="s">
        <v>340</v>
      </c>
      <c r="D36" s="30" t="s">
        <v>341</v>
      </c>
      <c r="E36" s="31">
        <v>101865934862</v>
      </c>
      <c r="F36" s="30">
        <v>3319017967</v>
      </c>
      <c r="G36" s="29" t="s">
        <v>82</v>
      </c>
      <c r="H36" s="31">
        <v>784403985252</v>
      </c>
      <c r="I36" s="33" t="s">
        <v>44</v>
      </c>
      <c r="J36" s="32">
        <v>46028</v>
      </c>
      <c r="K36" s="32">
        <v>39174</v>
      </c>
      <c r="L36" s="55" t="s">
        <v>499</v>
      </c>
      <c r="M36" s="59">
        <v>6713101000141</v>
      </c>
      <c r="N36" s="29" t="s">
        <v>530</v>
      </c>
      <c r="O36" s="29">
        <v>8853387980</v>
      </c>
      <c r="P36" s="33" t="s">
        <v>138</v>
      </c>
      <c r="Q36" s="34">
        <v>15382</v>
      </c>
      <c r="R36" s="34">
        <v>2511</v>
      </c>
      <c r="S36" s="34">
        <f t="shared" si="0"/>
        <v>894.65000000000009</v>
      </c>
      <c r="T36" s="43">
        <f t="shared" si="1"/>
        <v>18787.650000000001</v>
      </c>
      <c r="U36" s="43">
        <v>86</v>
      </c>
      <c r="V36" s="35">
        <v>24</v>
      </c>
      <c r="W36" s="35">
        <v>1</v>
      </c>
      <c r="X36" s="44">
        <v>25</v>
      </c>
      <c r="Y36" s="36">
        <v>168</v>
      </c>
      <c r="Z36" s="43">
        <f t="shared" si="2"/>
        <v>14790</v>
      </c>
      <c r="AA36" s="43">
        <f t="shared" si="3"/>
        <v>2414</v>
      </c>
      <c r="AB36" s="43">
        <f t="shared" si="4"/>
        <v>860</v>
      </c>
      <c r="AC36" s="43">
        <f t="shared" si="5"/>
        <v>18064</v>
      </c>
      <c r="AD36" s="43">
        <f t="shared" si="6"/>
        <v>14448</v>
      </c>
      <c r="AE36" s="43">
        <f t="shared" si="20"/>
        <v>32512</v>
      </c>
      <c r="AF36" s="45">
        <f t="shared" si="7"/>
        <v>1800</v>
      </c>
      <c r="AG36" s="45">
        <f t="shared" si="21"/>
        <v>244</v>
      </c>
      <c r="AH36" s="46">
        <f t="shared" si="8"/>
        <v>200</v>
      </c>
      <c r="AI36" s="34">
        <v>0</v>
      </c>
      <c r="AJ36" s="43">
        <v>4000</v>
      </c>
      <c r="AK36" s="43">
        <f t="shared" si="22"/>
        <v>6244</v>
      </c>
      <c r="AL36" s="47">
        <f t="shared" si="23"/>
        <v>26268</v>
      </c>
      <c r="AM36" s="45">
        <f t="shared" si="9"/>
        <v>1950</v>
      </c>
      <c r="AN36" s="45">
        <f t="shared" si="24"/>
        <v>1056.6400000000001</v>
      </c>
      <c r="AO36" s="37">
        <v>0</v>
      </c>
      <c r="AP36" s="43">
        <f t="shared" si="25"/>
        <v>2275.84</v>
      </c>
      <c r="AQ36" s="34">
        <f t="shared" si="26"/>
        <v>37794.479999999996</v>
      </c>
      <c r="AR36" s="48">
        <f t="shared" si="27"/>
        <v>6803.0063999999993</v>
      </c>
      <c r="AS36" s="49">
        <f t="shared" si="28"/>
        <v>44597.486399999994</v>
      </c>
    </row>
    <row r="37" spans="1:45" s="12" customFormat="1" ht="22.5" x14ac:dyDescent="0.45">
      <c r="A37" s="42">
        <v>32</v>
      </c>
      <c r="B37" s="42" t="s">
        <v>74</v>
      </c>
      <c r="C37" s="30" t="s">
        <v>342</v>
      </c>
      <c r="D37" s="30" t="s">
        <v>343</v>
      </c>
      <c r="E37" s="31">
        <v>101173860869</v>
      </c>
      <c r="F37" s="30">
        <v>3319018125</v>
      </c>
      <c r="G37" s="29" t="s">
        <v>83</v>
      </c>
      <c r="H37" s="31">
        <v>918416053102</v>
      </c>
      <c r="I37" s="33" t="s">
        <v>44</v>
      </c>
      <c r="J37" s="32" t="s">
        <v>84</v>
      </c>
      <c r="K37" s="32">
        <v>31048</v>
      </c>
      <c r="L37" s="55" t="s">
        <v>531</v>
      </c>
      <c r="M37" s="59">
        <v>53080100027304</v>
      </c>
      <c r="N37" s="29" t="s">
        <v>532</v>
      </c>
      <c r="O37" s="29">
        <v>8451909301</v>
      </c>
      <c r="P37" s="33" t="s">
        <v>138</v>
      </c>
      <c r="Q37" s="34">
        <v>15382</v>
      </c>
      <c r="R37" s="34">
        <v>2511</v>
      </c>
      <c r="S37" s="34">
        <f t="shared" si="0"/>
        <v>894.65000000000009</v>
      </c>
      <c r="T37" s="43">
        <f t="shared" si="1"/>
        <v>18787.650000000001</v>
      </c>
      <c r="U37" s="43">
        <v>86</v>
      </c>
      <c r="V37" s="35">
        <v>20</v>
      </c>
      <c r="W37" s="35">
        <v>1</v>
      </c>
      <c r="X37" s="44">
        <v>21</v>
      </c>
      <c r="Y37" s="36">
        <v>160</v>
      </c>
      <c r="Z37" s="43">
        <f t="shared" si="2"/>
        <v>12424</v>
      </c>
      <c r="AA37" s="43">
        <f t="shared" si="3"/>
        <v>2028</v>
      </c>
      <c r="AB37" s="43">
        <f t="shared" si="4"/>
        <v>723</v>
      </c>
      <c r="AC37" s="43">
        <f t="shared" si="5"/>
        <v>15175</v>
      </c>
      <c r="AD37" s="43">
        <f t="shared" si="6"/>
        <v>13760</v>
      </c>
      <c r="AE37" s="43">
        <f t="shared" si="20"/>
        <v>28935</v>
      </c>
      <c r="AF37" s="45">
        <f t="shared" si="7"/>
        <v>1734.24</v>
      </c>
      <c r="AG37" s="45">
        <f t="shared" si="21"/>
        <v>217</v>
      </c>
      <c r="AH37" s="46">
        <f t="shared" si="8"/>
        <v>200</v>
      </c>
      <c r="AI37" s="34">
        <v>0</v>
      </c>
      <c r="AJ37" s="43">
        <v>2000</v>
      </c>
      <c r="AK37" s="43">
        <f t="shared" si="22"/>
        <v>4151</v>
      </c>
      <c r="AL37" s="47">
        <f t="shared" si="23"/>
        <v>24784</v>
      </c>
      <c r="AM37" s="45">
        <f t="shared" si="9"/>
        <v>1878.76</v>
      </c>
      <c r="AN37" s="45">
        <f t="shared" si="24"/>
        <v>940.38750000000005</v>
      </c>
      <c r="AO37" s="37">
        <v>0</v>
      </c>
      <c r="AP37" s="43">
        <f t="shared" si="25"/>
        <v>2025.4500000000003</v>
      </c>
      <c r="AQ37" s="34">
        <f t="shared" si="26"/>
        <v>33779.597499999996</v>
      </c>
      <c r="AR37" s="48">
        <f t="shared" si="27"/>
        <v>6080.3275499999991</v>
      </c>
      <c r="AS37" s="49">
        <f t="shared" si="28"/>
        <v>39859.925049999998</v>
      </c>
    </row>
    <row r="38" spans="1:45" s="12" customFormat="1" ht="22.5" x14ac:dyDescent="0.45">
      <c r="A38" s="42">
        <v>33</v>
      </c>
      <c r="B38" s="42" t="s">
        <v>75</v>
      </c>
      <c r="C38" s="30" t="s">
        <v>344</v>
      </c>
      <c r="D38" s="30" t="s">
        <v>345</v>
      </c>
      <c r="E38" s="31">
        <v>102372836445</v>
      </c>
      <c r="F38" s="30">
        <v>3319017510</v>
      </c>
      <c r="G38" s="29" t="s">
        <v>85</v>
      </c>
      <c r="H38" s="31">
        <v>200224135647</v>
      </c>
      <c r="I38" s="33" t="s">
        <v>44</v>
      </c>
      <c r="J38" s="32" t="s">
        <v>84</v>
      </c>
      <c r="K38" s="32">
        <v>35796</v>
      </c>
      <c r="L38" s="55" t="s">
        <v>533</v>
      </c>
      <c r="M38" s="59" t="s">
        <v>534</v>
      </c>
      <c r="N38" s="29" t="s">
        <v>535</v>
      </c>
      <c r="O38" s="29">
        <v>6387091706</v>
      </c>
      <c r="P38" s="33" t="s">
        <v>138</v>
      </c>
      <c r="Q38" s="34">
        <v>15382</v>
      </c>
      <c r="R38" s="34">
        <v>2511</v>
      </c>
      <c r="S38" s="34">
        <f t="shared" si="0"/>
        <v>894.65000000000009</v>
      </c>
      <c r="T38" s="43">
        <f t="shared" si="1"/>
        <v>18787.650000000001</v>
      </c>
      <c r="U38" s="43">
        <v>86</v>
      </c>
      <c r="V38" s="35">
        <v>25</v>
      </c>
      <c r="W38" s="35">
        <v>1</v>
      </c>
      <c r="X38" s="44">
        <v>26</v>
      </c>
      <c r="Y38" s="36">
        <v>152</v>
      </c>
      <c r="Z38" s="43">
        <f t="shared" si="2"/>
        <v>15382</v>
      </c>
      <c r="AA38" s="43">
        <f t="shared" si="3"/>
        <v>2511</v>
      </c>
      <c r="AB38" s="43">
        <f t="shared" si="4"/>
        <v>895</v>
      </c>
      <c r="AC38" s="43">
        <f t="shared" si="5"/>
        <v>18788</v>
      </c>
      <c r="AD38" s="43">
        <f t="shared" si="6"/>
        <v>13072</v>
      </c>
      <c r="AE38" s="43">
        <f t="shared" si="20"/>
        <v>31860</v>
      </c>
      <c r="AF38" s="45">
        <f t="shared" si="7"/>
        <v>1800</v>
      </c>
      <c r="AG38" s="45">
        <f t="shared" si="21"/>
        <v>239</v>
      </c>
      <c r="AH38" s="46">
        <f t="shared" si="8"/>
        <v>200</v>
      </c>
      <c r="AI38" s="34">
        <v>0</v>
      </c>
      <c r="AJ38" s="43"/>
      <c r="AK38" s="43">
        <f t="shared" si="22"/>
        <v>2239</v>
      </c>
      <c r="AL38" s="47">
        <f t="shared" si="23"/>
        <v>29621</v>
      </c>
      <c r="AM38" s="45">
        <f t="shared" si="9"/>
        <v>1950</v>
      </c>
      <c r="AN38" s="45">
        <f t="shared" si="24"/>
        <v>1035.45</v>
      </c>
      <c r="AO38" s="37">
        <v>0</v>
      </c>
      <c r="AP38" s="43">
        <f t="shared" si="25"/>
        <v>2230.2000000000003</v>
      </c>
      <c r="AQ38" s="34">
        <f t="shared" si="26"/>
        <v>37075.649999999994</v>
      </c>
      <c r="AR38" s="48">
        <f t="shared" si="27"/>
        <v>6673.6169999999984</v>
      </c>
      <c r="AS38" s="49">
        <f t="shared" si="28"/>
        <v>43749.266999999993</v>
      </c>
    </row>
    <row r="39" spans="1:45" s="12" customFormat="1" ht="22.5" x14ac:dyDescent="0.45">
      <c r="A39" s="28">
        <v>34</v>
      </c>
      <c r="B39" s="42" t="s">
        <v>76</v>
      </c>
      <c r="C39" s="30" t="s">
        <v>346</v>
      </c>
      <c r="D39" s="30" t="s">
        <v>347</v>
      </c>
      <c r="E39" s="31">
        <v>101960431328</v>
      </c>
      <c r="F39" s="30">
        <v>3415617091</v>
      </c>
      <c r="G39" s="29" t="s">
        <v>86</v>
      </c>
      <c r="H39" s="31">
        <v>397682628853</v>
      </c>
      <c r="I39" s="33" t="s">
        <v>44</v>
      </c>
      <c r="J39" s="32" t="s">
        <v>84</v>
      </c>
      <c r="K39" s="32">
        <v>38141</v>
      </c>
      <c r="L39" s="55" t="s">
        <v>531</v>
      </c>
      <c r="M39" s="59">
        <v>53080100018896</v>
      </c>
      <c r="N39" s="29" t="s">
        <v>532</v>
      </c>
      <c r="O39" s="29">
        <v>9370371810</v>
      </c>
      <c r="P39" s="33" t="s">
        <v>138</v>
      </c>
      <c r="Q39" s="34">
        <v>15382</v>
      </c>
      <c r="R39" s="34">
        <v>2511</v>
      </c>
      <c r="S39" s="34">
        <f t="shared" si="0"/>
        <v>894.65000000000009</v>
      </c>
      <c r="T39" s="43">
        <f t="shared" si="1"/>
        <v>18787.650000000001</v>
      </c>
      <c r="U39" s="43">
        <v>86</v>
      </c>
      <c r="V39" s="35">
        <v>12</v>
      </c>
      <c r="W39" s="35">
        <v>1</v>
      </c>
      <c r="X39" s="44">
        <v>13</v>
      </c>
      <c r="Y39" s="36">
        <v>64</v>
      </c>
      <c r="Z39" s="43">
        <f t="shared" si="2"/>
        <v>7691</v>
      </c>
      <c r="AA39" s="43">
        <f t="shared" si="3"/>
        <v>1256</v>
      </c>
      <c r="AB39" s="43">
        <f t="shared" si="4"/>
        <v>447</v>
      </c>
      <c r="AC39" s="43">
        <f t="shared" si="5"/>
        <v>9394</v>
      </c>
      <c r="AD39" s="43">
        <f t="shared" si="6"/>
        <v>5504</v>
      </c>
      <c r="AE39" s="43">
        <f t="shared" si="20"/>
        <v>14898</v>
      </c>
      <c r="AF39" s="45">
        <f t="shared" si="7"/>
        <v>1073.6400000000001</v>
      </c>
      <c r="AG39" s="45">
        <f t="shared" si="21"/>
        <v>112</v>
      </c>
      <c r="AH39" s="46">
        <f t="shared" si="8"/>
        <v>200</v>
      </c>
      <c r="AI39" s="34">
        <v>0</v>
      </c>
      <c r="AJ39" s="43">
        <v>5000</v>
      </c>
      <c r="AK39" s="43">
        <f t="shared" si="22"/>
        <v>6386</v>
      </c>
      <c r="AL39" s="47">
        <f t="shared" si="23"/>
        <v>8512</v>
      </c>
      <c r="AM39" s="45">
        <f t="shared" si="9"/>
        <v>1163.1099999999999</v>
      </c>
      <c r="AN39" s="45">
        <f t="shared" si="24"/>
        <v>484.185</v>
      </c>
      <c r="AO39" s="37">
        <v>0</v>
      </c>
      <c r="AP39" s="43">
        <f t="shared" si="25"/>
        <v>1042.8600000000001</v>
      </c>
      <c r="AQ39" s="34">
        <f t="shared" si="26"/>
        <v>17588.155000000002</v>
      </c>
      <c r="AR39" s="48">
        <f t="shared" si="27"/>
        <v>3165.8679000000002</v>
      </c>
      <c r="AS39" s="49">
        <f t="shared" si="28"/>
        <v>20754.022900000004</v>
      </c>
    </row>
    <row r="40" spans="1:45" s="12" customFormat="1" ht="22.5" x14ac:dyDescent="0.45">
      <c r="A40" s="42">
        <v>35</v>
      </c>
      <c r="B40" s="42" t="s">
        <v>90</v>
      </c>
      <c r="C40" s="30" t="s">
        <v>348</v>
      </c>
      <c r="D40" s="30" t="s">
        <v>349</v>
      </c>
      <c r="E40" s="31">
        <v>102350671932</v>
      </c>
      <c r="F40" s="30">
        <v>3319017753</v>
      </c>
      <c r="G40" s="29" t="s">
        <v>87</v>
      </c>
      <c r="H40" s="31">
        <v>660896248982</v>
      </c>
      <c r="I40" s="33" t="s">
        <v>44</v>
      </c>
      <c r="J40" s="32" t="s">
        <v>84</v>
      </c>
      <c r="K40" s="32">
        <v>32149</v>
      </c>
      <c r="L40" s="55" t="s">
        <v>523</v>
      </c>
      <c r="M40" s="59">
        <v>41994332847</v>
      </c>
      <c r="N40" s="29" t="s">
        <v>498</v>
      </c>
      <c r="O40" s="29">
        <v>9580456129</v>
      </c>
      <c r="P40" s="33" t="s">
        <v>138</v>
      </c>
      <c r="Q40" s="34">
        <v>15382</v>
      </c>
      <c r="R40" s="34">
        <v>2511</v>
      </c>
      <c r="S40" s="34">
        <f t="shared" si="0"/>
        <v>894.65000000000009</v>
      </c>
      <c r="T40" s="43">
        <f t="shared" si="1"/>
        <v>18787.650000000001</v>
      </c>
      <c r="U40" s="43">
        <v>86</v>
      </c>
      <c r="V40" s="35">
        <v>21</v>
      </c>
      <c r="W40" s="35">
        <v>1</v>
      </c>
      <c r="X40" s="44">
        <v>22</v>
      </c>
      <c r="Y40" s="36">
        <v>124</v>
      </c>
      <c r="Z40" s="43">
        <f t="shared" si="2"/>
        <v>13016</v>
      </c>
      <c r="AA40" s="43">
        <f t="shared" si="3"/>
        <v>2125</v>
      </c>
      <c r="AB40" s="43">
        <f t="shared" si="4"/>
        <v>757</v>
      </c>
      <c r="AC40" s="43">
        <f t="shared" si="5"/>
        <v>15898</v>
      </c>
      <c r="AD40" s="43">
        <f t="shared" si="6"/>
        <v>10664</v>
      </c>
      <c r="AE40" s="43">
        <f t="shared" si="20"/>
        <v>26562</v>
      </c>
      <c r="AF40" s="45">
        <f t="shared" si="7"/>
        <v>1800</v>
      </c>
      <c r="AG40" s="45">
        <f t="shared" si="21"/>
        <v>199</v>
      </c>
      <c r="AH40" s="46">
        <f t="shared" si="8"/>
        <v>200</v>
      </c>
      <c r="AI40" s="34">
        <v>0</v>
      </c>
      <c r="AJ40" s="43"/>
      <c r="AK40" s="43">
        <f t="shared" si="22"/>
        <v>2199</v>
      </c>
      <c r="AL40" s="47">
        <f t="shared" si="23"/>
        <v>24363</v>
      </c>
      <c r="AM40" s="45">
        <f t="shared" si="9"/>
        <v>1950</v>
      </c>
      <c r="AN40" s="45">
        <f t="shared" si="24"/>
        <v>863.26499999999999</v>
      </c>
      <c r="AO40" s="37">
        <v>0</v>
      </c>
      <c r="AP40" s="43">
        <f t="shared" si="25"/>
        <v>1859.3400000000001</v>
      </c>
      <c r="AQ40" s="34">
        <f t="shared" si="26"/>
        <v>31234.605</v>
      </c>
      <c r="AR40" s="48">
        <f t="shared" si="27"/>
        <v>5622.2289000000001</v>
      </c>
      <c r="AS40" s="49">
        <f t="shared" si="28"/>
        <v>36856.833899999998</v>
      </c>
    </row>
    <row r="41" spans="1:45" s="12" customFormat="1" ht="22.5" x14ac:dyDescent="0.45">
      <c r="A41" s="42">
        <v>36</v>
      </c>
      <c r="B41" s="42" t="s">
        <v>91</v>
      </c>
      <c r="C41" s="30" t="s">
        <v>350</v>
      </c>
      <c r="D41" s="30" t="s">
        <v>351</v>
      </c>
      <c r="E41" s="31" t="s">
        <v>352</v>
      </c>
      <c r="F41" s="30">
        <v>3318599678</v>
      </c>
      <c r="G41" s="29" t="s">
        <v>140</v>
      </c>
      <c r="H41" s="31">
        <v>345340433167</v>
      </c>
      <c r="I41" s="33" t="s">
        <v>44</v>
      </c>
      <c r="J41" s="32" t="s">
        <v>141</v>
      </c>
      <c r="K41" s="32">
        <v>37930</v>
      </c>
      <c r="L41" s="55" t="s">
        <v>515</v>
      </c>
      <c r="M41" s="59">
        <v>520291019113507</v>
      </c>
      <c r="N41" s="29" t="s">
        <v>536</v>
      </c>
      <c r="O41" s="29">
        <v>9960545118</v>
      </c>
      <c r="P41" s="33" t="s">
        <v>138</v>
      </c>
      <c r="Q41" s="34">
        <v>15382</v>
      </c>
      <c r="R41" s="34">
        <v>2511</v>
      </c>
      <c r="S41" s="34">
        <f t="shared" si="0"/>
        <v>894.65000000000009</v>
      </c>
      <c r="T41" s="43">
        <f t="shared" si="1"/>
        <v>18787.650000000001</v>
      </c>
      <c r="U41" s="43">
        <v>86</v>
      </c>
      <c r="V41" s="35">
        <v>25</v>
      </c>
      <c r="W41" s="35">
        <v>1</v>
      </c>
      <c r="X41" s="44">
        <v>26</v>
      </c>
      <c r="Y41" s="36">
        <v>144</v>
      </c>
      <c r="Z41" s="43">
        <f t="shared" si="2"/>
        <v>15382</v>
      </c>
      <c r="AA41" s="43">
        <f t="shared" si="3"/>
        <v>2511</v>
      </c>
      <c r="AB41" s="43">
        <f t="shared" si="4"/>
        <v>895</v>
      </c>
      <c r="AC41" s="43">
        <f t="shared" si="5"/>
        <v>18788</v>
      </c>
      <c r="AD41" s="43">
        <f t="shared" si="6"/>
        <v>12384</v>
      </c>
      <c r="AE41" s="43">
        <f t="shared" si="20"/>
        <v>31172</v>
      </c>
      <c r="AF41" s="45">
        <f t="shared" si="7"/>
        <v>1800</v>
      </c>
      <c r="AG41" s="45">
        <f t="shared" si="21"/>
        <v>234</v>
      </c>
      <c r="AH41" s="46">
        <f t="shared" si="8"/>
        <v>200</v>
      </c>
      <c r="AI41" s="34">
        <v>0</v>
      </c>
      <c r="AJ41" s="43"/>
      <c r="AK41" s="43">
        <f t="shared" si="22"/>
        <v>2234</v>
      </c>
      <c r="AL41" s="47">
        <f t="shared" si="23"/>
        <v>28938</v>
      </c>
      <c r="AM41" s="45">
        <f t="shared" si="9"/>
        <v>1950</v>
      </c>
      <c r="AN41" s="45">
        <f t="shared" si="24"/>
        <v>1013.09</v>
      </c>
      <c r="AO41" s="37">
        <v>0</v>
      </c>
      <c r="AP41" s="43">
        <f t="shared" si="25"/>
        <v>2182.0400000000004</v>
      </c>
      <c r="AQ41" s="34">
        <f t="shared" si="26"/>
        <v>36317.129999999997</v>
      </c>
      <c r="AR41" s="48">
        <f t="shared" si="27"/>
        <v>6537.0833999999995</v>
      </c>
      <c r="AS41" s="49">
        <f t="shared" si="28"/>
        <v>42854.213399999993</v>
      </c>
    </row>
    <row r="42" spans="1:45" s="12" customFormat="1" ht="22.5" x14ac:dyDescent="0.45">
      <c r="A42" s="28">
        <v>37</v>
      </c>
      <c r="B42" s="42" t="s">
        <v>92</v>
      </c>
      <c r="C42" s="30" t="s">
        <v>353</v>
      </c>
      <c r="D42" s="30" t="s">
        <v>354</v>
      </c>
      <c r="E42" s="31" t="s">
        <v>355</v>
      </c>
      <c r="F42" s="30">
        <v>3308541208</v>
      </c>
      <c r="G42" s="29" t="s">
        <v>142</v>
      </c>
      <c r="H42" s="31">
        <v>332616689606</v>
      </c>
      <c r="I42" s="33" t="s">
        <v>44</v>
      </c>
      <c r="J42" s="32" t="s">
        <v>84</v>
      </c>
      <c r="K42" s="32" t="s">
        <v>143</v>
      </c>
      <c r="L42" s="55" t="s">
        <v>499</v>
      </c>
      <c r="M42" s="59">
        <v>8649119000117</v>
      </c>
      <c r="N42" s="29" t="s">
        <v>508</v>
      </c>
      <c r="O42" s="29">
        <v>9373241478</v>
      </c>
      <c r="P42" s="33" t="s">
        <v>138</v>
      </c>
      <c r="Q42" s="34">
        <v>15382</v>
      </c>
      <c r="R42" s="34">
        <v>2511</v>
      </c>
      <c r="S42" s="34">
        <f t="shared" si="0"/>
        <v>894.65000000000009</v>
      </c>
      <c r="T42" s="43">
        <f t="shared" si="1"/>
        <v>18787.650000000001</v>
      </c>
      <c r="U42" s="43">
        <v>86</v>
      </c>
      <c r="V42" s="35">
        <v>16</v>
      </c>
      <c r="W42" s="35">
        <v>1</v>
      </c>
      <c r="X42" s="44">
        <v>17</v>
      </c>
      <c r="Y42" s="36">
        <v>16</v>
      </c>
      <c r="Z42" s="43">
        <f t="shared" si="2"/>
        <v>10057</v>
      </c>
      <c r="AA42" s="43">
        <f t="shared" si="3"/>
        <v>1642</v>
      </c>
      <c r="AB42" s="43">
        <f t="shared" si="4"/>
        <v>585</v>
      </c>
      <c r="AC42" s="43">
        <f t="shared" si="5"/>
        <v>12284</v>
      </c>
      <c r="AD42" s="43">
        <f t="shared" si="6"/>
        <v>1376</v>
      </c>
      <c r="AE42" s="43">
        <f t="shared" si="20"/>
        <v>13660</v>
      </c>
      <c r="AF42" s="45">
        <f t="shared" si="7"/>
        <v>1403.88</v>
      </c>
      <c r="AG42" s="45">
        <f t="shared" si="21"/>
        <v>102</v>
      </c>
      <c r="AH42" s="46">
        <f t="shared" si="8"/>
        <v>200</v>
      </c>
      <c r="AI42" s="34">
        <v>0</v>
      </c>
      <c r="AJ42" s="43"/>
      <c r="AK42" s="43">
        <f t="shared" si="22"/>
        <v>1706</v>
      </c>
      <c r="AL42" s="47">
        <f t="shared" si="23"/>
        <v>11954</v>
      </c>
      <c r="AM42" s="45">
        <f t="shared" si="9"/>
        <v>1520.87</v>
      </c>
      <c r="AN42" s="45">
        <f t="shared" si="24"/>
        <v>443.95</v>
      </c>
      <c r="AO42" s="37">
        <v>0</v>
      </c>
      <c r="AP42" s="43">
        <f t="shared" si="25"/>
        <v>956.2</v>
      </c>
      <c r="AQ42" s="34">
        <f t="shared" si="26"/>
        <v>16581.02</v>
      </c>
      <c r="AR42" s="48">
        <f t="shared" si="27"/>
        <v>2984.5835999999999</v>
      </c>
      <c r="AS42" s="49">
        <f t="shared" si="28"/>
        <v>19565.603600000002</v>
      </c>
    </row>
    <row r="43" spans="1:45" s="12" customFormat="1" ht="22.5" x14ac:dyDescent="0.45">
      <c r="A43" s="42">
        <v>38</v>
      </c>
      <c r="B43" s="42" t="s">
        <v>93</v>
      </c>
      <c r="C43" s="30" t="s">
        <v>356</v>
      </c>
      <c r="D43" s="30" t="s">
        <v>357</v>
      </c>
      <c r="E43" s="31" t="s">
        <v>358</v>
      </c>
      <c r="F43" s="30">
        <v>5132243620</v>
      </c>
      <c r="G43" s="29" t="s">
        <v>144</v>
      </c>
      <c r="H43" s="31">
        <v>316208446524</v>
      </c>
      <c r="I43" s="33" t="s">
        <v>44</v>
      </c>
      <c r="J43" s="32">
        <v>46030</v>
      </c>
      <c r="K43" s="32" t="s">
        <v>145</v>
      </c>
      <c r="L43" s="55" t="s">
        <v>537</v>
      </c>
      <c r="M43" s="59" t="s">
        <v>538</v>
      </c>
      <c r="N43" s="29" t="s">
        <v>539</v>
      </c>
      <c r="O43" s="29">
        <v>7038735335</v>
      </c>
      <c r="P43" s="33" t="s">
        <v>138</v>
      </c>
      <c r="Q43" s="34">
        <v>15382</v>
      </c>
      <c r="R43" s="34">
        <v>2511</v>
      </c>
      <c r="S43" s="34">
        <f t="shared" si="0"/>
        <v>894.65000000000009</v>
      </c>
      <c r="T43" s="43">
        <f t="shared" ref="T43:T88" si="31">SUM(Q43:S43)</f>
        <v>18787.650000000001</v>
      </c>
      <c r="U43" s="43">
        <v>86</v>
      </c>
      <c r="V43" s="35">
        <v>23</v>
      </c>
      <c r="W43" s="35">
        <v>1</v>
      </c>
      <c r="X43" s="44">
        <v>24</v>
      </c>
      <c r="Y43" s="36">
        <v>118</v>
      </c>
      <c r="Z43" s="43">
        <f t="shared" ref="Z43:Z88" si="32">ROUND(Q43/26*X43,0)</f>
        <v>14199</v>
      </c>
      <c r="AA43" s="43">
        <f t="shared" ref="AA43:AA88" si="33">ROUND(R43/26*X43,0)</f>
        <v>2318</v>
      </c>
      <c r="AB43" s="43">
        <f t="shared" ref="AB43:AB88" si="34">ROUND(S43/26*X43,0)</f>
        <v>826</v>
      </c>
      <c r="AC43" s="43">
        <f t="shared" ref="AC43:AC88" si="35">ROUND(SUM(Z43:AB43),0)</f>
        <v>17343</v>
      </c>
      <c r="AD43" s="43">
        <f t="shared" ref="AD43:AD88" si="36">ROUND(U43*Y43,0)</f>
        <v>10148</v>
      </c>
      <c r="AE43" s="43">
        <f t="shared" ref="AE43:AE88" si="37">ROUND(AC43+AD43,0)</f>
        <v>27491</v>
      </c>
      <c r="AF43" s="45">
        <f t="shared" ref="AF43:AF88" si="38">IF((Z43+AA43)&lt;=15000,(Z43+AA43)*12/100,1800)</f>
        <v>1800</v>
      </c>
      <c r="AG43" s="45">
        <f t="shared" ref="AG43:AG88" si="39">ROUND(AE43*0.75%,0)</f>
        <v>206</v>
      </c>
      <c r="AH43" s="46">
        <f t="shared" ref="AH43:AH88" si="40">IF(I43="M",IF(AE43&gt;10000,200,IF(AE43&gt;7500,175,0)),IF(J43="F",IF(AE43&gt;25000,200,0)))</f>
        <v>200</v>
      </c>
      <c r="AI43" s="34">
        <v>0</v>
      </c>
      <c r="AJ43" s="43"/>
      <c r="AK43" s="43">
        <f t="shared" ref="AK43:AK88" si="41">ROUND(SUM(AF43:AJ43),0)</f>
        <v>2206</v>
      </c>
      <c r="AL43" s="47">
        <f t="shared" ref="AL43:AL88" si="42">ROUND(AE43-AK43,0)</f>
        <v>25285</v>
      </c>
      <c r="AM43" s="45">
        <f t="shared" ref="AM43:AM88" si="43">IF((Z43+AA43)&lt;=15000,(Z43+AA43)*13/100,1950)</f>
        <v>1950</v>
      </c>
      <c r="AN43" s="45">
        <f t="shared" ref="AN43:AN88" si="44">(AE43)*3.25%</f>
        <v>893.45749999999998</v>
      </c>
      <c r="AO43" s="37">
        <v>0</v>
      </c>
      <c r="AP43" s="43">
        <f t="shared" ref="AP43:AP88" si="45">AE43*7%</f>
        <v>1924.3700000000001</v>
      </c>
      <c r="AQ43" s="34">
        <f t="shared" ref="AQ43:AQ88" si="46">AE43+AM43+AN43+AO43+AP43</f>
        <v>32258.827499999999</v>
      </c>
      <c r="AR43" s="48">
        <f t="shared" ref="AR43:AR88" si="47">AQ43*18%</f>
        <v>5806.5889499999994</v>
      </c>
      <c r="AS43" s="49">
        <f t="shared" ref="AS43:AS88" si="48">AQ43+AR43</f>
        <v>38065.416449999997</v>
      </c>
    </row>
    <row r="44" spans="1:45" ht="21" x14ac:dyDescent="0.35">
      <c r="A44" s="42">
        <v>39</v>
      </c>
      <c r="B44" s="42" t="s">
        <v>94</v>
      </c>
      <c r="C44" s="30" t="s">
        <v>359</v>
      </c>
      <c r="D44" s="30" t="s">
        <v>360</v>
      </c>
      <c r="E44" s="31" t="s">
        <v>361</v>
      </c>
      <c r="F44" s="30">
        <v>3319048421</v>
      </c>
      <c r="G44" s="29" t="s">
        <v>146</v>
      </c>
      <c r="H44" s="31" t="s">
        <v>147</v>
      </c>
      <c r="I44" s="33" t="s">
        <v>44</v>
      </c>
      <c r="J44" s="32">
        <v>46238</v>
      </c>
      <c r="K44" s="32">
        <v>32509</v>
      </c>
      <c r="L44" s="55" t="s">
        <v>537</v>
      </c>
      <c r="M44" s="59" t="s">
        <v>540</v>
      </c>
      <c r="N44" s="29" t="s">
        <v>541</v>
      </c>
      <c r="O44" s="29">
        <v>9814618211</v>
      </c>
      <c r="P44" s="33" t="s">
        <v>138</v>
      </c>
      <c r="Q44" s="34">
        <v>15382</v>
      </c>
      <c r="R44" s="34">
        <v>2511</v>
      </c>
      <c r="S44" s="34">
        <f t="shared" si="0"/>
        <v>894.65000000000009</v>
      </c>
      <c r="T44" s="43">
        <f t="shared" si="31"/>
        <v>18787.650000000001</v>
      </c>
      <c r="U44" s="43">
        <v>86</v>
      </c>
      <c r="V44" s="35">
        <v>6</v>
      </c>
      <c r="W44" s="35">
        <v>0</v>
      </c>
      <c r="X44" s="44">
        <v>6</v>
      </c>
      <c r="Y44" s="36">
        <v>64</v>
      </c>
      <c r="Z44" s="43">
        <f t="shared" si="32"/>
        <v>3550</v>
      </c>
      <c r="AA44" s="43">
        <f t="shared" si="33"/>
        <v>579</v>
      </c>
      <c r="AB44" s="43">
        <f t="shared" si="34"/>
        <v>206</v>
      </c>
      <c r="AC44" s="43">
        <f t="shared" si="35"/>
        <v>4335</v>
      </c>
      <c r="AD44" s="43">
        <f t="shared" si="36"/>
        <v>5504</v>
      </c>
      <c r="AE44" s="43">
        <f t="shared" si="37"/>
        <v>9839</v>
      </c>
      <c r="AF44" s="45">
        <f t="shared" si="38"/>
        <v>495.48</v>
      </c>
      <c r="AG44" s="45">
        <f t="shared" si="39"/>
        <v>74</v>
      </c>
      <c r="AH44" s="46">
        <f t="shared" si="40"/>
        <v>175</v>
      </c>
      <c r="AI44" s="34">
        <v>0</v>
      </c>
      <c r="AJ44" s="43"/>
      <c r="AK44" s="43">
        <f t="shared" si="41"/>
        <v>744</v>
      </c>
      <c r="AL44" s="47">
        <f t="shared" si="42"/>
        <v>9095</v>
      </c>
      <c r="AM44" s="45">
        <f t="shared" si="43"/>
        <v>536.77</v>
      </c>
      <c r="AN44" s="45">
        <f t="shared" si="44"/>
        <v>319.76749999999998</v>
      </c>
      <c r="AO44" s="37">
        <v>0</v>
      </c>
      <c r="AP44" s="43">
        <f t="shared" si="45"/>
        <v>688.73</v>
      </c>
      <c r="AQ44" s="34">
        <f t="shared" si="46"/>
        <v>11384.2675</v>
      </c>
      <c r="AR44" s="48">
        <f t="shared" si="47"/>
        <v>2049.16815</v>
      </c>
      <c r="AS44" s="49">
        <f t="shared" si="48"/>
        <v>13433.435649999999</v>
      </c>
    </row>
    <row r="45" spans="1:45" ht="21" x14ac:dyDescent="0.35">
      <c r="A45" s="28">
        <v>40</v>
      </c>
      <c r="B45" s="42" t="s">
        <v>95</v>
      </c>
      <c r="C45" s="30" t="s">
        <v>362</v>
      </c>
      <c r="D45" s="30" t="s">
        <v>363</v>
      </c>
      <c r="E45" s="31" t="s">
        <v>364</v>
      </c>
      <c r="F45" s="30">
        <v>3310690876</v>
      </c>
      <c r="G45" s="29" t="s">
        <v>148</v>
      </c>
      <c r="H45" s="31" t="s">
        <v>149</v>
      </c>
      <c r="I45" s="33" t="s">
        <v>44</v>
      </c>
      <c r="J45" s="32">
        <v>46250</v>
      </c>
      <c r="K45" s="32">
        <v>36729</v>
      </c>
      <c r="L45" s="55" t="s">
        <v>504</v>
      </c>
      <c r="M45" s="59" t="s">
        <v>542</v>
      </c>
      <c r="N45" s="29" t="s">
        <v>543</v>
      </c>
      <c r="O45" s="29">
        <v>9343367550</v>
      </c>
      <c r="P45" s="33" t="s">
        <v>138</v>
      </c>
      <c r="Q45" s="34">
        <v>15382</v>
      </c>
      <c r="R45" s="34">
        <v>2511</v>
      </c>
      <c r="S45" s="34">
        <f t="shared" si="0"/>
        <v>894.65000000000009</v>
      </c>
      <c r="T45" s="43">
        <f t="shared" si="31"/>
        <v>18787.650000000001</v>
      </c>
      <c r="U45" s="43">
        <v>86</v>
      </c>
      <c r="V45" s="35">
        <v>1</v>
      </c>
      <c r="W45" s="35">
        <v>0</v>
      </c>
      <c r="X45" s="44">
        <v>1</v>
      </c>
      <c r="Y45" s="36">
        <v>0</v>
      </c>
      <c r="Z45" s="43">
        <f t="shared" si="32"/>
        <v>592</v>
      </c>
      <c r="AA45" s="43">
        <f t="shared" si="33"/>
        <v>97</v>
      </c>
      <c r="AB45" s="43">
        <f t="shared" si="34"/>
        <v>34</v>
      </c>
      <c r="AC45" s="43">
        <f t="shared" si="35"/>
        <v>723</v>
      </c>
      <c r="AD45" s="43">
        <f t="shared" si="36"/>
        <v>0</v>
      </c>
      <c r="AE45" s="43">
        <f t="shared" si="37"/>
        <v>723</v>
      </c>
      <c r="AF45" s="45">
        <f t="shared" si="38"/>
        <v>82.68</v>
      </c>
      <c r="AG45" s="45">
        <f t="shared" si="39"/>
        <v>5</v>
      </c>
      <c r="AH45" s="46">
        <f t="shared" si="40"/>
        <v>0</v>
      </c>
      <c r="AI45" s="34">
        <v>0</v>
      </c>
      <c r="AJ45" s="43"/>
      <c r="AK45" s="43">
        <f t="shared" si="41"/>
        <v>88</v>
      </c>
      <c r="AL45" s="47">
        <f t="shared" si="42"/>
        <v>635</v>
      </c>
      <c r="AM45" s="45">
        <f t="shared" si="43"/>
        <v>89.57</v>
      </c>
      <c r="AN45" s="45">
        <f t="shared" si="44"/>
        <v>23.497500000000002</v>
      </c>
      <c r="AO45" s="37">
        <v>0</v>
      </c>
      <c r="AP45" s="43">
        <f t="shared" si="45"/>
        <v>50.610000000000007</v>
      </c>
      <c r="AQ45" s="34">
        <f t="shared" si="46"/>
        <v>886.6774999999999</v>
      </c>
      <c r="AR45" s="48">
        <f t="shared" si="47"/>
        <v>159.60194999999999</v>
      </c>
      <c r="AS45" s="49">
        <f t="shared" si="48"/>
        <v>1046.27945</v>
      </c>
    </row>
    <row r="46" spans="1:45" ht="21" x14ac:dyDescent="0.35">
      <c r="A46" s="42">
        <v>41</v>
      </c>
      <c r="B46" s="42" t="s">
        <v>96</v>
      </c>
      <c r="C46" s="30" t="s">
        <v>365</v>
      </c>
      <c r="D46" s="30" t="s">
        <v>366</v>
      </c>
      <c r="E46" s="31" t="s">
        <v>367</v>
      </c>
      <c r="F46" s="30">
        <v>3315888485</v>
      </c>
      <c r="G46" s="29" t="s">
        <v>150</v>
      </c>
      <c r="H46" s="31" t="s">
        <v>151</v>
      </c>
      <c r="I46" s="33" t="s">
        <v>44</v>
      </c>
      <c r="J46" s="32">
        <v>46247</v>
      </c>
      <c r="K46" s="32">
        <v>34311</v>
      </c>
      <c r="L46" s="55" t="s">
        <v>515</v>
      </c>
      <c r="M46" s="59" t="s">
        <v>544</v>
      </c>
      <c r="N46" s="29" t="s">
        <v>545</v>
      </c>
      <c r="O46" s="29">
        <v>7517604725</v>
      </c>
      <c r="P46" s="33" t="s">
        <v>138</v>
      </c>
      <c r="Q46" s="34">
        <v>15382</v>
      </c>
      <c r="R46" s="34">
        <v>2511</v>
      </c>
      <c r="S46" s="34">
        <f t="shared" si="0"/>
        <v>894.65000000000009</v>
      </c>
      <c r="T46" s="43">
        <f t="shared" si="31"/>
        <v>18787.650000000001</v>
      </c>
      <c r="U46" s="43">
        <v>86</v>
      </c>
      <c r="V46" s="35">
        <v>14</v>
      </c>
      <c r="W46" s="35">
        <v>1</v>
      </c>
      <c r="X46" s="44">
        <v>15</v>
      </c>
      <c r="Y46" s="36">
        <v>52</v>
      </c>
      <c r="Z46" s="43">
        <f t="shared" si="32"/>
        <v>8874</v>
      </c>
      <c r="AA46" s="43">
        <f t="shared" si="33"/>
        <v>1449</v>
      </c>
      <c r="AB46" s="43">
        <f t="shared" si="34"/>
        <v>516</v>
      </c>
      <c r="AC46" s="43">
        <f t="shared" si="35"/>
        <v>10839</v>
      </c>
      <c r="AD46" s="43">
        <f t="shared" si="36"/>
        <v>4472</v>
      </c>
      <c r="AE46" s="43">
        <f t="shared" si="37"/>
        <v>15311</v>
      </c>
      <c r="AF46" s="45">
        <f t="shared" si="38"/>
        <v>1238.76</v>
      </c>
      <c r="AG46" s="45">
        <f t="shared" si="39"/>
        <v>115</v>
      </c>
      <c r="AH46" s="46">
        <f t="shared" si="40"/>
        <v>200</v>
      </c>
      <c r="AI46" s="34">
        <v>0</v>
      </c>
      <c r="AJ46" s="43"/>
      <c r="AK46" s="43">
        <f t="shared" si="41"/>
        <v>1554</v>
      </c>
      <c r="AL46" s="47">
        <f t="shared" si="42"/>
        <v>13757</v>
      </c>
      <c r="AM46" s="45">
        <f t="shared" si="43"/>
        <v>1341.99</v>
      </c>
      <c r="AN46" s="45">
        <f t="shared" si="44"/>
        <v>497.60750000000002</v>
      </c>
      <c r="AO46" s="37">
        <v>0</v>
      </c>
      <c r="AP46" s="43">
        <f t="shared" si="45"/>
        <v>1071.7700000000002</v>
      </c>
      <c r="AQ46" s="34">
        <f t="shared" si="46"/>
        <v>18222.3675</v>
      </c>
      <c r="AR46" s="48">
        <f t="shared" si="47"/>
        <v>3280.0261500000001</v>
      </c>
      <c r="AS46" s="49">
        <f t="shared" si="48"/>
        <v>21502.393650000002</v>
      </c>
    </row>
    <row r="47" spans="1:45" ht="21" x14ac:dyDescent="0.35">
      <c r="A47" s="42">
        <v>42</v>
      </c>
      <c r="B47" s="42" t="s">
        <v>97</v>
      </c>
      <c r="C47" s="30" t="s">
        <v>368</v>
      </c>
      <c r="D47" s="30" t="s">
        <v>369</v>
      </c>
      <c r="E47" s="31" t="s">
        <v>370</v>
      </c>
      <c r="F47" s="30">
        <v>3316534507</v>
      </c>
      <c r="G47" s="29" t="s">
        <v>152</v>
      </c>
      <c r="H47" s="31" t="s">
        <v>153</v>
      </c>
      <c r="I47" s="33" t="s">
        <v>44</v>
      </c>
      <c r="J47" s="32">
        <v>46247</v>
      </c>
      <c r="K47" s="32">
        <v>37522</v>
      </c>
      <c r="L47" s="55" t="s">
        <v>515</v>
      </c>
      <c r="M47" s="59" t="s">
        <v>546</v>
      </c>
      <c r="N47" s="29" t="s">
        <v>545</v>
      </c>
      <c r="O47" s="29">
        <v>8668824826</v>
      </c>
      <c r="P47" s="33" t="s">
        <v>138</v>
      </c>
      <c r="Q47" s="34">
        <v>15382</v>
      </c>
      <c r="R47" s="34">
        <v>2511</v>
      </c>
      <c r="S47" s="34">
        <f t="shared" si="0"/>
        <v>894.65000000000009</v>
      </c>
      <c r="T47" s="43">
        <f t="shared" si="31"/>
        <v>18787.650000000001</v>
      </c>
      <c r="U47" s="43">
        <v>86</v>
      </c>
      <c r="V47" s="35">
        <v>15</v>
      </c>
      <c r="W47" s="35">
        <v>1</v>
      </c>
      <c r="X47" s="44">
        <v>16</v>
      </c>
      <c r="Y47" s="36">
        <v>72</v>
      </c>
      <c r="Z47" s="43">
        <f t="shared" si="32"/>
        <v>9466</v>
      </c>
      <c r="AA47" s="43">
        <f t="shared" si="33"/>
        <v>1545</v>
      </c>
      <c r="AB47" s="43">
        <f t="shared" si="34"/>
        <v>551</v>
      </c>
      <c r="AC47" s="43">
        <f t="shared" si="35"/>
        <v>11562</v>
      </c>
      <c r="AD47" s="43">
        <f t="shared" si="36"/>
        <v>6192</v>
      </c>
      <c r="AE47" s="43">
        <f t="shared" si="37"/>
        <v>17754</v>
      </c>
      <c r="AF47" s="45">
        <f t="shared" si="38"/>
        <v>1321.32</v>
      </c>
      <c r="AG47" s="45">
        <f t="shared" si="39"/>
        <v>133</v>
      </c>
      <c r="AH47" s="46">
        <f t="shared" si="40"/>
        <v>200</v>
      </c>
      <c r="AI47" s="34">
        <v>0</v>
      </c>
      <c r="AJ47" s="43"/>
      <c r="AK47" s="43">
        <f t="shared" si="41"/>
        <v>1654</v>
      </c>
      <c r="AL47" s="47">
        <f t="shared" si="42"/>
        <v>16100</v>
      </c>
      <c r="AM47" s="45">
        <f t="shared" si="43"/>
        <v>1431.43</v>
      </c>
      <c r="AN47" s="45">
        <f t="shared" si="44"/>
        <v>577.005</v>
      </c>
      <c r="AO47" s="37">
        <v>0</v>
      </c>
      <c r="AP47" s="43">
        <f t="shared" si="45"/>
        <v>1242.7800000000002</v>
      </c>
      <c r="AQ47" s="34">
        <f t="shared" si="46"/>
        <v>21005.215</v>
      </c>
      <c r="AR47" s="48">
        <f t="shared" si="47"/>
        <v>3780.9386999999997</v>
      </c>
      <c r="AS47" s="49">
        <f t="shared" si="48"/>
        <v>24786.153699999999</v>
      </c>
    </row>
    <row r="48" spans="1:45" ht="21" x14ac:dyDescent="0.35">
      <c r="A48" s="28">
        <v>43</v>
      </c>
      <c r="B48" s="42" t="s">
        <v>98</v>
      </c>
      <c r="C48" s="30" t="s">
        <v>371</v>
      </c>
      <c r="D48" s="30" t="s">
        <v>372</v>
      </c>
      <c r="E48" s="31" t="s">
        <v>373</v>
      </c>
      <c r="F48" s="30">
        <v>3310415499</v>
      </c>
      <c r="G48" s="29" t="s">
        <v>154</v>
      </c>
      <c r="H48" s="31" t="s">
        <v>155</v>
      </c>
      <c r="I48" s="33" t="s">
        <v>44</v>
      </c>
      <c r="J48" s="32">
        <v>46247</v>
      </c>
      <c r="K48" s="32">
        <v>35337</v>
      </c>
      <c r="L48" s="55" t="s">
        <v>501</v>
      </c>
      <c r="M48" s="59" t="s">
        <v>547</v>
      </c>
      <c r="N48" s="29" t="s">
        <v>496</v>
      </c>
      <c r="O48" s="29">
        <v>8010323016</v>
      </c>
      <c r="P48" s="33" t="s">
        <v>138</v>
      </c>
      <c r="Q48" s="34">
        <v>15382</v>
      </c>
      <c r="R48" s="34">
        <v>2511</v>
      </c>
      <c r="S48" s="34">
        <f t="shared" si="0"/>
        <v>894.65000000000009</v>
      </c>
      <c r="T48" s="43">
        <f t="shared" si="31"/>
        <v>18787.650000000001</v>
      </c>
      <c r="U48" s="43">
        <v>86</v>
      </c>
      <c r="V48" s="35">
        <v>16</v>
      </c>
      <c r="W48" s="35">
        <v>1</v>
      </c>
      <c r="X48" s="44">
        <v>17</v>
      </c>
      <c r="Y48" s="36">
        <v>92</v>
      </c>
      <c r="Z48" s="43">
        <f t="shared" si="32"/>
        <v>10057</v>
      </c>
      <c r="AA48" s="43">
        <f t="shared" si="33"/>
        <v>1642</v>
      </c>
      <c r="AB48" s="43">
        <f t="shared" si="34"/>
        <v>585</v>
      </c>
      <c r="AC48" s="43">
        <f t="shared" si="35"/>
        <v>12284</v>
      </c>
      <c r="AD48" s="43">
        <f t="shared" si="36"/>
        <v>7912</v>
      </c>
      <c r="AE48" s="43">
        <f t="shared" si="37"/>
        <v>20196</v>
      </c>
      <c r="AF48" s="45">
        <f t="shared" si="38"/>
        <v>1403.88</v>
      </c>
      <c r="AG48" s="45">
        <f t="shared" si="39"/>
        <v>151</v>
      </c>
      <c r="AH48" s="46">
        <f t="shared" si="40"/>
        <v>200</v>
      </c>
      <c r="AI48" s="34">
        <v>0</v>
      </c>
      <c r="AJ48" s="43"/>
      <c r="AK48" s="43">
        <f t="shared" si="41"/>
        <v>1755</v>
      </c>
      <c r="AL48" s="47">
        <f t="shared" si="42"/>
        <v>18441</v>
      </c>
      <c r="AM48" s="45">
        <f t="shared" si="43"/>
        <v>1520.87</v>
      </c>
      <c r="AN48" s="45">
        <f t="shared" si="44"/>
        <v>656.37</v>
      </c>
      <c r="AO48" s="37">
        <v>0</v>
      </c>
      <c r="AP48" s="43">
        <f t="shared" si="45"/>
        <v>1413.72</v>
      </c>
      <c r="AQ48" s="34">
        <f t="shared" si="46"/>
        <v>23786.959999999999</v>
      </c>
      <c r="AR48" s="48">
        <f t="shared" si="47"/>
        <v>4281.6527999999998</v>
      </c>
      <c r="AS48" s="49">
        <f t="shared" si="48"/>
        <v>28068.612799999999</v>
      </c>
    </row>
    <row r="49" spans="1:45" ht="21" x14ac:dyDescent="0.35">
      <c r="A49" s="42">
        <v>44</v>
      </c>
      <c r="B49" s="42" t="s">
        <v>99</v>
      </c>
      <c r="C49" s="30" t="s">
        <v>374</v>
      </c>
      <c r="D49" s="30" t="s">
        <v>375</v>
      </c>
      <c r="E49" s="31">
        <v>0</v>
      </c>
      <c r="F49" s="30">
        <v>0</v>
      </c>
      <c r="G49" s="29" t="s">
        <v>156</v>
      </c>
      <c r="H49" s="31" t="s">
        <v>157</v>
      </c>
      <c r="I49" s="33" t="s">
        <v>44</v>
      </c>
      <c r="J49" s="32">
        <v>46246</v>
      </c>
      <c r="K49" s="32">
        <v>32876</v>
      </c>
      <c r="L49" s="55"/>
      <c r="M49" s="59"/>
      <c r="N49" s="29"/>
      <c r="O49" s="29">
        <v>8691836586</v>
      </c>
      <c r="P49" s="33" t="s">
        <v>138</v>
      </c>
      <c r="Q49" s="34">
        <v>15382</v>
      </c>
      <c r="R49" s="34">
        <v>2511</v>
      </c>
      <c r="S49" s="34">
        <f t="shared" si="0"/>
        <v>894.65000000000009</v>
      </c>
      <c r="T49" s="43">
        <f t="shared" si="31"/>
        <v>18787.650000000001</v>
      </c>
      <c r="U49" s="43">
        <v>86</v>
      </c>
      <c r="V49" s="35">
        <v>11</v>
      </c>
      <c r="W49" s="35">
        <v>1</v>
      </c>
      <c r="X49" s="44">
        <v>12</v>
      </c>
      <c r="Y49" s="36">
        <v>32</v>
      </c>
      <c r="Z49" s="43">
        <f t="shared" si="32"/>
        <v>7099</v>
      </c>
      <c r="AA49" s="43">
        <f t="shared" si="33"/>
        <v>1159</v>
      </c>
      <c r="AB49" s="43">
        <f t="shared" si="34"/>
        <v>413</v>
      </c>
      <c r="AC49" s="43">
        <f t="shared" si="35"/>
        <v>8671</v>
      </c>
      <c r="AD49" s="43">
        <f t="shared" si="36"/>
        <v>2752</v>
      </c>
      <c r="AE49" s="43">
        <f t="shared" si="37"/>
        <v>11423</v>
      </c>
      <c r="AF49" s="45">
        <f t="shared" si="38"/>
        <v>990.96</v>
      </c>
      <c r="AG49" s="45">
        <f t="shared" si="39"/>
        <v>86</v>
      </c>
      <c r="AH49" s="46">
        <f t="shared" si="40"/>
        <v>200</v>
      </c>
      <c r="AI49" s="34">
        <v>0</v>
      </c>
      <c r="AJ49" s="43"/>
      <c r="AK49" s="43">
        <f t="shared" si="41"/>
        <v>1277</v>
      </c>
      <c r="AL49" s="47">
        <f t="shared" si="42"/>
        <v>10146</v>
      </c>
      <c r="AM49" s="45">
        <f t="shared" si="43"/>
        <v>1073.54</v>
      </c>
      <c r="AN49" s="45">
        <f t="shared" si="44"/>
        <v>371.2475</v>
      </c>
      <c r="AO49" s="37">
        <v>0</v>
      </c>
      <c r="AP49" s="43">
        <f t="shared" si="45"/>
        <v>799.61000000000013</v>
      </c>
      <c r="AQ49" s="34">
        <f t="shared" si="46"/>
        <v>13667.397500000001</v>
      </c>
      <c r="AR49" s="48">
        <f t="shared" si="47"/>
        <v>2460.1315500000001</v>
      </c>
      <c r="AS49" s="49">
        <f t="shared" si="48"/>
        <v>16127.529050000001</v>
      </c>
    </row>
    <row r="50" spans="1:45" ht="21" x14ac:dyDescent="0.35">
      <c r="A50" s="42">
        <v>45</v>
      </c>
      <c r="B50" s="42" t="s">
        <v>100</v>
      </c>
      <c r="C50" s="30" t="s">
        <v>376</v>
      </c>
      <c r="D50" s="30" t="s">
        <v>377</v>
      </c>
      <c r="E50" s="31" t="s">
        <v>378</v>
      </c>
      <c r="F50" s="30">
        <v>3318987783</v>
      </c>
      <c r="G50" s="29" t="s">
        <v>158</v>
      </c>
      <c r="H50" s="31" t="s">
        <v>159</v>
      </c>
      <c r="I50" s="33" t="s">
        <v>44</v>
      </c>
      <c r="J50" s="32">
        <v>46246</v>
      </c>
      <c r="K50" s="32">
        <v>38924</v>
      </c>
      <c r="L50" s="55" t="s">
        <v>548</v>
      </c>
      <c r="M50" s="59">
        <v>45473024111</v>
      </c>
      <c r="N50" s="29" t="s">
        <v>498</v>
      </c>
      <c r="O50" s="29">
        <v>8483822016</v>
      </c>
      <c r="P50" s="33" t="s">
        <v>138</v>
      </c>
      <c r="Q50" s="34">
        <v>15382</v>
      </c>
      <c r="R50" s="34">
        <v>2511</v>
      </c>
      <c r="S50" s="34">
        <f t="shared" si="0"/>
        <v>894.65000000000009</v>
      </c>
      <c r="T50" s="43">
        <f t="shared" si="31"/>
        <v>18787.650000000001</v>
      </c>
      <c r="U50" s="43">
        <v>86</v>
      </c>
      <c r="V50" s="35">
        <v>22</v>
      </c>
      <c r="W50" s="35">
        <v>1</v>
      </c>
      <c r="X50" s="44">
        <v>23</v>
      </c>
      <c r="Y50" s="36">
        <v>163</v>
      </c>
      <c r="Z50" s="43">
        <f t="shared" si="32"/>
        <v>13607</v>
      </c>
      <c r="AA50" s="43">
        <f t="shared" si="33"/>
        <v>2221</v>
      </c>
      <c r="AB50" s="43">
        <f t="shared" si="34"/>
        <v>791</v>
      </c>
      <c r="AC50" s="43">
        <f t="shared" si="35"/>
        <v>16619</v>
      </c>
      <c r="AD50" s="43">
        <f t="shared" si="36"/>
        <v>14018</v>
      </c>
      <c r="AE50" s="43">
        <f t="shared" si="37"/>
        <v>30637</v>
      </c>
      <c r="AF50" s="45">
        <f t="shared" si="38"/>
        <v>1800</v>
      </c>
      <c r="AG50" s="45">
        <f t="shared" si="39"/>
        <v>230</v>
      </c>
      <c r="AH50" s="46">
        <f t="shared" si="40"/>
        <v>200</v>
      </c>
      <c r="AI50" s="34">
        <v>0</v>
      </c>
      <c r="AJ50" s="43"/>
      <c r="AK50" s="43">
        <f t="shared" si="41"/>
        <v>2230</v>
      </c>
      <c r="AL50" s="47">
        <f t="shared" si="42"/>
        <v>28407</v>
      </c>
      <c r="AM50" s="45">
        <f t="shared" si="43"/>
        <v>1950</v>
      </c>
      <c r="AN50" s="45">
        <f t="shared" si="44"/>
        <v>995.70249999999999</v>
      </c>
      <c r="AO50" s="37">
        <v>0</v>
      </c>
      <c r="AP50" s="43">
        <f t="shared" si="45"/>
        <v>2144.59</v>
      </c>
      <c r="AQ50" s="34">
        <f t="shared" si="46"/>
        <v>35727.292499999996</v>
      </c>
      <c r="AR50" s="48">
        <f t="shared" si="47"/>
        <v>6430.9126499999993</v>
      </c>
      <c r="AS50" s="49">
        <f t="shared" si="48"/>
        <v>42158.205149999994</v>
      </c>
    </row>
    <row r="51" spans="1:45" ht="21" x14ac:dyDescent="0.35">
      <c r="A51" s="28">
        <v>46</v>
      </c>
      <c r="B51" s="42" t="s">
        <v>101</v>
      </c>
      <c r="C51" s="30" t="s">
        <v>379</v>
      </c>
      <c r="D51" s="30" t="s">
        <v>380</v>
      </c>
      <c r="E51" s="31" t="s">
        <v>381</v>
      </c>
      <c r="F51" s="30">
        <v>3318048938</v>
      </c>
      <c r="G51" s="29" t="s">
        <v>160</v>
      </c>
      <c r="H51" s="31" t="s">
        <v>161</v>
      </c>
      <c r="I51" s="33" t="s">
        <v>44</v>
      </c>
      <c r="J51" s="32">
        <v>46239</v>
      </c>
      <c r="K51" s="32">
        <v>27576</v>
      </c>
      <c r="L51" s="55" t="s">
        <v>504</v>
      </c>
      <c r="M51" s="59">
        <v>60397523168</v>
      </c>
      <c r="N51" s="29" t="s">
        <v>549</v>
      </c>
      <c r="O51" s="29">
        <v>9561702010</v>
      </c>
      <c r="P51" s="33" t="s">
        <v>138</v>
      </c>
      <c r="Q51" s="34">
        <v>15382</v>
      </c>
      <c r="R51" s="34">
        <v>2511</v>
      </c>
      <c r="S51" s="34">
        <f t="shared" si="0"/>
        <v>894.65000000000009</v>
      </c>
      <c r="T51" s="43">
        <f t="shared" si="31"/>
        <v>18787.650000000001</v>
      </c>
      <c r="U51" s="43">
        <v>86</v>
      </c>
      <c r="V51" s="35">
        <v>10</v>
      </c>
      <c r="W51" s="35">
        <v>1</v>
      </c>
      <c r="X51" s="44">
        <v>11</v>
      </c>
      <c r="Y51" s="36">
        <v>20</v>
      </c>
      <c r="Z51" s="43">
        <f t="shared" si="32"/>
        <v>6508</v>
      </c>
      <c r="AA51" s="43">
        <f t="shared" si="33"/>
        <v>1062</v>
      </c>
      <c r="AB51" s="43">
        <f t="shared" si="34"/>
        <v>379</v>
      </c>
      <c r="AC51" s="43">
        <f t="shared" si="35"/>
        <v>7949</v>
      </c>
      <c r="AD51" s="43">
        <f t="shared" si="36"/>
        <v>1720</v>
      </c>
      <c r="AE51" s="43">
        <f t="shared" si="37"/>
        <v>9669</v>
      </c>
      <c r="AF51" s="45">
        <f t="shared" si="38"/>
        <v>908.4</v>
      </c>
      <c r="AG51" s="45">
        <f t="shared" si="39"/>
        <v>73</v>
      </c>
      <c r="AH51" s="46">
        <f t="shared" si="40"/>
        <v>175</v>
      </c>
      <c r="AI51" s="34">
        <v>0</v>
      </c>
      <c r="AJ51" s="43"/>
      <c r="AK51" s="43">
        <f t="shared" si="41"/>
        <v>1156</v>
      </c>
      <c r="AL51" s="47">
        <f t="shared" si="42"/>
        <v>8513</v>
      </c>
      <c r="AM51" s="45">
        <f t="shared" si="43"/>
        <v>984.1</v>
      </c>
      <c r="AN51" s="45">
        <f t="shared" si="44"/>
        <v>314.24250000000001</v>
      </c>
      <c r="AO51" s="37">
        <v>0</v>
      </c>
      <c r="AP51" s="43">
        <f t="shared" si="45"/>
        <v>676.83</v>
      </c>
      <c r="AQ51" s="34">
        <f t="shared" si="46"/>
        <v>11644.172500000001</v>
      </c>
      <c r="AR51" s="48">
        <f t="shared" si="47"/>
        <v>2095.9510500000001</v>
      </c>
      <c r="AS51" s="49">
        <f t="shared" si="48"/>
        <v>13740.12355</v>
      </c>
    </row>
    <row r="52" spans="1:45" ht="21" x14ac:dyDescent="0.35">
      <c r="A52" s="42">
        <v>47</v>
      </c>
      <c r="B52" s="42" t="s">
        <v>102</v>
      </c>
      <c r="C52" s="30" t="s">
        <v>382</v>
      </c>
      <c r="D52" s="30" t="s">
        <v>383</v>
      </c>
      <c r="E52" s="31" t="s">
        <v>384</v>
      </c>
      <c r="F52" s="30">
        <v>3317972190</v>
      </c>
      <c r="G52" s="29" t="s">
        <v>162</v>
      </c>
      <c r="H52" s="31" t="s">
        <v>163</v>
      </c>
      <c r="I52" s="33" t="s">
        <v>44</v>
      </c>
      <c r="J52" s="32">
        <v>46247</v>
      </c>
      <c r="K52" s="32">
        <v>38140</v>
      </c>
      <c r="L52" s="55" t="s">
        <v>499</v>
      </c>
      <c r="M52" s="59" t="s">
        <v>550</v>
      </c>
      <c r="N52" s="29" t="s">
        <v>551</v>
      </c>
      <c r="O52" s="29">
        <v>7028931668</v>
      </c>
      <c r="P52" s="33" t="s">
        <v>138</v>
      </c>
      <c r="Q52" s="34">
        <v>15382</v>
      </c>
      <c r="R52" s="34">
        <v>2511</v>
      </c>
      <c r="S52" s="34">
        <f t="shared" si="0"/>
        <v>894.65000000000009</v>
      </c>
      <c r="T52" s="43">
        <f t="shared" si="31"/>
        <v>18787.650000000001</v>
      </c>
      <c r="U52" s="43">
        <v>86</v>
      </c>
      <c r="V52" s="35">
        <v>1</v>
      </c>
      <c r="W52" s="35">
        <v>0</v>
      </c>
      <c r="X52" s="44">
        <v>1</v>
      </c>
      <c r="Y52" s="36">
        <v>0</v>
      </c>
      <c r="Z52" s="43">
        <f t="shared" si="32"/>
        <v>592</v>
      </c>
      <c r="AA52" s="43">
        <f t="shared" si="33"/>
        <v>97</v>
      </c>
      <c r="AB52" s="43">
        <f t="shared" si="34"/>
        <v>34</v>
      </c>
      <c r="AC52" s="43">
        <f t="shared" si="35"/>
        <v>723</v>
      </c>
      <c r="AD52" s="43">
        <f t="shared" si="36"/>
        <v>0</v>
      </c>
      <c r="AE52" s="43">
        <f t="shared" si="37"/>
        <v>723</v>
      </c>
      <c r="AF52" s="45">
        <f t="shared" si="38"/>
        <v>82.68</v>
      </c>
      <c r="AG52" s="45">
        <f t="shared" si="39"/>
        <v>5</v>
      </c>
      <c r="AH52" s="46">
        <f t="shared" si="40"/>
        <v>0</v>
      </c>
      <c r="AI52" s="34">
        <v>0</v>
      </c>
      <c r="AJ52" s="43"/>
      <c r="AK52" s="43">
        <f t="shared" si="41"/>
        <v>88</v>
      </c>
      <c r="AL52" s="47">
        <f t="shared" si="42"/>
        <v>635</v>
      </c>
      <c r="AM52" s="45">
        <f t="shared" si="43"/>
        <v>89.57</v>
      </c>
      <c r="AN52" s="45">
        <f t="shared" si="44"/>
        <v>23.497500000000002</v>
      </c>
      <c r="AO52" s="37">
        <v>0</v>
      </c>
      <c r="AP52" s="43">
        <f t="shared" si="45"/>
        <v>50.610000000000007</v>
      </c>
      <c r="AQ52" s="34">
        <f t="shared" si="46"/>
        <v>886.6774999999999</v>
      </c>
      <c r="AR52" s="48">
        <f t="shared" si="47"/>
        <v>159.60194999999999</v>
      </c>
      <c r="AS52" s="49">
        <f t="shared" si="48"/>
        <v>1046.27945</v>
      </c>
    </row>
    <row r="53" spans="1:45" ht="21" x14ac:dyDescent="0.35">
      <c r="A53" s="42">
        <v>48</v>
      </c>
      <c r="B53" s="42" t="s">
        <v>103</v>
      </c>
      <c r="C53" s="30" t="s">
        <v>385</v>
      </c>
      <c r="D53" s="30" t="s">
        <v>386</v>
      </c>
      <c r="E53" s="31" t="s">
        <v>387</v>
      </c>
      <c r="F53" s="30">
        <v>3317941344</v>
      </c>
      <c r="G53" s="29" t="s">
        <v>164</v>
      </c>
      <c r="H53" s="31" t="s">
        <v>165</v>
      </c>
      <c r="I53" s="33" t="s">
        <v>44</v>
      </c>
      <c r="J53" s="32">
        <v>46247</v>
      </c>
      <c r="K53" s="32">
        <v>38847</v>
      </c>
      <c r="L53" s="55" t="s">
        <v>501</v>
      </c>
      <c r="M53" s="59" t="s">
        <v>552</v>
      </c>
      <c r="N53" s="29" t="s">
        <v>496</v>
      </c>
      <c r="O53" s="29">
        <v>7821906537</v>
      </c>
      <c r="P53" s="33" t="s">
        <v>138</v>
      </c>
      <c r="Q53" s="34">
        <v>15382</v>
      </c>
      <c r="R53" s="34">
        <v>2511</v>
      </c>
      <c r="S53" s="34">
        <f t="shared" si="0"/>
        <v>894.65000000000009</v>
      </c>
      <c r="T53" s="43">
        <f t="shared" si="31"/>
        <v>18787.650000000001</v>
      </c>
      <c r="U53" s="43">
        <v>86</v>
      </c>
      <c r="V53" s="35">
        <v>11</v>
      </c>
      <c r="W53" s="35">
        <v>0</v>
      </c>
      <c r="X53" s="44">
        <v>11</v>
      </c>
      <c r="Y53" s="36">
        <v>32</v>
      </c>
      <c r="Z53" s="43">
        <f t="shared" si="32"/>
        <v>6508</v>
      </c>
      <c r="AA53" s="43">
        <f t="shared" si="33"/>
        <v>1062</v>
      </c>
      <c r="AB53" s="43">
        <f t="shared" si="34"/>
        <v>379</v>
      </c>
      <c r="AC53" s="43">
        <f t="shared" si="35"/>
        <v>7949</v>
      </c>
      <c r="AD53" s="43">
        <f t="shared" si="36"/>
        <v>2752</v>
      </c>
      <c r="AE53" s="43">
        <f t="shared" si="37"/>
        <v>10701</v>
      </c>
      <c r="AF53" s="45">
        <f t="shared" si="38"/>
        <v>908.4</v>
      </c>
      <c r="AG53" s="45">
        <f t="shared" si="39"/>
        <v>80</v>
      </c>
      <c r="AH53" s="46">
        <f t="shared" si="40"/>
        <v>200</v>
      </c>
      <c r="AI53" s="34">
        <v>0</v>
      </c>
      <c r="AJ53" s="43"/>
      <c r="AK53" s="43">
        <f t="shared" si="41"/>
        <v>1188</v>
      </c>
      <c r="AL53" s="47">
        <f t="shared" si="42"/>
        <v>9513</v>
      </c>
      <c r="AM53" s="45">
        <f t="shared" si="43"/>
        <v>984.1</v>
      </c>
      <c r="AN53" s="45">
        <f t="shared" si="44"/>
        <v>347.78250000000003</v>
      </c>
      <c r="AO53" s="37">
        <v>0</v>
      </c>
      <c r="AP53" s="43">
        <f t="shared" si="45"/>
        <v>749.07</v>
      </c>
      <c r="AQ53" s="34">
        <f t="shared" si="46"/>
        <v>12781.952499999999</v>
      </c>
      <c r="AR53" s="48">
        <f t="shared" si="47"/>
        <v>2300.7514499999997</v>
      </c>
      <c r="AS53" s="49">
        <f t="shared" si="48"/>
        <v>15082.703949999999</v>
      </c>
    </row>
    <row r="54" spans="1:45" ht="21" x14ac:dyDescent="0.35">
      <c r="A54" s="28">
        <v>49</v>
      </c>
      <c r="B54" s="42" t="s">
        <v>104</v>
      </c>
      <c r="C54" s="30" t="s">
        <v>388</v>
      </c>
      <c r="D54" s="30" t="s">
        <v>389</v>
      </c>
      <c r="E54" s="31" t="s">
        <v>390</v>
      </c>
      <c r="F54" s="30">
        <v>3315776759</v>
      </c>
      <c r="G54" s="29" t="s">
        <v>166</v>
      </c>
      <c r="H54" s="31" t="s">
        <v>167</v>
      </c>
      <c r="I54" s="33" t="s">
        <v>44</v>
      </c>
      <c r="J54" s="32">
        <v>46252</v>
      </c>
      <c r="K54" s="32">
        <v>38101</v>
      </c>
      <c r="L54" s="55" t="s">
        <v>553</v>
      </c>
      <c r="M54" s="59" t="s">
        <v>554</v>
      </c>
      <c r="N54" s="29" t="s">
        <v>555</v>
      </c>
      <c r="O54" s="29">
        <v>9325332360</v>
      </c>
      <c r="P54" s="33" t="s">
        <v>138</v>
      </c>
      <c r="Q54" s="34">
        <v>15382</v>
      </c>
      <c r="R54" s="34">
        <v>2511</v>
      </c>
      <c r="S54" s="34">
        <f t="shared" si="0"/>
        <v>894.65000000000009</v>
      </c>
      <c r="T54" s="43">
        <f t="shared" si="31"/>
        <v>18787.650000000001</v>
      </c>
      <c r="U54" s="43">
        <v>86</v>
      </c>
      <c r="V54" s="35">
        <v>9</v>
      </c>
      <c r="W54" s="35">
        <v>0</v>
      </c>
      <c r="X54" s="44">
        <v>9</v>
      </c>
      <c r="Y54" s="36">
        <v>28</v>
      </c>
      <c r="Z54" s="43">
        <f t="shared" si="32"/>
        <v>5325</v>
      </c>
      <c r="AA54" s="43">
        <f t="shared" si="33"/>
        <v>869</v>
      </c>
      <c r="AB54" s="43">
        <f t="shared" si="34"/>
        <v>310</v>
      </c>
      <c r="AC54" s="43">
        <f t="shared" si="35"/>
        <v>6504</v>
      </c>
      <c r="AD54" s="43">
        <f t="shared" si="36"/>
        <v>2408</v>
      </c>
      <c r="AE54" s="43">
        <f t="shared" si="37"/>
        <v>8912</v>
      </c>
      <c r="AF54" s="45">
        <f t="shared" si="38"/>
        <v>743.28</v>
      </c>
      <c r="AG54" s="45">
        <f t="shared" si="39"/>
        <v>67</v>
      </c>
      <c r="AH54" s="46">
        <f t="shared" si="40"/>
        <v>175</v>
      </c>
      <c r="AI54" s="34">
        <v>0</v>
      </c>
      <c r="AJ54" s="43"/>
      <c r="AK54" s="43">
        <f t="shared" si="41"/>
        <v>985</v>
      </c>
      <c r="AL54" s="47">
        <f t="shared" si="42"/>
        <v>7927</v>
      </c>
      <c r="AM54" s="45">
        <f t="shared" si="43"/>
        <v>805.22</v>
      </c>
      <c r="AN54" s="45">
        <f t="shared" si="44"/>
        <v>289.64</v>
      </c>
      <c r="AO54" s="37">
        <v>0</v>
      </c>
      <c r="AP54" s="43">
        <f t="shared" si="45"/>
        <v>623.84</v>
      </c>
      <c r="AQ54" s="34">
        <f t="shared" si="46"/>
        <v>10630.699999999999</v>
      </c>
      <c r="AR54" s="48">
        <f t="shared" si="47"/>
        <v>1913.5259999999998</v>
      </c>
      <c r="AS54" s="49">
        <f t="shared" si="48"/>
        <v>12544.225999999999</v>
      </c>
    </row>
    <row r="55" spans="1:45" ht="21" x14ac:dyDescent="0.35">
      <c r="A55" s="42">
        <v>50</v>
      </c>
      <c r="B55" s="42" t="s">
        <v>105</v>
      </c>
      <c r="C55" s="30" t="s">
        <v>391</v>
      </c>
      <c r="D55" s="30" t="s">
        <v>392</v>
      </c>
      <c r="E55" s="31" t="s">
        <v>393</v>
      </c>
      <c r="F55" s="30">
        <v>1116573641</v>
      </c>
      <c r="G55" s="29" t="s">
        <v>168</v>
      </c>
      <c r="H55" s="31" t="s">
        <v>169</v>
      </c>
      <c r="I55" s="33" t="s">
        <v>44</v>
      </c>
      <c r="J55" s="32">
        <v>46252</v>
      </c>
      <c r="K55" s="32">
        <v>38090</v>
      </c>
      <c r="L55" s="55" t="s">
        <v>556</v>
      </c>
      <c r="M55" s="59" t="s">
        <v>557</v>
      </c>
      <c r="N55" s="29" t="s">
        <v>558</v>
      </c>
      <c r="O55" s="29">
        <v>8010137787</v>
      </c>
      <c r="P55" s="33" t="s">
        <v>138</v>
      </c>
      <c r="Q55" s="34">
        <v>15382</v>
      </c>
      <c r="R55" s="34">
        <v>2511</v>
      </c>
      <c r="S55" s="34">
        <f t="shared" si="0"/>
        <v>894.65000000000009</v>
      </c>
      <c r="T55" s="43">
        <f t="shared" si="31"/>
        <v>18787.650000000001</v>
      </c>
      <c r="U55" s="43">
        <v>86</v>
      </c>
      <c r="V55" s="35">
        <v>10</v>
      </c>
      <c r="W55" s="35">
        <v>0</v>
      </c>
      <c r="X55" s="44">
        <v>10</v>
      </c>
      <c r="Y55" s="36">
        <v>12</v>
      </c>
      <c r="Z55" s="43">
        <f t="shared" si="32"/>
        <v>5916</v>
      </c>
      <c r="AA55" s="43">
        <f t="shared" si="33"/>
        <v>966</v>
      </c>
      <c r="AB55" s="43">
        <f t="shared" si="34"/>
        <v>344</v>
      </c>
      <c r="AC55" s="43">
        <f t="shared" si="35"/>
        <v>7226</v>
      </c>
      <c r="AD55" s="43">
        <f t="shared" si="36"/>
        <v>1032</v>
      </c>
      <c r="AE55" s="43">
        <f t="shared" si="37"/>
        <v>8258</v>
      </c>
      <c r="AF55" s="45">
        <f t="shared" si="38"/>
        <v>825.84</v>
      </c>
      <c r="AG55" s="45">
        <f t="shared" si="39"/>
        <v>62</v>
      </c>
      <c r="AH55" s="46">
        <f t="shared" si="40"/>
        <v>175</v>
      </c>
      <c r="AI55" s="34">
        <v>0</v>
      </c>
      <c r="AJ55" s="43"/>
      <c r="AK55" s="43">
        <f t="shared" si="41"/>
        <v>1063</v>
      </c>
      <c r="AL55" s="47">
        <f t="shared" si="42"/>
        <v>7195</v>
      </c>
      <c r="AM55" s="45">
        <f t="shared" si="43"/>
        <v>894.66</v>
      </c>
      <c r="AN55" s="45">
        <f t="shared" si="44"/>
        <v>268.38499999999999</v>
      </c>
      <c r="AO55" s="37">
        <v>0</v>
      </c>
      <c r="AP55" s="43">
        <f t="shared" si="45"/>
        <v>578.06000000000006</v>
      </c>
      <c r="AQ55" s="34">
        <f t="shared" si="46"/>
        <v>9999.1049999999996</v>
      </c>
      <c r="AR55" s="48">
        <f t="shared" si="47"/>
        <v>1799.8389</v>
      </c>
      <c r="AS55" s="49">
        <f t="shared" si="48"/>
        <v>11798.9439</v>
      </c>
    </row>
    <row r="56" spans="1:45" ht="21" x14ac:dyDescent="0.35">
      <c r="A56" s="42">
        <v>51</v>
      </c>
      <c r="B56" s="42" t="s">
        <v>106</v>
      </c>
      <c r="C56" s="30" t="s">
        <v>394</v>
      </c>
      <c r="D56" s="30" t="s">
        <v>395</v>
      </c>
      <c r="E56" s="31" t="s">
        <v>396</v>
      </c>
      <c r="F56" s="30">
        <v>3314998075</v>
      </c>
      <c r="G56" s="29" t="s">
        <v>170</v>
      </c>
      <c r="H56" s="31" t="s">
        <v>171</v>
      </c>
      <c r="I56" s="33" t="s">
        <v>44</v>
      </c>
      <c r="J56" s="32">
        <v>46252</v>
      </c>
      <c r="K56" s="32">
        <v>39678</v>
      </c>
      <c r="L56" s="55" t="s">
        <v>515</v>
      </c>
      <c r="M56" s="59" t="s">
        <v>559</v>
      </c>
      <c r="N56" s="29" t="s">
        <v>545</v>
      </c>
      <c r="O56" s="29">
        <v>9021326792</v>
      </c>
      <c r="P56" s="33" t="s">
        <v>138</v>
      </c>
      <c r="Q56" s="34">
        <v>15382</v>
      </c>
      <c r="R56" s="34">
        <v>2511</v>
      </c>
      <c r="S56" s="34">
        <f t="shared" si="0"/>
        <v>894.65000000000009</v>
      </c>
      <c r="T56" s="43">
        <f t="shared" si="31"/>
        <v>18787.650000000001</v>
      </c>
      <c r="U56" s="43">
        <v>86</v>
      </c>
      <c r="V56" s="35">
        <v>11</v>
      </c>
      <c r="W56" s="35">
        <v>0</v>
      </c>
      <c r="X56" s="44">
        <v>11</v>
      </c>
      <c r="Y56" s="36">
        <v>36</v>
      </c>
      <c r="Z56" s="43">
        <f t="shared" si="32"/>
        <v>6508</v>
      </c>
      <c r="AA56" s="43">
        <f t="shared" si="33"/>
        <v>1062</v>
      </c>
      <c r="AB56" s="43">
        <f t="shared" si="34"/>
        <v>379</v>
      </c>
      <c r="AC56" s="43">
        <f t="shared" si="35"/>
        <v>7949</v>
      </c>
      <c r="AD56" s="43">
        <f t="shared" si="36"/>
        <v>3096</v>
      </c>
      <c r="AE56" s="43">
        <f t="shared" si="37"/>
        <v>11045</v>
      </c>
      <c r="AF56" s="45">
        <f t="shared" si="38"/>
        <v>908.4</v>
      </c>
      <c r="AG56" s="45">
        <f t="shared" si="39"/>
        <v>83</v>
      </c>
      <c r="AH56" s="46">
        <f t="shared" si="40"/>
        <v>200</v>
      </c>
      <c r="AI56" s="34">
        <v>0</v>
      </c>
      <c r="AJ56" s="43">
        <v>3000</v>
      </c>
      <c r="AK56" s="43">
        <f t="shared" si="41"/>
        <v>4191</v>
      </c>
      <c r="AL56" s="47">
        <f t="shared" si="42"/>
        <v>6854</v>
      </c>
      <c r="AM56" s="45">
        <f t="shared" si="43"/>
        <v>984.1</v>
      </c>
      <c r="AN56" s="45">
        <f t="shared" si="44"/>
        <v>358.96250000000003</v>
      </c>
      <c r="AO56" s="37">
        <v>0</v>
      </c>
      <c r="AP56" s="43">
        <f t="shared" si="45"/>
        <v>773.15000000000009</v>
      </c>
      <c r="AQ56" s="34">
        <f t="shared" si="46"/>
        <v>13161.2125</v>
      </c>
      <c r="AR56" s="48">
        <f t="shared" si="47"/>
        <v>2369.0182499999996</v>
      </c>
      <c r="AS56" s="49">
        <f t="shared" si="48"/>
        <v>15530.230749999999</v>
      </c>
    </row>
    <row r="57" spans="1:45" ht="21" x14ac:dyDescent="0.35">
      <c r="A57" s="28">
        <v>52</v>
      </c>
      <c r="B57" s="42" t="s">
        <v>107</v>
      </c>
      <c r="C57" s="30" t="s">
        <v>397</v>
      </c>
      <c r="D57" s="30" t="s">
        <v>398</v>
      </c>
      <c r="E57" s="31" t="s">
        <v>399</v>
      </c>
      <c r="F57" s="30">
        <v>3319051632</v>
      </c>
      <c r="G57" s="29" t="s">
        <v>172</v>
      </c>
      <c r="H57" s="31" t="s">
        <v>173</v>
      </c>
      <c r="I57" s="33" t="s">
        <v>44</v>
      </c>
      <c r="J57" s="32">
        <v>46252</v>
      </c>
      <c r="K57" s="32">
        <v>30132</v>
      </c>
      <c r="L57" s="55" t="s">
        <v>560</v>
      </c>
      <c r="M57" s="59">
        <v>7499838094</v>
      </c>
      <c r="N57" s="29" t="s">
        <v>561</v>
      </c>
      <c r="O57" s="29">
        <v>7028530128</v>
      </c>
      <c r="P57" s="33" t="s">
        <v>138</v>
      </c>
      <c r="Q57" s="34">
        <v>15382</v>
      </c>
      <c r="R57" s="34">
        <v>2511</v>
      </c>
      <c r="S57" s="34">
        <f t="shared" si="0"/>
        <v>894.65000000000009</v>
      </c>
      <c r="T57" s="43">
        <f t="shared" si="31"/>
        <v>18787.650000000001</v>
      </c>
      <c r="U57" s="43">
        <v>86</v>
      </c>
      <c r="V57" s="35">
        <v>15</v>
      </c>
      <c r="W57" s="35">
        <v>1</v>
      </c>
      <c r="X57" s="44">
        <v>16</v>
      </c>
      <c r="Y57" s="36">
        <v>60</v>
      </c>
      <c r="Z57" s="43">
        <f t="shared" si="32"/>
        <v>9466</v>
      </c>
      <c r="AA57" s="43">
        <f t="shared" si="33"/>
        <v>1545</v>
      </c>
      <c r="AB57" s="43">
        <f t="shared" si="34"/>
        <v>551</v>
      </c>
      <c r="AC57" s="43">
        <f t="shared" si="35"/>
        <v>11562</v>
      </c>
      <c r="AD57" s="43">
        <f t="shared" si="36"/>
        <v>5160</v>
      </c>
      <c r="AE57" s="43">
        <f t="shared" si="37"/>
        <v>16722</v>
      </c>
      <c r="AF57" s="45">
        <f t="shared" si="38"/>
        <v>1321.32</v>
      </c>
      <c r="AG57" s="45">
        <f t="shared" si="39"/>
        <v>125</v>
      </c>
      <c r="AH57" s="46">
        <f t="shared" si="40"/>
        <v>200</v>
      </c>
      <c r="AI57" s="34">
        <v>0</v>
      </c>
      <c r="AJ57" s="43"/>
      <c r="AK57" s="43">
        <f t="shared" si="41"/>
        <v>1646</v>
      </c>
      <c r="AL57" s="47">
        <f t="shared" si="42"/>
        <v>15076</v>
      </c>
      <c r="AM57" s="45">
        <f t="shared" si="43"/>
        <v>1431.43</v>
      </c>
      <c r="AN57" s="45">
        <f t="shared" si="44"/>
        <v>543.46500000000003</v>
      </c>
      <c r="AO57" s="37">
        <v>0</v>
      </c>
      <c r="AP57" s="43">
        <f t="shared" si="45"/>
        <v>1170.5400000000002</v>
      </c>
      <c r="AQ57" s="34">
        <f t="shared" si="46"/>
        <v>19867.435000000001</v>
      </c>
      <c r="AR57" s="48">
        <f t="shared" si="47"/>
        <v>3576.1383000000001</v>
      </c>
      <c r="AS57" s="49">
        <f t="shared" si="48"/>
        <v>23443.5733</v>
      </c>
    </row>
    <row r="58" spans="1:45" ht="21" x14ac:dyDescent="0.35">
      <c r="A58" s="42">
        <v>53</v>
      </c>
      <c r="B58" s="42" t="s">
        <v>108</v>
      </c>
      <c r="C58" s="30" t="s">
        <v>400</v>
      </c>
      <c r="D58" s="30" t="s">
        <v>401</v>
      </c>
      <c r="E58" s="31" t="s">
        <v>402</v>
      </c>
      <c r="F58" s="30">
        <v>3318411974</v>
      </c>
      <c r="G58" s="29" t="s">
        <v>174</v>
      </c>
      <c r="H58" s="31" t="s">
        <v>175</v>
      </c>
      <c r="I58" s="33" t="s">
        <v>44</v>
      </c>
      <c r="J58" s="32">
        <v>46246</v>
      </c>
      <c r="K58" s="32">
        <v>39483</v>
      </c>
      <c r="L58" s="55" t="s">
        <v>562</v>
      </c>
      <c r="M58" s="59" t="s">
        <v>563</v>
      </c>
      <c r="N58" s="29" t="s">
        <v>564</v>
      </c>
      <c r="O58" s="29">
        <v>7499838094</v>
      </c>
      <c r="P58" s="33" t="s">
        <v>138</v>
      </c>
      <c r="Q58" s="34">
        <v>15382</v>
      </c>
      <c r="R58" s="34">
        <v>2511</v>
      </c>
      <c r="S58" s="34">
        <f t="shared" si="0"/>
        <v>894.65000000000009</v>
      </c>
      <c r="T58" s="43">
        <f t="shared" si="31"/>
        <v>18787.650000000001</v>
      </c>
      <c r="U58" s="43">
        <v>86</v>
      </c>
      <c r="V58" s="35">
        <v>23</v>
      </c>
      <c r="W58" s="35">
        <v>1</v>
      </c>
      <c r="X58" s="44">
        <v>24</v>
      </c>
      <c r="Y58" s="36">
        <v>110</v>
      </c>
      <c r="Z58" s="43">
        <f t="shared" si="32"/>
        <v>14199</v>
      </c>
      <c r="AA58" s="43">
        <f t="shared" si="33"/>
        <v>2318</v>
      </c>
      <c r="AB58" s="43">
        <f t="shared" si="34"/>
        <v>826</v>
      </c>
      <c r="AC58" s="43">
        <f t="shared" si="35"/>
        <v>17343</v>
      </c>
      <c r="AD58" s="43">
        <f t="shared" si="36"/>
        <v>9460</v>
      </c>
      <c r="AE58" s="43">
        <f t="shared" si="37"/>
        <v>26803</v>
      </c>
      <c r="AF58" s="45">
        <f t="shared" si="38"/>
        <v>1800</v>
      </c>
      <c r="AG58" s="45">
        <f t="shared" si="39"/>
        <v>201</v>
      </c>
      <c r="AH58" s="46">
        <f t="shared" si="40"/>
        <v>200</v>
      </c>
      <c r="AI58" s="34">
        <v>0</v>
      </c>
      <c r="AJ58" s="43">
        <v>2000</v>
      </c>
      <c r="AK58" s="43">
        <f t="shared" si="41"/>
        <v>4201</v>
      </c>
      <c r="AL58" s="47">
        <f t="shared" si="42"/>
        <v>22602</v>
      </c>
      <c r="AM58" s="45">
        <f t="shared" si="43"/>
        <v>1950</v>
      </c>
      <c r="AN58" s="45">
        <f t="shared" si="44"/>
        <v>871.09750000000008</v>
      </c>
      <c r="AO58" s="37">
        <v>0</v>
      </c>
      <c r="AP58" s="43">
        <f t="shared" si="45"/>
        <v>1876.2100000000003</v>
      </c>
      <c r="AQ58" s="34">
        <f t="shared" si="46"/>
        <v>31500.307499999999</v>
      </c>
      <c r="AR58" s="48">
        <f t="shared" si="47"/>
        <v>5670.0553499999996</v>
      </c>
      <c r="AS58" s="49">
        <f t="shared" si="48"/>
        <v>37170.362849999998</v>
      </c>
    </row>
    <row r="59" spans="1:45" ht="21" x14ac:dyDescent="0.35">
      <c r="A59" s="42">
        <v>54</v>
      </c>
      <c r="B59" s="42" t="s">
        <v>109</v>
      </c>
      <c r="C59" s="30" t="s">
        <v>403</v>
      </c>
      <c r="D59" s="30" t="s">
        <v>404</v>
      </c>
      <c r="E59" s="31">
        <v>0</v>
      </c>
      <c r="F59" s="30">
        <v>3319059683</v>
      </c>
      <c r="G59" s="29" t="s">
        <v>176</v>
      </c>
      <c r="H59" s="31" t="s">
        <v>177</v>
      </c>
      <c r="I59" s="33" t="s">
        <v>44</v>
      </c>
      <c r="J59" s="32">
        <v>46238</v>
      </c>
      <c r="K59" s="32">
        <v>38057</v>
      </c>
      <c r="L59" s="55" t="s">
        <v>512</v>
      </c>
      <c r="M59" s="59" t="s">
        <v>565</v>
      </c>
      <c r="N59" s="29" t="s">
        <v>566</v>
      </c>
      <c r="O59" s="29">
        <v>7985779329</v>
      </c>
      <c r="P59" s="33" t="s">
        <v>138</v>
      </c>
      <c r="Q59" s="34">
        <v>15382</v>
      </c>
      <c r="R59" s="34">
        <v>2511</v>
      </c>
      <c r="S59" s="34">
        <f t="shared" si="0"/>
        <v>894.65000000000009</v>
      </c>
      <c r="T59" s="43">
        <f t="shared" si="31"/>
        <v>18787.650000000001</v>
      </c>
      <c r="U59" s="43">
        <v>86</v>
      </c>
      <c r="V59" s="35">
        <v>6</v>
      </c>
      <c r="W59" s="35">
        <v>0</v>
      </c>
      <c r="X59" s="44">
        <v>6</v>
      </c>
      <c r="Y59" s="36">
        <v>48</v>
      </c>
      <c r="Z59" s="43">
        <f t="shared" si="32"/>
        <v>3550</v>
      </c>
      <c r="AA59" s="43">
        <f t="shared" si="33"/>
        <v>579</v>
      </c>
      <c r="AB59" s="43">
        <f t="shared" si="34"/>
        <v>206</v>
      </c>
      <c r="AC59" s="43">
        <f t="shared" si="35"/>
        <v>4335</v>
      </c>
      <c r="AD59" s="43">
        <f t="shared" si="36"/>
        <v>4128</v>
      </c>
      <c r="AE59" s="43">
        <f t="shared" si="37"/>
        <v>8463</v>
      </c>
      <c r="AF59" s="45">
        <f t="shared" si="38"/>
        <v>495.48</v>
      </c>
      <c r="AG59" s="45">
        <f t="shared" si="39"/>
        <v>63</v>
      </c>
      <c r="AH59" s="46">
        <f t="shared" si="40"/>
        <v>175</v>
      </c>
      <c r="AI59" s="34">
        <v>0</v>
      </c>
      <c r="AJ59" s="43"/>
      <c r="AK59" s="43">
        <f t="shared" si="41"/>
        <v>733</v>
      </c>
      <c r="AL59" s="47">
        <f t="shared" si="42"/>
        <v>7730</v>
      </c>
      <c r="AM59" s="45">
        <f t="shared" si="43"/>
        <v>536.77</v>
      </c>
      <c r="AN59" s="45">
        <f t="shared" si="44"/>
        <v>275.04750000000001</v>
      </c>
      <c r="AO59" s="37">
        <v>0</v>
      </c>
      <c r="AP59" s="43">
        <f t="shared" si="45"/>
        <v>592.41000000000008</v>
      </c>
      <c r="AQ59" s="34">
        <f t="shared" si="46"/>
        <v>9867.2275000000009</v>
      </c>
      <c r="AR59" s="48">
        <f t="shared" si="47"/>
        <v>1776.10095</v>
      </c>
      <c r="AS59" s="49">
        <f t="shared" si="48"/>
        <v>11643.328450000001</v>
      </c>
    </row>
    <row r="60" spans="1:45" ht="21" x14ac:dyDescent="0.35">
      <c r="A60" s="28">
        <v>55</v>
      </c>
      <c r="B60" s="42" t="s">
        <v>110</v>
      </c>
      <c r="C60" s="30" t="s">
        <v>405</v>
      </c>
      <c r="D60" s="30" t="s">
        <v>406</v>
      </c>
      <c r="E60" s="31" t="s">
        <v>407</v>
      </c>
      <c r="F60" s="30">
        <v>3317838788</v>
      </c>
      <c r="G60" s="29" t="s">
        <v>178</v>
      </c>
      <c r="H60" s="31" t="s">
        <v>179</v>
      </c>
      <c r="I60" s="33" t="s">
        <v>44</v>
      </c>
      <c r="J60" s="32">
        <v>46251</v>
      </c>
      <c r="K60" s="32">
        <v>35718</v>
      </c>
      <c r="L60" s="55" t="s">
        <v>567</v>
      </c>
      <c r="M60" s="59" t="s">
        <v>568</v>
      </c>
      <c r="N60" s="29" t="s">
        <v>493</v>
      </c>
      <c r="O60" s="29">
        <v>6265279403</v>
      </c>
      <c r="P60" s="33" t="s">
        <v>138</v>
      </c>
      <c r="Q60" s="34">
        <v>15382</v>
      </c>
      <c r="R60" s="34">
        <v>2511</v>
      </c>
      <c r="S60" s="34">
        <f t="shared" si="0"/>
        <v>894.65000000000009</v>
      </c>
      <c r="T60" s="43">
        <f t="shared" si="31"/>
        <v>18787.650000000001</v>
      </c>
      <c r="U60" s="43">
        <v>86</v>
      </c>
      <c r="V60" s="35">
        <v>21</v>
      </c>
      <c r="W60" s="35">
        <v>1</v>
      </c>
      <c r="X60" s="44">
        <v>22</v>
      </c>
      <c r="Y60" s="36">
        <v>152</v>
      </c>
      <c r="Z60" s="43">
        <f t="shared" si="32"/>
        <v>13016</v>
      </c>
      <c r="AA60" s="43">
        <f t="shared" si="33"/>
        <v>2125</v>
      </c>
      <c r="AB60" s="43">
        <f t="shared" si="34"/>
        <v>757</v>
      </c>
      <c r="AC60" s="43">
        <f t="shared" si="35"/>
        <v>15898</v>
      </c>
      <c r="AD60" s="43">
        <f t="shared" si="36"/>
        <v>13072</v>
      </c>
      <c r="AE60" s="43">
        <f t="shared" si="37"/>
        <v>28970</v>
      </c>
      <c r="AF60" s="45">
        <f t="shared" si="38"/>
        <v>1800</v>
      </c>
      <c r="AG60" s="45">
        <f t="shared" si="39"/>
        <v>217</v>
      </c>
      <c r="AH60" s="46">
        <f t="shared" si="40"/>
        <v>200</v>
      </c>
      <c r="AI60" s="34">
        <v>0</v>
      </c>
      <c r="AJ60" s="43"/>
      <c r="AK60" s="43">
        <f t="shared" si="41"/>
        <v>2217</v>
      </c>
      <c r="AL60" s="47">
        <f t="shared" si="42"/>
        <v>26753</v>
      </c>
      <c r="AM60" s="45">
        <f t="shared" si="43"/>
        <v>1950</v>
      </c>
      <c r="AN60" s="45">
        <f t="shared" si="44"/>
        <v>941.52499999999998</v>
      </c>
      <c r="AO60" s="37">
        <v>0</v>
      </c>
      <c r="AP60" s="43">
        <f t="shared" si="45"/>
        <v>2027.9</v>
      </c>
      <c r="AQ60" s="34">
        <f t="shared" si="46"/>
        <v>33889.425000000003</v>
      </c>
      <c r="AR60" s="48">
        <f t="shared" si="47"/>
        <v>6100.0965000000006</v>
      </c>
      <c r="AS60" s="49">
        <f t="shared" si="48"/>
        <v>39989.521500000003</v>
      </c>
    </row>
    <row r="61" spans="1:45" ht="21" x14ac:dyDescent="0.35">
      <c r="A61" s="42">
        <v>56</v>
      </c>
      <c r="B61" s="42" t="s">
        <v>111</v>
      </c>
      <c r="C61" s="30" t="s">
        <v>408</v>
      </c>
      <c r="D61" s="30" t="s">
        <v>409</v>
      </c>
      <c r="E61" s="31" t="s">
        <v>410</v>
      </c>
      <c r="F61" s="30">
        <v>3316336828</v>
      </c>
      <c r="G61" s="29" t="s">
        <v>180</v>
      </c>
      <c r="H61" s="31" t="s">
        <v>181</v>
      </c>
      <c r="I61" s="33" t="s">
        <v>44</v>
      </c>
      <c r="J61" s="32">
        <v>46085</v>
      </c>
      <c r="K61" s="32">
        <v>35847</v>
      </c>
      <c r="L61" s="55" t="s">
        <v>537</v>
      </c>
      <c r="M61" s="59" t="s">
        <v>569</v>
      </c>
      <c r="N61" s="29" t="s">
        <v>570</v>
      </c>
      <c r="O61" s="29">
        <v>9822609610</v>
      </c>
      <c r="P61" s="33" t="s">
        <v>138</v>
      </c>
      <c r="Q61" s="34">
        <v>15382</v>
      </c>
      <c r="R61" s="34">
        <v>2511</v>
      </c>
      <c r="S61" s="34">
        <f t="shared" si="0"/>
        <v>894.65000000000009</v>
      </c>
      <c r="T61" s="43">
        <f t="shared" si="31"/>
        <v>18787.650000000001</v>
      </c>
      <c r="U61" s="43">
        <v>86</v>
      </c>
      <c r="V61" s="35">
        <v>22</v>
      </c>
      <c r="W61" s="35">
        <v>1</v>
      </c>
      <c r="X61" s="44">
        <v>23</v>
      </c>
      <c r="Y61" s="36">
        <v>148</v>
      </c>
      <c r="Z61" s="43">
        <f t="shared" si="32"/>
        <v>13607</v>
      </c>
      <c r="AA61" s="43">
        <f t="shared" si="33"/>
        <v>2221</v>
      </c>
      <c r="AB61" s="43">
        <f t="shared" si="34"/>
        <v>791</v>
      </c>
      <c r="AC61" s="43">
        <f t="shared" si="35"/>
        <v>16619</v>
      </c>
      <c r="AD61" s="43">
        <f t="shared" si="36"/>
        <v>12728</v>
      </c>
      <c r="AE61" s="43">
        <f t="shared" si="37"/>
        <v>29347</v>
      </c>
      <c r="AF61" s="45">
        <f t="shared" si="38"/>
        <v>1800</v>
      </c>
      <c r="AG61" s="45">
        <f t="shared" si="39"/>
        <v>220</v>
      </c>
      <c r="AH61" s="46">
        <f t="shared" si="40"/>
        <v>200</v>
      </c>
      <c r="AI61" s="34">
        <v>0</v>
      </c>
      <c r="AJ61" s="43"/>
      <c r="AK61" s="43">
        <f t="shared" si="41"/>
        <v>2220</v>
      </c>
      <c r="AL61" s="47">
        <f t="shared" si="42"/>
        <v>27127</v>
      </c>
      <c r="AM61" s="45">
        <f t="shared" si="43"/>
        <v>1950</v>
      </c>
      <c r="AN61" s="45">
        <f t="shared" si="44"/>
        <v>953.77750000000003</v>
      </c>
      <c r="AO61" s="37">
        <v>0</v>
      </c>
      <c r="AP61" s="43">
        <f t="shared" si="45"/>
        <v>2054.2900000000004</v>
      </c>
      <c r="AQ61" s="34">
        <f t="shared" si="46"/>
        <v>34305.067499999997</v>
      </c>
      <c r="AR61" s="48">
        <f t="shared" si="47"/>
        <v>6174.9121499999992</v>
      </c>
      <c r="AS61" s="49">
        <f t="shared" si="48"/>
        <v>40479.979649999994</v>
      </c>
    </row>
    <row r="62" spans="1:45" ht="21" x14ac:dyDescent="0.35">
      <c r="A62" s="42">
        <v>57</v>
      </c>
      <c r="B62" s="42" t="s">
        <v>112</v>
      </c>
      <c r="C62" s="30" t="s">
        <v>411</v>
      </c>
      <c r="D62" s="30" t="s">
        <v>412</v>
      </c>
      <c r="E62" s="31" t="s">
        <v>413</v>
      </c>
      <c r="F62" s="30">
        <v>3314258205</v>
      </c>
      <c r="G62" s="29" t="s">
        <v>182</v>
      </c>
      <c r="H62" s="31" t="s">
        <v>183</v>
      </c>
      <c r="I62" s="33" t="s">
        <v>44</v>
      </c>
      <c r="J62" s="32">
        <v>46238</v>
      </c>
      <c r="K62" s="32">
        <v>38698</v>
      </c>
      <c r="L62" s="55" t="s">
        <v>571</v>
      </c>
      <c r="M62" s="59" t="s">
        <v>572</v>
      </c>
      <c r="N62" s="29" t="s">
        <v>573</v>
      </c>
      <c r="O62" s="29">
        <v>9146628361</v>
      </c>
      <c r="P62" s="33" t="s">
        <v>138</v>
      </c>
      <c r="Q62" s="34">
        <v>15382</v>
      </c>
      <c r="R62" s="34">
        <v>2511</v>
      </c>
      <c r="S62" s="34">
        <f t="shared" si="0"/>
        <v>894.65000000000009</v>
      </c>
      <c r="T62" s="43">
        <f t="shared" si="31"/>
        <v>18787.650000000001</v>
      </c>
      <c r="U62" s="43">
        <v>86</v>
      </c>
      <c r="V62" s="35">
        <v>14</v>
      </c>
      <c r="W62" s="35">
        <v>1</v>
      </c>
      <c r="X62" s="44">
        <v>15</v>
      </c>
      <c r="Y62" s="36">
        <v>88</v>
      </c>
      <c r="Z62" s="43">
        <f t="shared" si="32"/>
        <v>8874</v>
      </c>
      <c r="AA62" s="43">
        <f t="shared" si="33"/>
        <v>1449</v>
      </c>
      <c r="AB62" s="43">
        <f t="shared" si="34"/>
        <v>516</v>
      </c>
      <c r="AC62" s="43">
        <f t="shared" si="35"/>
        <v>10839</v>
      </c>
      <c r="AD62" s="43">
        <f t="shared" si="36"/>
        <v>7568</v>
      </c>
      <c r="AE62" s="43">
        <f t="shared" si="37"/>
        <v>18407</v>
      </c>
      <c r="AF62" s="45">
        <f t="shared" si="38"/>
        <v>1238.76</v>
      </c>
      <c r="AG62" s="45">
        <f t="shared" si="39"/>
        <v>138</v>
      </c>
      <c r="AH62" s="46">
        <f t="shared" si="40"/>
        <v>200</v>
      </c>
      <c r="AI62" s="34">
        <v>0</v>
      </c>
      <c r="AJ62" s="43"/>
      <c r="AK62" s="43">
        <f t="shared" si="41"/>
        <v>1577</v>
      </c>
      <c r="AL62" s="47">
        <f t="shared" si="42"/>
        <v>16830</v>
      </c>
      <c r="AM62" s="45">
        <f t="shared" si="43"/>
        <v>1341.99</v>
      </c>
      <c r="AN62" s="45">
        <f t="shared" si="44"/>
        <v>598.22749999999996</v>
      </c>
      <c r="AO62" s="37">
        <v>0</v>
      </c>
      <c r="AP62" s="43">
        <f t="shared" si="45"/>
        <v>1288.49</v>
      </c>
      <c r="AQ62" s="34">
        <f t="shared" si="46"/>
        <v>21635.707500000004</v>
      </c>
      <c r="AR62" s="48">
        <f t="shared" si="47"/>
        <v>3894.4273500000004</v>
      </c>
      <c r="AS62" s="49">
        <f t="shared" si="48"/>
        <v>25530.134850000006</v>
      </c>
    </row>
    <row r="63" spans="1:45" ht="21" x14ac:dyDescent="0.35">
      <c r="A63" s="28">
        <v>58</v>
      </c>
      <c r="B63" s="42" t="s">
        <v>113</v>
      </c>
      <c r="C63" s="30" t="s">
        <v>414</v>
      </c>
      <c r="D63" s="30" t="s">
        <v>415</v>
      </c>
      <c r="E63" s="31" t="s">
        <v>416</v>
      </c>
      <c r="F63" s="30">
        <v>3319093785</v>
      </c>
      <c r="G63" s="29" t="s">
        <v>184</v>
      </c>
      <c r="H63" s="31" t="s">
        <v>185</v>
      </c>
      <c r="I63" s="33" t="s">
        <v>44</v>
      </c>
      <c r="J63" s="32">
        <v>46246</v>
      </c>
      <c r="K63" s="32">
        <v>37915</v>
      </c>
      <c r="L63" s="55" t="s">
        <v>574</v>
      </c>
      <c r="M63" s="59" t="s">
        <v>575</v>
      </c>
      <c r="N63" s="29" t="s">
        <v>576</v>
      </c>
      <c r="O63" s="29">
        <v>8459538765</v>
      </c>
      <c r="P63" s="33" t="s">
        <v>138</v>
      </c>
      <c r="Q63" s="34">
        <v>15382</v>
      </c>
      <c r="R63" s="34">
        <v>2511</v>
      </c>
      <c r="S63" s="34">
        <f t="shared" si="0"/>
        <v>894.65000000000009</v>
      </c>
      <c r="T63" s="43">
        <f t="shared" si="31"/>
        <v>18787.650000000001</v>
      </c>
      <c r="U63" s="43">
        <v>86</v>
      </c>
      <c r="V63" s="35">
        <v>15</v>
      </c>
      <c r="W63" s="35">
        <v>1</v>
      </c>
      <c r="X63" s="44">
        <v>16</v>
      </c>
      <c r="Y63" s="36">
        <v>72</v>
      </c>
      <c r="Z63" s="43">
        <f t="shared" si="32"/>
        <v>9466</v>
      </c>
      <c r="AA63" s="43">
        <f t="shared" si="33"/>
        <v>1545</v>
      </c>
      <c r="AB63" s="43">
        <f t="shared" si="34"/>
        <v>551</v>
      </c>
      <c r="AC63" s="43">
        <f t="shared" si="35"/>
        <v>11562</v>
      </c>
      <c r="AD63" s="43">
        <f t="shared" si="36"/>
        <v>6192</v>
      </c>
      <c r="AE63" s="43">
        <f t="shared" si="37"/>
        <v>17754</v>
      </c>
      <c r="AF63" s="45">
        <f t="shared" si="38"/>
        <v>1321.32</v>
      </c>
      <c r="AG63" s="45">
        <f t="shared" si="39"/>
        <v>133</v>
      </c>
      <c r="AH63" s="46">
        <f t="shared" si="40"/>
        <v>200</v>
      </c>
      <c r="AI63" s="34">
        <v>0</v>
      </c>
      <c r="AJ63" s="43"/>
      <c r="AK63" s="43">
        <f t="shared" si="41"/>
        <v>1654</v>
      </c>
      <c r="AL63" s="47">
        <f t="shared" si="42"/>
        <v>16100</v>
      </c>
      <c r="AM63" s="45">
        <f t="shared" si="43"/>
        <v>1431.43</v>
      </c>
      <c r="AN63" s="45">
        <f t="shared" si="44"/>
        <v>577.005</v>
      </c>
      <c r="AO63" s="37">
        <v>0</v>
      </c>
      <c r="AP63" s="43">
        <f t="shared" si="45"/>
        <v>1242.7800000000002</v>
      </c>
      <c r="AQ63" s="34">
        <f t="shared" si="46"/>
        <v>21005.215</v>
      </c>
      <c r="AR63" s="48">
        <f t="shared" si="47"/>
        <v>3780.9386999999997</v>
      </c>
      <c r="AS63" s="49">
        <f t="shared" si="48"/>
        <v>24786.153699999999</v>
      </c>
    </row>
    <row r="64" spans="1:45" ht="21" x14ac:dyDescent="0.35">
      <c r="A64" s="42">
        <v>59</v>
      </c>
      <c r="B64" s="42" t="s">
        <v>114</v>
      </c>
      <c r="C64" s="30" t="s">
        <v>417</v>
      </c>
      <c r="D64" s="30" t="s">
        <v>418</v>
      </c>
      <c r="E64" s="31" t="s">
        <v>419</v>
      </c>
      <c r="F64" s="30">
        <v>3319059809</v>
      </c>
      <c r="G64" s="29" t="s">
        <v>186</v>
      </c>
      <c r="H64" s="31" t="s">
        <v>187</v>
      </c>
      <c r="I64" s="33" t="s">
        <v>44</v>
      </c>
      <c r="J64" s="32">
        <v>46247</v>
      </c>
      <c r="K64" s="32">
        <v>39630</v>
      </c>
      <c r="L64" s="55" t="s">
        <v>560</v>
      </c>
      <c r="M64" s="59">
        <v>6393030295</v>
      </c>
      <c r="N64" s="29" t="s">
        <v>561</v>
      </c>
      <c r="O64" s="29">
        <v>9022140232</v>
      </c>
      <c r="P64" s="33" t="s">
        <v>138</v>
      </c>
      <c r="Q64" s="34">
        <v>15382</v>
      </c>
      <c r="R64" s="34">
        <v>2511</v>
      </c>
      <c r="S64" s="34">
        <f t="shared" si="0"/>
        <v>894.65000000000009</v>
      </c>
      <c r="T64" s="43">
        <f t="shared" si="31"/>
        <v>18787.650000000001</v>
      </c>
      <c r="U64" s="43">
        <v>86</v>
      </c>
      <c r="V64" s="35">
        <v>13</v>
      </c>
      <c r="W64" s="35">
        <v>0</v>
      </c>
      <c r="X64" s="44">
        <v>13</v>
      </c>
      <c r="Y64" s="36">
        <v>104</v>
      </c>
      <c r="Z64" s="43">
        <f t="shared" si="32"/>
        <v>7691</v>
      </c>
      <c r="AA64" s="43">
        <f t="shared" si="33"/>
        <v>1256</v>
      </c>
      <c r="AB64" s="43">
        <f t="shared" si="34"/>
        <v>447</v>
      </c>
      <c r="AC64" s="43">
        <f t="shared" si="35"/>
        <v>9394</v>
      </c>
      <c r="AD64" s="43">
        <f t="shared" si="36"/>
        <v>8944</v>
      </c>
      <c r="AE64" s="43">
        <f t="shared" si="37"/>
        <v>18338</v>
      </c>
      <c r="AF64" s="45">
        <f t="shared" si="38"/>
        <v>1073.6400000000001</v>
      </c>
      <c r="AG64" s="45">
        <f t="shared" si="39"/>
        <v>138</v>
      </c>
      <c r="AH64" s="46">
        <f t="shared" si="40"/>
        <v>200</v>
      </c>
      <c r="AI64" s="34">
        <v>0</v>
      </c>
      <c r="AJ64" s="43"/>
      <c r="AK64" s="43">
        <f t="shared" si="41"/>
        <v>1412</v>
      </c>
      <c r="AL64" s="47">
        <f t="shared" si="42"/>
        <v>16926</v>
      </c>
      <c r="AM64" s="45">
        <f t="shared" si="43"/>
        <v>1163.1099999999999</v>
      </c>
      <c r="AN64" s="45">
        <f t="shared" si="44"/>
        <v>595.98500000000001</v>
      </c>
      <c r="AO64" s="37">
        <v>0</v>
      </c>
      <c r="AP64" s="43">
        <f t="shared" si="45"/>
        <v>1283.6600000000001</v>
      </c>
      <c r="AQ64" s="34">
        <f t="shared" si="46"/>
        <v>21380.755000000001</v>
      </c>
      <c r="AR64" s="48">
        <f t="shared" si="47"/>
        <v>3848.5358999999999</v>
      </c>
      <c r="AS64" s="49">
        <f t="shared" si="48"/>
        <v>25229.2909</v>
      </c>
    </row>
    <row r="65" spans="1:45" ht="21" x14ac:dyDescent="0.35">
      <c r="A65" s="42">
        <v>60</v>
      </c>
      <c r="B65" s="42" t="s">
        <v>115</v>
      </c>
      <c r="C65" s="30" t="s">
        <v>420</v>
      </c>
      <c r="D65" s="30" t="s">
        <v>421</v>
      </c>
      <c r="E65" s="31" t="s">
        <v>422</v>
      </c>
      <c r="F65" s="30">
        <v>3319059948</v>
      </c>
      <c r="G65" s="29" t="s">
        <v>188</v>
      </c>
      <c r="H65" s="31" t="s">
        <v>189</v>
      </c>
      <c r="I65" s="33" t="s">
        <v>44</v>
      </c>
      <c r="J65" s="32">
        <v>46254</v>
      </c>
      <c r="K65" s="32">
        <v>35988</v>
      </c>
      <c r="L65" s="55" t="s">
        <v>567</v>
      </c>
      <c r="M65" s="59" t="s">
        <v>577</v>
      </c>
      <c r="N65" s="29" t="s">
        <v>493</v>
      </c>
      <c r="O65" s="29">
        <v>6393030295</v>
      </c>
      <c r="P65" s="33" t="s">
        <v>138</v>
      </c>
      <c r="Q65" s="34">
        <v>15382</v>
      </c>
      <c r="R65" s="34">
        <v>2511</v>
      </c>
      <c r="S65" s="34">
        <f t="shared" si="0"/>
        <v>894.65000000000009</v>
      </c>
      <c r="T65" s="43">
        <f t="shared" si="31"/>
        <v>18787.650000000001</v>
      </c>
      <c r="U65" s="43">
        <v>86</v>
      </c>
      <c r="V65" s="35">
        <v>9</v>
      </c>
      <c r="W65" s="35">
        <v>0</v>
      </c>
      <c r="X65" s="44">
        <v>9</v>
      </c>
      <c r="Y65" s="36">
        <v>56</v>
      </c>
      <c r="Z65" s="43">
        <f t="shared" si="32"/>
        <v>5325</v>
      </c>
      <c r="AA65" s="43">
        <f t="shared" si="33"/>
        <v>869</v>
      </c>
      <c r="AB65" s="43">
        <f t="shared" si="34"/>
        <v>310</v>
      </c>
      <c r="AC65" s="43">
        <f t="shared" si="35"/>
        <v>6504</v>
      </c>
      <c r="AD65" s="43">
        <f t="shared" si="36"/>
        <v>4816</v>
      </c>
      <c r="AE65" s="43">
        <f t="shared" si="37"/>
        <v>11320</v>
      </c>
      <c r="AF65" s="45">
        <f t="shared" si="38"/>
        <v>743.28</v>
      </c>
      <c r="AG65" s="45">
        <f t="shared" si="39"/>
        <v>85</v>
      </c>
      <c r="AH65" s="46">
        <f t="shared" si="40"/>
        <v>200</v>
      </c>
      <c r="AI65" s="34">
        <v>0</v>
      </c>
      <c r="AJ65" s="43"/>
      <c r="AK65" s="43">
        <f t="shared" si="41"/>
        <v>1028</v>
      </c>
      <c r="AL65" s="47">
        <f t="shared" si="42"/>
        <v>10292</v>
      </c>
      <c r="AM65" s="45">
        <f t="shared" si="43"/>
        <v>805.22</v>
      </c>
      <c r="AN65" s="45">
        <f t="shared" si="44"/>
        <v>367.90000000000003</v>
      </c>
      <c r="AO65" s="37">
        <v>0</v>
      </c>
      <c r="AP65" s="43">
        <f t="shared" si="45"/>
        <v>792.40000000000009</v>
      </c>
      <c r="AQ65" s="34">
        <f t="shared" si="46"/>
        <v>13285.519999999999</v>
      </c>
      <c r="AR65" s="48">
        <f t="shared" si="47"/>
        <v>2391.3935999999999</v>
      </c>
      <c r="AS65" s="49">
        <f t="shared" si="48"/>
        <v>15676.913599999998</v>
      </c>
    </row>
    <row r="66" spans="1:45" ht="21" x14ac:dyDescent="0.35">
      <c r="A66" s="28">
        <v>61</v>
      </c>
      <c r="B66" s="42" t="s">
        <v>116</v>
      </c>
      <c r="C66" s="30" t="s">
        <v>423</v>
      </c>
      <c r="D66" s="30" t="s">
        <v>424</v>
      </c>
      <c r="E66" s="31" t="s">
        <v>425</v>
      </c>
      <c r="F66" s="30">
        <v>3318855637</v>
      </c>
      <c r="G66" s="29" t="s">
        <v>190</v>
      </c>
      <c r="H66" s="31" t="s">
        <v>191</v>
      </c>
      <c r="I66" s="33" t="s">
        <v>44</v>
      </c>
      <c r="J66" s="32">
        <v>46254</v>
      </c>
      <c r="K66" s="32">
        <v>38442</v>
      </c>
      <c r="L66" s="55" t="s">
        <v>567</v>
      </c>
      <c r="M66" s="59" t="s">
        <v>578</v>
      </c>
      <c r="N66" s="29" t="s">
        <v>493</v>
      </c>
      <c r="O66" s="29">
        <v>9158527503</v>
      </c>
      <c r="P66" s="33" t="s">
        <v>138</v>
      </c>
      <c r="Q66" s="34">
        <v>15382</v>
      </c>
      <c r="R66" s="34">
        <v>2511</v>
      </c>
      <c r="S66" s="34">
        <f t="shared" si="0"/>
        <v>894.65000000000009</v>
      </c>
      <c r="T66" s="43">
        <f t="shared" si="31"/>
        <v>18787.650000000001</v>
      </c>
      <c r="U66" s="43">
        <v>86</v>
      </c>
      <c r="V66" s="35">
        <v>7</v>
      </c>
      <c r="W66" s="35">
        <v>0</v>
      </c>
      <c r="X66" s="44">
        <v>7</v>
      </c>
      <c r="Y66" s="36">
        <v>44</v>
      </c>
      <c r="Z66" s="43">
        <f t="shared" si="32"/>
        <v>4141</v>
      </c>
      <c r="AA66" s="43">
        <f t="shared" si="33"/>
        <v>676</v>
      </c>
      <c r="AB66" s="43">
        <f t="shared" si="34"/>
        <v>241</v>
      </c>
      <c r="AC66" s="43">
        <f t="shared" si="35"/>
        <v>5058</v>
      </c>
      <c r="AD66" s="43">
        <f t="shared" si="36"/>
        <v>3784</v>
      </c>
      <c r="AE66" s="43">
        <f t="shared" si="37"/>
        <v>8842</v>
      </c>
      <c r="AF66" s="45">
        <f t="shared" si="38"/>
        <v>578.04</v>
      </c>
      <c r="AG66" s="45">
        <f t="shared" si="39"/>
        <v>66</v>
      </c>
      <c r="AH66" s="46">
        <f t="shared" si="40"/>
        <v>175</v>
      </c>
      <c r="AI66" s="34">
        <v>0</v>
      </c>
      <c r="AJ66" s="43"/>
      <c r="AK66" s="43">
        <f t="shared" si="41"/>
        <v>819</v>
      </c>
      <c r="AL66" s="47">
        <f t="shared" si="42"/>
        <v>8023</v>
      </c>
      <c r="AM66" s="45">
        <f t="shared" si="43"/>
        <v>626.21</v>
      </c>
      <c r="AN66" s="45">
        <f t="shared" si="44"/>
        <v>287.36500000000001</v>
      </c>
      <c r="AO66" s="37">
        <v>0</v>
      </c>
      <c r="AP66" s="43">
        <f t="shared" si="45"/>
        <v>618.94000000000005</v>
      </c>
      <c r="AQ66" s="34">
        <f t="shared" si="46"/>
        <v>10374.514999999999</v>
      </c>
      <c r="AR66" s="48">
        <f t="shared" si="47"/>
        <v>1867.4126999999999</v>
      </c>
      <c r="AS66" s="49">
        <f t="shared" si="48"/>
        <v>12241.9277</v>
      </c>
    </row>
    <row r="67" spans="1:45" ht="21" x14ac:dyDescent="0.35">
      <c r="A67" s="42">
        <v>62</v>
      </c>
      <c r="B67" s="42" t="s">
        <v>117</v>
      </c>
      <c r="C67" s="30" t="s">
        <v>426</v>
      </c>
      <c r="D67" s="30" t="s">
        <v>427</v>
      </c>
      <c r="E67" s="31" t="s">
        <v>428</v>
      </c>
      <c r="F67" s="30">
        <v>3317947149</v>
      </c>
      <c r="G67" s="29" t="s">
        <v>192</v>
      </c>
      <c r="H67" s="31" t="s">
        <v>193</v>
      </c>
      <c r="I67" s="33" t="s">
        <v>44</v>
      </c>
      <c r="J67" s="32">
        <v>46254</v>
      </c>
      <c r="K67" s="32">
        <v>38508</v>
      </c>
      <c r="L67" s="55" t="s">
        <v>579</v>
      </c>
      <c r="M67" s="59" t="s">
        <v>580</v>
      </c>
      <c r="N67" s="29" t="s">
        <v>496</v>
      </c>
      <c r="O67" s="29">
        <v>7758873689</v>
      </c>
      <c r="P67" s="33" t="s">
        <v>138</v>
      </c>
      <c r="Q67" s="34">
        <v>15382</v>
      </c>
      <c r="R67" s="34">
        <v>2511</v>
      </c>
      <c r="S67" s="34">
        <f t="shared" si="0"/>
        <v>894.65000000000009</v>
      </c>
      <c r="T67" s="43">
        <f t="shared" si="31"/>
        <v>18787.650000000001</v>
      </c>
      <c r="U67" s="43">
        <v>86</v>
      </c>
      <c r="V67" s="35">
        <v>10</v>
      </c>
      <c r="W67" s="35">
        <v>0</v>
      </c>
      <c r="X67" s="44">
        <v>10</v>
      </c>
      <c r="Y67" s="36">
        <v>48</v>
      </c>
      <c r="Z67" s="43">
        <f t="shared" si="32"/>
        <v>5916</v>
      </c>
      <c r="AA67" s="43">
        <f t="shared" si="33"/>
        <v>966</v>
      </c>
      <c r="AB67" s="43">
        <f t="shared" si="34"/>
        <v>344</v>
      </c>
      <c r="AC67" s="43">
        <f t="shared" si="35"/>
        <v>7226</v>
      </c>
      <c r="AD67" s="43">
        <f t="shared" si="36"/>
        <v>4128</v>
      </c>
      <c r="AE67" s="43">
        <f t="shared" si="37"/>
        <v>11354</v>
      </c>
      <c r="AF67" s="45">
        <f t="shared" si="38"/>
        <v>825.84</v>
      </c>
      <c r="AG67" s="45">
        <f t="shared" si="39"/>
        <v>85</v>
      </c>
      <c r="AH67" s="46">
        <f t="shared" si="40"/>
        <v>200</v>
      </c>
      <c r="AI67" s="34">
        <v>0</v>
      </c>
      <c r="AJ67" s="43"/>
      <c r="AK67" s="43">
        <f t="shared" si="41"/>
        <v>1111</v>
      </c>
      <c r="AL67" s="47">
        <f t="shared" si="42"/>
        <v>10243</v>
      </c>
      <c r="AM67" s="45">
        <f t="shared" si="43"/>
        <v>894.66</v>
      </c>
      <c r="AN67" s="45">
        <f t="shared" si="44"/>
        <v>369.005</v>
      </c>
      <c r="AO67" s="37">
        <v>0</v>
      </c>
      <c r="AP67" s="43">
        <f t="shared" si="45"/>
        <v>794.78000000000009</v>
      </c>
      <c r="AQ67" s="34">
        <f t="shared" si="46"/>
        <v>13412.445</v>
      </c>
      <c r="AR67" s="48">
        <f t="shared" si="47"/>
        <v>2414.2401</v>
      </c>
      <c r="AS67" s="49">
        <f t="shared" si="48"/>
        <v>15826.685099999999</v>
      </c>
    </row>
    <row r="68" spans="1:45" ht="21" x14ac:dyDescent="0.35">
      <c r="A68" s="42">
        <v>63</v>
      </c>
      <c r="B68" s="42" t="s">
        <v>118</v>
      </c>
      <c r="C68" s="30" t="s">
        <v>429</v>
      </c>
      <c r="D68" s="30" t="s">
        <v>430</v>
      </c>
      <c r="E68" s="31" t="s">
        <v>431</v>
      </c>
      <c r="F68" s="30">
        <v>3319064756</v>
      </c>
      <c r="G68" s="29" t="s">
        <v>194</v>
      </c>
      <c r="H68" s="31" t="s">
        <v>195</v>
      </c>
      <c r="I68" s="33" t="s">
        <v>44</v>
      </c>
      <c r="J68" s="32">
        <v>46254</v>
      </c>
      <c r="K68" s="32">
        <v>32033</v>
      </c>
      <c r="L68" s="55" t="s">
        <v>581</v>
      </c>
      <c r="M68" s="59" t="s">
        <v>582</v>
      </c>
      <c r="N68" s="29" t="s">
        <v>508</v>
      </c>
      <c r="O68" s="29">
        <v>9766558844</v>
      </c>
      <c r="P68" s="33" t="s">
        <v>138</v>
      </c>
      <c r="Q68" s="34">
        <v>15382</v>
      </c>
      <c r="R68" s="34">
        <v>2511</v>
      </c>
      <c r="S68" s="34">
        <f t="shared" si="0"/>
        <v>894.65000000000009</v>
      </c>
      <c r="T68" s="43">
        <f t="shared" si="31"/>
        <v>18787.650000000001</v>
      </c>
      <c r="U68" s="43">
        <v>86</v>
      </c>
      <c r="V68" s="35">
        <v>8</v>
      </c>
      <c r="W68" s="35">
        <v>0</v>
      </c>
      <c r="X68" s="44">
        <v>8</v>
      </c>
      <c r="Y68" s="36">
        <v>44</v>
      </c>
      <c r="Z68" s="43">
        <f t="shared" si="32"/>
        <v>4733</v>
      </c>
      <c r="AA68" s="43">
        <f t="shared" si="33"/>
        <v>773</v>
      </c>
      <c r="AB68" s="43">
        <f t="shared" si="34"/>
        <v>275</v>
      </c>
      <c r="AC68" s="43">
        <f t="shared" si="35"/>
        <v>5781</v>
      </c>
      <c r="AD68" s="43">
        <f t="shared" si="36"/>
        <v>3784</v>
      </c>
      <c r="AE68" s="43">
        <f t="shared" si="37"/>
        <v>9565</v>
      </c>
      <c r="AF68" s="45">
        <f t="shared" si="38"/>
        <v>660.72</v>
      </c>
      <c r="AG68" s="45">
        <f t="shared" si="39"/>
        <v>72</v>
      </c>
      <c r="AH68" s="46">
        <f t="shared" si="40"/>
        <v>175</v>
      </c>
      <c r="AI68" s="34">
        <v>0</v>
      </c>
      <c r="AJ68" s="43"/>
      <c r="AK68" s="43">
        <f t="shared" si="41"/>
        <v>908</v>
      </c>
      <c r="AL68" s="47">
        <f t="shared" si="42"/>
        <v>8657</v>
      </c>
      <c r="AM68" s="45">
        <f t="shared" si="43"/>
        <v>715.78</v>
      </c>
      <c r="AN68" s="45">
        <f t="shared" si="44"/>
        <v>310.86250000000001</v>
      </c>
      <c r="AO68" s="37">
        <v>0</v>
      </c>
      <c r="AP68" s="43">
        <f t="shared" si="45"/>
        <v>669.55000000000007</v>
      </c>
      <c r="AQ68" s="34">
        <f t="shared" si="46"/>
        <v>11261.192499999999</v>
      </c>
      <c r="AR68" s="48">
        <f t="shared" si="47"/>
        <v>2027.0146499999998</v>
      </c>
      <c r="AS68" s="49">
        <f t="shared" si="48"/>
        <v>13288.207149999998</v>
      </c>
    </row>
    <row r="69" spans="1:45" ht="21" x14ac:dyDescent="0.35">
      <c r="A69" s="28">
        <v>64</v>
      </c>
      <c r="B69" s="42" t="s">
        <v>119</v>
      </c>
      <c r="C69" s="30" t="s">
        <v>432</v>
      </c>
      <c r="D69" s="30" t="s">
        <v>433</v>
      </c>
      <c r="E69" s="31" t="s">
        <v>434</v>
      </c>
      <c r="F69" s="30">
        <v>3319091661</v>
      </c>
      <c r="G69" s="29" t="s">
        <v>196</v>
      </c>
      <c r="H69" s="31" t="s">
        <v>197</v>
      </c>
      <c r="I69" s="33" t="s">
        <v>44</v>
      </c>
      <c r="J69" s="32">
        <v>46254</v>
      </c>
      <c r="K69" s="32">
        <v>38513</v>
      </c>
      <c r="L69" s="55" t="s">
        <v>583</v>
      </c>
      <c r="M69" s="59" t="s">
        <v>584</v>
      </c>
      <c r="N69" s="29" t="s">
        <v>585</v>
      </c>
      <c r="O69" s="29">
        <v>8766689050</v>
      </c>
      <c r="P69" s="33" t="s">
        <v>138</v>
      </c>
      <c r="Q69" s="34">
        <v>15382</v>
      </c>
      <c r="R69" s="34">
        <v>2511</v>
      </c>
      <c r="S69" s="34">
        <f t="shared" si="0"/>
        <v>894.65000000000009</v>
      </c>
      <c r="T69" s="43">
        <f t="shared" si="31"/>
        <v>18787.650000000001</v>
      </c>
      <c r="U69" s="43">
        <v>86</v>
      </c>
      <c r="V69" s="35">
        <v>10</v>
      </c>
      <c r="W69" s="35">
        <v>0</v>
      </c>
      <c r="X69" s="44">
        <v>10</v>
      </c>
      <c r="Y69" s="36">
        <v>36</v>
      </c>
      <c r="Z69" s="43">
        <f t="shared" si="32"/>
        <v>5916</v>
      </c>
      <c r="AA69" s="43">
        <f t="shared" si="33"/>
        <v>966</v>
      </c>
      <c r="AB69" s="43">
        <f t="shared" si="34"/>
        <v>344</v>
      </c>
      <c r="AC69" s="43">
        <f t="shared" si="35"/>
        <v>7226</v>
      </c>
      <c r="AD69" s="43">
        <f t="shared" si="36"/>
        <v>3096</v>
      </c>
      <c r="AE69" s="43">
        <f t="shared" si="37"/>
        <v>10322</v>
      </c>
      <c r="AF69" s="45">
        <f t="shared" si="38"/>
        <v>825.84</v>
      </c>
      <c r="AG69" s="45">
        <f t="shared" si="39"/>
        <v>77</v>
      </c>
      <c r="AH69" s="46">
        <f t="shared" si="40"/>
        <v>200</v>
      </c>
      <c r="AI69" s="34">
        <v>0</v>
      </c>
      <c r="AJ69" s="43"/>
      <c r="AK69" s="43">
        <f t="shared" si="41"/>
        <v>1103</v>
      </c>
      <c r="AL69" s="47">
        <f t="shared" si="42"/>
        <v>9219</v>
      </c>
      <c r="AM69" s="45">
        <f t="shared" si="43"/>
        <v>894.66</v>
      </c>
      <c r="AN69" s="45">
        <f t="shared" si="44"/>
        <v>335.46500000000003</v>
      </c>
      <c r="AO69" s="37">
        <v>0</v>
      </c>
      <c r="AP69" s="43">
        <f t="shared" si="45"/>
        <v>722.54000000000008</v>
      </c>
      <c r="AQ69" s="34">
        <f t="shared" si="46"/>
        <v>12274.665000000001</v>
      </c>
      <c r="AR69" s="48">
        <f t="shared" si="47"/>
        <v>2209.4396999999999</v>
      </c>
      <c r="AS69" s="49">
        <f t="shared" si="48"/>
        <v>14484.1047</v>
      </c>
    </row>
    <row r="70" spans="1:45" ht="21" x14ac:dyDescent="0.35">
      <c r="A70" s="42">
        <v>65</v>
      </c>
      <c r="B70" s="42" t="s">
        <v>120</v>
      </c>
      <c r="C70" s="30" t="s">
        <v>435</v>
      </c>
      <c r="D70" s="30" t="s">
        <v>436</v>
      </c>
      <c r="E70" s="31" t="s">
        <v>437</v>
      </c>
      <c r="F70" s="30">
        <v>3315801813</v>
      </c>
      <c r="G70" s="29" t="s">
        <v>198</v>
      </c>
      <c r="H70" s="31" t="s">
        <v>199</v>
      </c>
      <c r="I70" s="33" t="s">
        <v>44</v>
      </c>
      <c r="J70" s="32">
        <v>46254</v>
      </c>
      <c r="K70" s="32">
        <v>31562</v>
      </c>
      <c r="L70" s="55" t="s">
        <v>586</v>
      </c>
      <c r="M70" s="59" t="s">
        <v>587</v>
      </c>
      <c r="N70" s="29" t="s">
        <v>588</v>
      </c>
      <c r="O70" s="29">
        <v>9421478624</v>
      </c>
      <c r="P70" s="33" t="s">
        <v>138</v>
      </c>
      <c r="Q70" s="34">
        <v>15382</v>
      </c>
      <c r="R70" s="34">
        <v>2511</v>
      </c>
      <c r="S70" s="34">
        <f t="shared" ref="S70:S88" si="49">(Q70+R70)*5%</f>
        <v>894.65000000000009</v>
      </c>
      <c r="T70" s="43">
        <f t="shared" si="31"/>
        <v>18787.650000000001</v>
      </c>
      <c r="U70" s="43">
        <v>86</v>
      </c>
      <c r="V70" s="35">
        <v>11</v>
      </c>
      <c r="W70" s="35">
        <v>0</v>
      </c>
      <c r="X70" s="44">
        <v>11</v>
      </c>
      <c r="Y70" s="36">
        <v>28</v>
      </c>
      <c r="Z70" s="43">
        <f t="shared" si="32"/>
        <v>6508</v>
      </c>
      <c r="AA70" s="43">
        <f t="shared" si="33"/>
        <v>1062</v>
      </c>
      <c r="AB70" s="43">
        <f t="shared" si="34"/>
        <v>379</v>
      </c>
      <c r="AC70" s="43">
        <f t="shared" si="35"/>
        <v>7949</v>
      </c>
      <c r="AD70" s="43">
        <f t="shared" si="36"/>
        <v>2408</v>
      </c>
      <c r="AE70" s="43">
        <f t="shared" si="37"/>
        <v>10357</v>
      </c>
      <c r="AF70" s="45">
        <f t="shared" si="38"/>
        <v>908.4</v>
      </c>
      <c r="AG70" s="45">
        <f t="shared" si="39"/>
        <v>78</v>
      </c>
      <c r="AH70" s="46">
        <f t="shared" si="40"/>
        <v>200</v>
      </c>
      <c r="AI70" s="34">
        <v>0</v>
      </c>
      <c r="AJ70" s="43"/>
      <c r="AK70" s="43">
        <f t="shared" si="41"/>
        <v>1186</v>
      </c>
      <c r="AL70" s="47">
        <f t="shared" si="42"/>
        <v>9171</v>
      </c>
      <c r="AM70" s="45">
        <f t="shared" si="43"/>
        <v>984.1</v>
      </c>
      <c r="AN70" s="45">
        <f t="shared" si="44"/>
        <v>336.60250000000002</v>
      </c>
      <c r="AO70" s="37">
        <v>0</v>
      </c>
      <c r="AP70" s="43">
        <f t="shared" si="45"/>
        <v>724.99000000000012</v>
      </c>
      <c r="AQ70" s="34">
        <f t="shared" si="46"/>
        <v>12402.692500000001</v>
      </c>
      <c r="AR70" s="48">
        <f t="shared" si="47"/>
        <v>2232.4846499999999</v>
      </c>
      <c r="AS70" s="49">
        <f t="shared" si="48"/>
        <v>14635.177150000001</v>
      </c>
    </row>
    <row r="71" spans="1:45" ht="21" x14ac:dyDescent="0.35">
      <c r="A71" s="42">
        <v>66</v>
      </c>
      <c r="B71" s="42" t="s">
        <v>121</v>
      </c>
      <c r="C71" s="30" t="s">
        <v>438</v>
      </c>
      <c r="D71" s="30" t="s">
        <v>439</v>
      </c>
      <c r="E71" s="31" t="s">
        <v>440</v>
      </c>
      <c r="F71" s="30">
        <v>3318767833</v>
      </c>
      <c r="G71" s="29" t="s">
        <v>200</v>
      </c>
      <c r="H71" s="31" t="s">
        <v>201</v>
      </c>
      <c r="I71" s="33" t="s">
        <v>44</v>
      </c>
      <c r="J71" s="32">
        <v>46253</v>
      </c>
      <c r="K71" s="32">
        <v>38224</v>
      </c>
      <c r="L71" s="55" t="s">
        <v>581</v>
      </c>
      <c r="M71" s="59" t="s">
        <v>589</v>
      </c>
      <c r="N71" s="29" t="s">
        <v>500</v>
      </c>
      <c r="O71" s="29">
        <v>8237930726</v>
      </c>
      <c r="P71" s="33" t="s">
        <v>138</v>
      </c>
      <c r="Q71" s="34">
        <v>15382</v>
      </c>
      <c r="R71" s="34">
        <v>2511</v>
      </c>
      <c r="S71" s="34">
        <f t="shared" si="49"/>
        <v>894.65000000000009</v>
      </c>
      <c r="T71" s="43">
        <f t="shared" si="31"/>
        <v>18787.650000000001</v>
      </c>
      <c r="U71" s="43">
        <v>86</v>
      </c>
      <c r="V71" s="35">
        <v>5</v>
      </c>
      <c r="W71" s="35">
        <v>0</v>
      </c>
      <c r="X71" s="44">
        <v>5</v>
      </c>
      <c r="Y71" s="36">
        <v>12</v>
      </c>
      <c r="Z71" s="43">
        <f t="shared" si="32"/>
        <v>2958</v>
      </c>
      <c r="AA71" s="43">
        <f t="shared" si="33"/>
        <v>483</v>
      </c>
      <c r="AB71" s="43">
        <f t="shared" si="34"/>
        <v>172</v>
      </c>
      <c r="AC71" s="43">
        <f t="shared" si="35"/>
        <v>3613</v>
      </c>
      <c r="AD71" s="43">
        <f t="shared" si="36"/>
        <v>1032</v>
      </c>
      <c r="AE71" s="43">
        <f t="shared" si="37"/>
        <v>4645</v>
      </c>
      <c r="AF71" s="45">
        <f t="shared" si="38"/>
        <v>412.92</v>
      </c>
      <c r="AG71" s="45">
        <f t="shared" si="39"/>
        <v>35</v>
      </c>
      <c r="AH71" s="46">
        <f t="shared" si="40"/>
        <v>0</v>
      </c>
      <c r="AI71" s="34">
        <v>0</v>
      </c>
      <c r="AJ71" s="43"/>
      <c r="AK71" s="43">
        <f t="shared" si="41"/>
        <v>448</v>
      </c>
      <c r="AL71" s="47">
        <f t="shared" si="42"/>
        <v>4197</v>
      </c>
      <c r="AM71" s="45">
        <f t="shared" si="43"/>
        <v>447.33</v>
      </c>
      <c r="AN71" s="45">
        <f t="shared" si="44"/>
        <v>150.96250000000001</v>
      </c>
      <c r="AO71" s="37">
        <v>0</v>
      </c>
      <c r="AP71" s="43">
        <f t="shared" si="45"/>
        <v>325.15000000000003</v>
      </c>
      <c r="AQ71" s="34">
        <f t="shared" si="46"/>
        <v>5568.4424999999992</v>
      </c>
      <c r="AR71" s="48">
        <f t="shared" si="47"/>
        <v>1002.3196499999998</v>
      </c>
      <c r="AS71" s="49">
        <f t="shared" si="48"/>
        <v>6570.7621499999987</v>
      </c>
    </row>
    <row r="72" spans="1:45" ht="21" x14ac:dyDescent="0.35">
      <c r="A72" s="28">
        <v>67</v>
      </c>
      <c r="B72" s="42" t="s">
        <v>122</v>
      </c>
      <c r="C72" s="30" t="s">
        <v>441</v>
      </c>
      <c r="D72" s="30" t="s">
        <v>442</v>
      </c>
      <c r="E72" s="31" t="s">
        <v>443</v>
      </c>
      <c r="F72" s="30">
        <v>6722030720</v>
      </c>
      <c r="G72" s="29">
        <v>0</v>
      </c>
      <c r="H72" s="31" t="s">
        <v>202</v>
      </c>
      <c r="I72" s="33" t="s">
        <v>44</v>
      </c>
      <c r="J72" s="32">
        <v>46259</v>
      </c>
      <c r="K72" s="32">
        <v>38762</v>
      </c>
      <c r="L72" s="55" t="s">
        <v>521</v>
      </c>
      <c r="M72" s="59" t="s">
        <v>590</v>
      </c>
      <c r="N72" s="29" t="s">
        <v>591</v>
      </c>
      <c r="O72" s="29">
        <v>8459879146</v>
      </c>
      <c r="P72" s="33" t="s">
        <v>138</v>
      </c>
      <c r="Q72" s="34">
        <v>15382</v>
      </c>
      <c r="R72" s="34">
        <v>2511</v>
      </c>
      <c r="S72" s="34">
        <f t="shared" si="49"/>
        <v>894.65000000000009</v>
      </c>
      <c r="T72" s="43">
        <f t="shared" si="31"/>
        <v>18787.650000000001</v>
      </c>
      <c r="U72" s="43">
        <v>86</v>
      </c>
      <c r="V72" s="35">
        <v>7</v>
      </c>
      <c r="W72" s="35">
        <v>0</v>
      </c>
      <c r="X72" s="44">
        <v>7</v>
      </c>
      <c r="Y72" s="36">
        <v>24</v>
      </c>
      <c r="Z72" s="43">
        <f t="shared" si="32"/>
        <v>4141</v>
      </c>
      <c r="AA72" s="43">
        <f t="shared" si="33"/>
        <v>676</v>
      </c>
      <c r="AB72" s="43">
        <f t="shared" si="34"/>
        <v>241</v>
      </c>
      <c r="AC72" s="43">
        <f t="shared" si="35"/>
        <v>5058</v>
      </c>
      <c r="AD72" s="43">
        <f t="shared" si="36"/>
        <v>2064</v>
      </c>
      <c r="AE72" s="43">
        <f t="shared" si="37"/>
        <v>7122</v>
      </c>
      <c r="AF72" s="45">
        <f t="shared" si="38"/>
        <v>578.04</v>
      </c>
      <c r="AG72" s="45">
        <f t="shared" si="39"/>
        <v>53</v>
      </c>
      <c r="AH72" s="46">
        <f t="shared" si="40"/>
        <v>0</v>
      </c>
      <c r="AI72" s="34">
        <v>0</v>
      </c>
      <c r="AJ72" s="43"/>
      <c r="AK72" s="43">
        <f t="shared" si="41"/>
        <v>631</v>
      </c>
      <c r="AL72" s="47">
        <f t="shared" si="42"/>
        <v>6491</v>
      </c>
      <c r="AM72" s="45">
        <f t="shared" si="43"/>
        <v>626.21</v>
      </c>
      <c r="AN72" s="45">
        <f t="shared" si="44"/>
        <v>231.465</v>
      </c>
      <c r="AO72" s="37">
        <v>0</v>
      </c>
      <c r="AP72" s="43">
        <f t="shared" si="45"/>
        <v>498.54</v>
      </c>
      <c r="AQ72" s="34">
        <f t="shared" si="46"/>
        <v>8478.2150000000001</v>
      </c>
      <c r="AR72" s="48">
        <f t="shared" si="47"/>
        <v>1526.0787</v>
      </c>
      <c r="AS72" s="49">
        <f t="shared" si="48"/>
        <v>10004.2937</v>
      </c>
    </row>
    <row r="73" spans="1:45" ht="21" x14ac:dyDescent="0.35">
      <c r="A73" s="42">
        <v>68</v>
      </c>
      <c r="B73" s="42" t="s">
        <v>123</v>
      </c>
      <c r="C73" s="30" t="s">
        <v>444</v>
      </c>
      <c r="D73" s="30" t="s">
        <v>445</v>
      </c>
      <c r="E73" s="31" t="s">
        <v>446</v>
      </c>
      <c r="F73" s="30">
        <v>3319073531</v>
      </c>
      <c r="G73" s="29" t="s">
        <v>203</v>
      </c>
      <c r="H73" s="31" t="s">
        <v>204</v>
      </c>
      <c r="I73" s="33" t="s">
        <v>44</v>
      </c>
      <c r="J73" s="32">
        <v>46259</v>
      </c>
      <c r="K73" s="32">
        <v>37966</v>
      </c>
      <c r="L73" s="55" t="s">
        <v>560</v>
      </c>
      <c r="M73" s="59" t="s">
        <v>592</v>
      </c>
      <c r="N73" s="29" t="s">
        <v>561</v>
      </c>
      <c r="O73" s="29">
        <v>8429283335</v>
      </c>
      <c r="P73" s="33" t="s">
        <v>138</v>
      </c>
      <c r="Q73" s="34">
        <v>15382</v>
      </c>
      <c r="R73" s="34">
        <v>2511</v>
      </c>
      <c r="S73" s="34">
        <f t="shared" si="49"/>
        <v>894.65000000000009</v>
      </c>
      <c r="T73" s="43">
        <f t="shared" si="31"/>
        <v>18787.650000000001</v>
      </c>
      <c r="U73" s="43">
        <v>86</v>
      </c>
      <c r="V73" s="35">
        <v>7</v>
      </c>
      <c r="W73" s="35">
        <v>0</v>
      </c>
      <c r="X73" s="44">
        <v>7</v>
      </c>
      <c r="Y73" s="36">
        <v>24</v>
      </c>
      <c r="Z73" s="43">
        <f t="shared" si="32"/>
        <v>4141</v>
      </c>
      <c r="AA73" s="43">
        <f t="shared" si="33"/>
        <v>676</v>
      </c>
      <c r="AB73" s="43">
        <f t="shared" si="34"/>
        <v>241</v>
      </c>
      <c r="AC73" s="43">
        <f t="shared" si="35"/>
        <v>5058</v>
      </c>
      <c r="AD73" s="43">
        <f t="shared" si="36"/>
        <v>2064</v>
      </c>
      <c r="AE73" s="43">
        <f t="shared" si="37"/>
        <v>7122</v>
      </c>
      <c r="AF73" s="45">
        <f t="shared" si="38"/>
        <v>578.04</v>
      </c>
      <c r="AG73" s="45">
        <f t="shared" si="39"/>
        <v>53</v>
      </c>
      <c r="AH73" s="46">
        <f t="shared" si="40"/>
        <v>0</v>
      </c>
      <c r="AI73" s="34">
        <v>0</v>
      </c>
      <c r="AJ73" s="43"/>
      <c r="AK73" s="43">
        <f t="shared" si="41"/>
        <v>631</v>
      </c>
      <c r="AL73" s="47">
        <f t="shared" si="42"/>
        <v>6491</v>
      </c>
      <c r="AM73" s="45">
        <f t="shared" si="43"/>
        <v>626.21</v>
      </c>
      <c r="AN73" s="45">
        <f t="shared" si="44"/>
        <v>231.465</v>
      </c>
      <c r="AO73" s="37">
        <v>0</v>
      </c>
      <c r="AP73" s="43">
        <f t="shared" si="45"/>
        <v>498.54</v>
      </c>
      <c r="AQ73" s="34">
        <f t="shared" si="46"/>
        <v>8478.2150000000001</v>
      </c>
      <c r="AR73" s="48">
        <f t="shared" si="47"/>
        <v>1526.0787</v>
      </c>
      <c r="AS73" s="49">
        <f t="shared" si="48"/>
        <v>10004.2937</v>
      </c>
    </row>
    <row r="74" spans="1:45" ht="21" x14ac:dyDescent="0.35">
      <c r="A74" s="42">
        <v>69</v>
      </c>
      <c r="B74" s="42" t="s">
        <v>124</v>
      </c>
      <c r="C74" s="30" t="s">
        <v>447</v>
      </c>
      <c r="D74" s="30" t="s">
        <v>448</v>
      </c>
      <c r="E74" s="31" t="s">
        <v>449</v>
      </c>
      <c r="F74" s="30">
        <v>3319073641</v>
      </c>
      <c r="G74" s="29" t="s">
        <v>205</v>
      </c>
      <c r="H74" s="31" t="s">
        <v>206</v>
      </c>
      <c r="I74" s="33" t="s">
        <v>44</v>
      </c>
      <c r="J74" s="32">
        <v>46258</v>
      </c>
      <c r="K74" s="32">
        <v>39380</v>
      </c>
      <c r="L74" s="55" t="s">
        <v>567</v>
      </c>
      <c r="M74" s="59" t="s">
        <v>593</v>
      </c>
      <c r="N74" s="29" t="s">
        <v>519</v>
      </c>
      <c r="O74" s="29">
        <v>8767083306</v>
      </c>
      <c r="P74" s="33" t="s">
        <v>138</v>
      </c>
      <c r="Q74" s="34">
        <v>15382</v>
      </c>
      <c r="R74" s="34">
        <v>2511</v>
      </c>
      <c r="S74" s="34">
        <f t="shared" si="49"/>
        <v>894.65000000000009</v>
      </c>
      <c r="T74" s="43">
        <f t="shared" si="31"/>
        <v>18787.650000000001</v>
      </c>
      <c r="U74" s="43">
        <v>86</v>
      </c>
      <c r="V74" s="35">
        <v>5</v>
      </c>
      <c r="W74" s="35">
        <v>0</v>
      </c>
      <c r="X74" s="44">
        <v>5</v>
      </c>
      <c r="Y74" s="36">
        <v>32</v>
      </c>
      <c r="Z74" s="43">
        <f t="shared" si="32"/>
        <v>2958</v>
      </c>
      <c r="AA74" s="43">
        <f t="shared" si="33"/>
        <v>483</v>
      </c>
      <c r="AB74" s="43">
        <f t="shared" si="34"/>
        <v>172</v>
      </c>
      <c r="AC74" s="43">
        <f t="shared" si="35"/>
        <v>3613</v>
      </c>
      <c r="AD74" s="43">
        <f t="shared" si="36"/>
        <v>2752</v>
      </c>
      <c r="AE74" s="43">
        <f t="shared" si="37"/>
        <v>6365</v>
      </c>
      <c r="AF74" s="45">
        <f t="shared" si="38"/>
        <v>412.92</v>
      </c>
      <c r="AG74" s="45">
        <f t="shared" si="39"/>
        <v>48</v>
      </c>
      <c r="AH74" s="46">
        <f t="shared" si="40"/>
        <v>0</v>
      </c>
      <c r="AI74" s="34">
        <v>0</v>
      </c>
      <c r="AJ74" s="43"/>
      <c r="AK74" s="43">
        <f t="shared" si="41"/>
        <v>461</v>
      </c>
      <c r="AL74" s="47">
        <f t="shared" si="42"/>
        <v>5904</v>
      </c>
      <c r="AM74" s="45">
        <f t="shared" si="43"/>
        <v>447.33</v>
      </c>
      <c r="AN74" s="45">
        <f t="shared" si="44"/>
        <v>206.86250000000001</v>
      </c>
      <c r="AO74" s="37">
        <v>0</v>
      </c>
      <c r="AP74" s="43">
        <f t="shared" si="45"/>
        <v>445.55000000000007</v>
      </c>
      <c r="AQ74" s="34">
        <f t="shared" si="46"/>
        <v>7464.7425000000003</v>
      </c>
      <c r="AR74" s="48">
        <f t="shared" si="47"/>
        <v>1343.65365</v>
      </c>
      <c r="AS74" s="49">
        <f t="shared" si="48"/>
        <v>8808.3961500000005</v>
      </c>
    </row>
    <row r="75" spans="1:45" ht="21" x14ac:dyDescent="0.35">
      <c r="A75" s="28">
        <v>70</v>
      </c>
      <c r="B75" s="42" t="s">
        <v>125</v>
      </c>
      <c r="C75" s="30" t="s">
        <v>450</v>
      </c>
      <c r="D75" s="30" t="s">
        <v>451</v>
      </c>
      <c r="E75" s="31" t="s">
        <v>452</v>
      </c>
      <c r="F75" s="30">
        <v>3317618880</v>
      </c>
      <c r="G75" s="29" t="s">
        <v>207</v>
      </c>
      <c r="H75" s="31" t="s">
        <v>208</v>
      </c>
      <c r="I75" s="33" t="s">
        <v>44</v>
      </c>
      <c r="J75" s="32">
        <v>46258</v>
      </c>
      <c r="K75" s="32">
        <v>38908</v>
      </c>
      <c r="L75" s="55" t="s">
        <v>515</v>
      </c>
      <c r="M75" s="59" t="s">
        <v>594</v>
      </c>
      <c r="N75" s="29" t="s">
        <v>595</v>
      </c>
      <c r="O75" s="29">
        <v>8766076530</v>
      </c>
      <c r="P75" s="33" t="s">
        <v>138</v>
      </c>
      <c r="Q75" s="34">
        <v>15382</v>
      </c>
      <c r="R75" s="34">
        <v>2511</v>
      </c>
      <c r="S75" s="34">
        <f t="shared" si="49"/>
        <v>894.65000000000009</v>
      </c>
      <c r="T75" s="43">
        <f t="shared" si="31"/>
        <v>18787.650000000001</v>
      </c>
      <c r="U75" s="43">
        <v>86</v>
      </c>
      <c r="V75" s="35">
        <v>7</v>
      </c>
      <c r="W75" s="35">
        <v>0</v>
      </c>
      <c r="X75" s="44">
        <v>7</v>
      </c>
      <c r="Y75" s="36">
        <v>24</v>
      </c>
      <c r="Z75" s="43">
        <f t="shared" si="32"/>
        <v>4141</v>
      </c>
      <c r="AA75" s="43">
        <f t="shared" si="33"/>
        <v>676</v>
      </c>
      <c r="AB75" s="43">
        <f t="shared" si="34"/>
        <v>241</v>
      </c>
      <c r="AC75" s="43">
        <f t="shared" si="35"/>
        <v>5058</v>
      </c>
      <c r="AD75" s="43">
        <f t="shared" si="36"/>
        <v>2064</v>
      </c>
      <c r="AE75" s="43">
        <f t="shared" si="37"/>
        <v>7122</v>
      </c>
      <c r="AF75" s="45">
        <f t="shared" si="38"/>
        <v>578.04</v>
      </c>
      <c r="AG75" s="45">
        <f t="shared" si="39"/>
        <v>53</v>
      </c>
      <c r="AH75" s="46">
        <f t="shared" si="40"/>
        <v>0</v>
      </c>
      <c r="AI75" s="34">
        <v>0</v>
      </c>
      <c r="AJ75" s="43"/>
      <c r="AK75" s="43">
        <f t="shared" si="41"/>
        <v>631</v>
      </c>
      <c r="AL75" s="47">
        <f t="shared" si="42"/>
        <v>6491</v>
      </c>
      <c r="AM75" s="45">
        <f t="shared" si="43"/>
        <v>626.21</v>
      </c>
      <c r="AN75" s="45">
        <f t="shared" si="44"/>
        <v>231.465</v>
      </c>
      <c r="AO75" s="37">
        <v>0</v>
      </c>
      <c r="AP75" s="43">
        <f t="shared" si="45"/>
        <v>498.54</v>
      </c>
      <c r="AQ75" s="34">
        <f t="shared" si="46"/>
        <v>8478.2150000000001</v>
      </c>
      <c r="AR75" s="48">
        <f t="shared" si="47"/>
        <v>1526.0787</v>
      </c>
      <c r="AS75" s="49">
        <f t="shared" si="48"/>
        <v>10004.2937</v>
      </c>
    </row>
    <row r="76" spans="1:45" ht="21" x14ac:dyDescent="0.35">
      <c r="A76" s="42">
        <v>71</v>
      </c>
      <c r="B76" s="42" t="s">
        <v>126</v>
      </c>
      <c r="C76" s="30" t="s">
        <v>453</v>
      </c>
      <c r="D76" s="30" t="s">
        <v>454</v>
      </c>
      <c r="E76" s="31" t="s">
        <v>455</v>
      </c>
      <c r="F76" s="30">
        <v>3317372746</v>
      </c>
      <c r="G76" s="29" t="s">
        <v>209</v>
      </c>
      <c r="H76" s="31" t="s">
        <v>210</v>
      </c>
      <c r="I76" s="33" t="s">
        <v>44</v>
      </c>
      <c r="J76" s="32">
        <v>46258</v>
      </c>
      <c r="K76" s="32">
        <v>35540</v>
      </c>
      <c r="L76" s="55" t="s">
        <v>537</v>
      </c>
      <c r="M76" s="59" t="s">
        <v>596</v>
      </c>
      <c r="N76" s="29" t="s">
        <v>597</v>
      </c>
      <c r="O76" s="29">
        <v>9284138236</v>
      </c>
      <c r="P76" s="33" t="s">
        <v>138</v>
      </c>
      <c r="Q76" s="34">
        <v>15382</v>
      </c>
      <c r="R76" s="34">
        <v>2511</v>
      </c>
      <c r="S76" s="34">
        <f t="shared" si="49"/>
        <v>894.65000000000009</v>
      </c>
      <c r="T76" s="43">
        <f t="shared" si="31"/>
        <v>18787.650000000001</v>
      </c>
      <c r="U76" s="43">
        <v>86</v>
      </c>
      <c r="V76" s="35">
        <v>7</v>
      </c>
      <c r="W76" s="35">
        <v>0</v>
      </c>
      <c r="X76" s="44">
        <v>7</v>
      </c>
      <c r="Y76" s="36">
        <v>24</v>
      </c>
      <c r="Z76" s="43">
        <f t="shared" si="32"/>
        <v>4141</v>
      </c>
      <c r="AA76" s="43">
        <f t="shared" si="33"/>
        <v>676</v>
      </c>
      <c r="AB76" s="43">
        <f t="shared" si="34"/>
        <v>241</v>
      </c>
      <c r="AC76" s="43">
        <f t="shared" si="35"/>
        <v>5058</v>
      </c>
      <c r="AD76" s="43">
        <f t="shared" si="36"/>
        <v>2064</v>
      </c>
      <c r="AE76" s="43">
        <f t="shared" si="37"/>
        <v>7122</v>
      </c>
      <c r="AF76" s="45">
        <f t="shared" si="38"/>
        <v>578.04</v>
      </c>
      <c r="AG76" s="45">
        <f t="shared" si="39"/>
        <v>53</v>
      </c>
      <c r="AH76" s="46">
        <f t="shared" si="40"/>
        <v>0</v>
      </c>
      <c r="AI76" s="34">
        <v>0</v>
      </c>
      <c r="AJ76" s="43"/>
      <c r="AK76" s="43">
        <f t="shared" si="41"/>
        <v>631</v>
      </c>
      <c r="AL76" s="47">
        <f t="shared" si="42"/>
        <v>6491</v>
      </c>
      <c r="AM76" s="45">
        <f t="shared" si="43"/>
        <v>626.21</v>
      </c>
      <c r="AN76" s="45">
        <f t="shared" si="44"/>
        <v>231.465</v>
      </c>
      <c r="AO76" s="37">
        <v>0</v>
      </c>
      <c r="AP76" s="43">
        <f t="shared" si="45"/>
        <v>498.54</v>
      </c>
      <c r="AQ76" s="34">
        <f t="shared" si="46"/>
        <v>8478.2150000000001</v>
      </c>
      <c r="AR76" s="48">
        <f t="shared" si="47"/>
        <v>1526.0787</v>
      </c>
      <c r="AS76" s="49">
        <f t="shared" si="48"/>
        <v>10004.2937</v>
      </c>
    </row>
    <row r="77" spans="1:45" ht="21" x14ac:dyDescent="0.35">
      <c r="A77" s="42">
        <v>72</v>
      </c>
      <c r="B77" s="42" t="s">
        <v>127</v>
      </c>
      <c r="C77" s="30" t="s">
        <v>456</v>
      </c>
      <c r="D77" s="30" t="s">
        <v>457</v>
      </c>
      <c r="E77" s="31" t="s">
        <v>458</v>
      </c>
      <c r="F77" s="30">
        <v>5349211341</v>
      </c>
      <c r="G77" s="29" t="s">
        <v>211</v>
      </c>
      <c r="H77" s="31" t="s">
        <v>212</v>
      </c>
      <c r="I77" s="33" t="s">
        <v>44</v>
      </c>
      <c r="J77" s="32">
        <v>46258</v>
      </c>
      <c r="K77" s="32">
        <v>30875</v>
      </c>
      <c r="L77" s="55" t="s">
        <v>548</v>
      </c>
      <c r="M77" s="59" t="s">
        <v>598</v>
      </c>
      <c r="N77" s="29" t="s">
        <v>599</v>
      </c>
      <c r="O77" s="29">
        <v>9821070574</v>
      </c>
      <c r="P77" s="33" t="s">
        <v>138</v>
      </c>
      <c r="Q77" s="34">
        <v>15382</v>
      </c>
      <c r="R77" s="34">
        <v>2511</v>
      </c>
      <c r="S77" s="34">
        <f t="shared" si="49"/>
        <v>894.65000000000009</v>
      </c>
      <c r="T77" s="43">
        <f t="shared" si="31"/>
        <v>18787.650000000001</v>
      </c>
      <c r="U77" s="43">
        <v>86</v>
      </c>
      <c r="V77" s="35">
        <v>6</v>
      </c>
      <c r="W77" s="35">
        <v>0</v>
      </c>
      <c r="X77" s="44">
        <v>6</v>
      </c>
      <c r="Y77" s="36">
        <v>20</v>
      </c>
      <c r="Z77" s="43">
        <f t="shared" si="32"/>
        <v>3550</v>
      </c>
      <c r="AA77" s="43">
        <f t="shared" si="33"/>
        <v>579</v>
      </c>
      <c r="AB77" s="43">
        <f t="shared" si="34"/>
        <v>206</v>
      </c>
      <c r="AC77" s="43">
        <f t="shared" si="35"/>
        <v>4335</v>
      </c>
      <c r="AD77" s="43">
        <f t="shared" si="36"/>
        <v>1720</v>
      </c>
      <c r="AE77" s="43">
        <f t="shared" si="37"/>
        <v>6055</v>
      </c>
      <c r="AF77" s="45">
        <f t="shared" si="38"/>
        <v>495.48</v>
      </c>
      <c r="AG77" s="45">
        <f t="shared" si="39"/>
        <v>45</v>
      </c>
      <c r="AH77" s="46">
        <f t="shared" si="40"/>
        <v>0</v>
      </c>
      <c r="AI77" s="34">
        <v>0</v>
      </c>
      <c r="AJ77" s="43"/>
      <c r="AK77" s="43">
        <f t="shared" si="41"/>
        <v>540</v>
      </c>
      <c r="AL77" s="47">
        <f t="shared" si="42"/>
        <v>5515</v>
      </c>
      <c r="AM77" s="45">
        <f t="shared" si="43"/>
        <v>536.77</v>
      </c>
      <c r="AN77" s="45">
        <f t="shared" si="44"/>
        <v>196.78749999999999</v>
      </c>
      <c r="AO77" s="37">
        <v>0</v>
      </c>
      <c r="AP77" s="43">
        <f t="shared" si="45"/>
        <v>423.85</v>
      </c>
      <c r="AQ77" s="34">
        <f t="shared" si="46"/>
        <v>7212.4075000000012</v>
      </c>
      <c r="AR77" s="48">
        <f t="shared" si="47"/>
        <v>1298.2333500000002</v>
      </c>
      <c r="AS77" s="49">
        <f t="shared" si="48"/>
        <v>8510.6408500000016</v>
      </c>
    </row>
    <row r="78" spans="1:45" ht="21" x14ac:dyDescent="0.35">
      <c r="A78" s="28">
        <v>73</v>
      </c>
      <c r="B78" s="42" t="s">
        <v>128</v>
      </c>
      <c r="C78" s="30" t="s">
        <v>459</v>
      </c>
      <c r="D78" s="30" t="s">
        <v>460</v>
      </c>
      <c r="E78" s="31" t="s">
        <v>461</v>
      </c>
      <c r="F78" s="30">
        <v>0</v>
      </c>
      <c r="G78" s="29" t="s">
        <v>213</v>
      </c>
      <c r="H78" s="31" t="s">
        <v>214</v>
      </c>
      <c r="I78" s="33" t="s">
        <v>44</v>
      </c>
      <c r="J78" s="32">
        <v>46259</v>
      </c>
      <c r="K78" s="32">
        <v>32996</v>
      </c>
      <c r="L78" s="55"/>
      <c r="M78" s="59"/>
      <c r="N78" s="29"/>
      <c r="O78" s="29">
        <v>6200281466</v>
      </c>
      <c r="P78" s="33" t="s">
        <v>138</v>
      </c>
      <c r="Q78" s="34">
        <v>15382</v>
      </c>
      <c r="R78" s="34">
        <v>2511</v>
      </c>
      <c r="S78" s="34">
        <f t="shared" si="49"/>
        <v>894.65000000000009</v>
      </c>
      <c r="T78" s="43">
        <f t="shared" si="31"/>
        <v>18787.650000000001</v>
      </c>
      <c r="U78" s="43">
        <v>86</v>
      </c>
      <c r="V78" s="35">
        <v>5</v>
      </c>
      <c r="W78" s="35">
        <v>0</v>
      </c>
      <c r="X78" s="44">
        <v>5</v>
      </c>
      <c r="Y78" s="36">
        <v>4</v>
      </c>
      <c r="Z78" s="43">
        <f t="shared" si="32"/>
        <v>2958</v>
      </c>
      <c r="AA78" s="43">
        <f t="shared" si="33"/>
        <v>483</v>
      </c>
      <c r="AB78" s="43">
        <f t="shared" si="34"/>
        <v>172</v>
      </c>
      <c r="AC78" s="43">
        <f t="shared" si="35"/>
        <v>3613</v>
      </c>
      <c r="AD78" s="43">
        <f t="shared" si="36"/>
        <v>344</v>
      </c>
      <c r="AE78" s="43">
        <f t="shared" si="37"/>
        <v>3957</v>
      </c>
      <c r="AF78" s="45">
        <f t="shared" si="38"/>
        <v>412.92</v>
      </c>
      <c r="AG78" s="45">
        <f t="shared" si="39"/>
        <v>30</v>
      </c>
      <c r="AH78" s="46">
        <f t="shared" si="40"/>
        <v>0</v>
      </c>
      <c r="AI78" s="34">
        <v>0</v>
      </c>
      <c r="AJ78" s="43"/>
      <c r="AK78" s="43">
        <f t="shared" si="41"/>
        <v>443</v>
      </c>
      <c r="AL78" s="47">
        <f t="shared" si="42"/>
        <v>3514</v>
      </c>
      <c r="AM78" s="45">
        <f t="shared" si="43"/>
        <v>447.33</v>
      </c>
      <c r="AN78" s="45">
        <f t="shared" si="44"/>
        <v>128.60249999999999</v>
      </c>
      <c r="AO78" s="37">
        <v>0</v>
      </c>
      <c r="AP78" s="43">
        <f t="shared" si="45"/>
        <v>276.99</v>
      </c>
      <c r="AQ78" s="34">
        <f t="shared" si="46"/>
        <v>4809.9224999999997</v>
      </c>
      <c r="AR78" s="48">
        <f t="shared" si="47"/>
        <v>865.78604999999993</v>
      </c>
      <c r="AS78" s="49">
        <f t="shared" si="48"/>
        <v>5675.7085499999994</v>
      </c>
    </row>
    <row r="79" spans="1:45" ht="21" x14ac:dyDescent="0.35">
      <c r="A79" s="42">
        <v>74</v>
      </c>
      <c r="B79" s="42" t="s">
        <v>129</v>
      </c>
      <c r="C79" s="30" t="s">
        <v>462</v>
      </c>
      <c r="D79" s="30" t="s">
        <v>463</v>
      </c>
      <c r="E79" s="31" t="s">
        <v>464</v>
      </c>
      <c r="F79" s="30">
        <v>3310907112</v>
      </c>
      <c r="G79" s="29" t="s">
        <v>215</v>
      </c>
      <c r="H79" s="31" t="s">
        <v>216</v>
      </c>
      <c r="I79" s="33" t="s">
        <v>44</v>
      </c>
      <c r="J79" s="32">
        <v>46258</v>
      </c>
      <c r="K79" s="32">
        <v>38368</v>
      </c>
      <c r="L79" s="55" t="s">
        <v>567</v>
      </c>
      <c r="M79" s="59" t="s">
        <v>600</v>
      </c>
      <c r="N79" s="29" t="s">
        <v>493</v>
      </c>
      <c r="O79" s="29">
        <v>8261097540</v>
      </c>
      <c r="P79" s="33" t="s">
        <v>138</v>
      </c>
      <c r="Q79" s="34">
        <v>15382</v>
      </c>
      <c r="R79" s="34">
        <v>2511</v>
      </c>
      <c r="S79" s="34">
        <f t="shared" si="49"/>
        <v>894.65000000000009</v>
      </c>
      <c r="T79" s="43">
        <f t="shared" si="31"/>
        <v>18787.650000000001</v>
      </c>
      <c r="U79" s="43">
        <v>86</v>
      </c>
      <c r="V79" s="35">
        <v>6</v>
      </c>
      <c r="W79" s="35">
        <v>0</v>
      </c>
      <c r="X79" s="44">
        <v>6</v>
      </c>
      <c r="Y79" s="36">
        <v>20</v>
      </c>
      <c r="Z79" s="43">
        <f t="shared" si="32"/>
        <v>3550</v>
      </c>
      <c r="AA79" s="43">
        <f t="shared" si="33"/>
        <v>579</v>
      </c>
      <c r="AB79" s="43">
        <f t="shared" si="34"/>
        <v>206</v>
      </c>
      <c r="AC79" s="43">
        <f t="shared" si="35"/>
        <v>4335</v>
      </c>
      <c r="AD79" s="43">
        <f t="shared" si="36"/>
        <v>1720</v>
      </c>
      <c r="AE79" s="43">
        <f t="shared" si="37"/>
        <v>6055</v>
      </c>
      <c r="AF79" s="45">
        <f t="shared" si="38"/>
        <v>495.48</v>
      </c>
      <c r="AG79" s="45">
        <f t="shared" si="39"/>
        <v>45</v>
      </c>
      <c r="AH79" s="46">
        <f t="shared" si="40"/>
        <v>0</v>
      </c>
      <c r="AI79" s="34">
        <v>0</v>
      </c>
      <c r="AJ79" s="43"/>
      <c r="AK79" s="43">
        <f t="shared" si="41"/>
        <v>540</v>
      </c>
      <c r="AL79" s="47">
        <f t="shared" si="42"/>
        <v>5515</v>
      </c>
      <c r="AM79" s="45">
        <f t="shared" si="43"/>
        <v>536.77</v>
      </c>
      <c r="AN79" s="45">
        <f t="shared" si="44"/>
        <v>196.78749999999999</v>
      </c>
      <c r="AO79" s="37">
        <v>0</v>
      </c>
      <c r="AP79" s="43">
        <f t="shared" si="45"/>
        <v>423.85</v>
      </c>
      <c r="AQ79" s="34">
        <f t="shared" si="46"/>
        <v>7212.4075000000012</v>
      </c>
      <c r="AR79" s="48">
        <f t="shared" si="47"/>
        <v>1298.2333500000002</v>
      </c>
      <c r="AS79" s="49">
        <f t="shared" si="48"/>
        <v>8510.6408500000016</v>
      </c>
    </row>
    <row r="80" spans="1:45" ht="21" x14ac:dyDescent="0.35">
      <c r="A80" s="42">
        <v>75</v>
      </c>
      <c r="B80" s="42" t="s">
        <v>130</v>
      </c>
      <c r="C80" s="30" t="s">
        <v>465</v>
      </c>
      <c r="D80" s="30" t="s">
        <v>466</v>
      </c>
      <c r="E80" s="31" t="s">
        <v>467</v>
      </c>
      <c r="F80" s="30">
        <v>3315250668</v>
      </c>
      <c r="G80" s="29" t="s">
        <v>217</v>
      </c>
      <c r="H80" s="31" t="s">
        <v>218</v>
      </c>
      <c r="I80" s="33" t="s">
        <v>44</v>
      </c>
      <c r="J80" s="32"/>
      <c r="K80" s="32">
        <v>34474</v>
      </c>
      <c r="L80" s="55" t="s">
        <v>548</v>
      </c>
      <c r="M80" s="59" t="s">
        <v>220</v>
      </c>
      <c r="N80" s="29" t="s">
        <v>503</v>
      </c>
      <c r="O80" s="29">
        <v>7776946507</v>
      </c>
      <c r="P80" s="33" t="s">
        <v>138</v>
      </c>
      <c r="Q80" s="34">
        <v>15382</v>
      </c>
      <c r="R80" s="34">
        <v>2511</v>
      </c>
      <c r="S80" s="34">
        <f t="shared" si="49"/>
        <v>894.65000000000009</v>
      </c>
      <c r="T80" s="43">
        <f t="shared" si="31"/>
        <v>18787.650000000001</v>
      </c>
      <c r="U80" s="43">
        <v>86</v>
      </c>
      <c r="V80" s="35">
        <v>3</v>
      </c>
      <c r="W80" s="35">
        <v>0</v>
      </c>
      <c r="X80" s="44">
        <v>3</v>
      </c>
      <c r="Y80" s="36">
        <v>12</v>
      </c>
      <c r="Z80" s="43">
        <f t="shared" si="32"/>
        <v>1775</v>
      </c>
      <c r="AA80" s="43">
        <f t="shared" si="33"/>
        <v>290</v>
      </c>
      <c r="AB80" s="43">
        <f t="shared" si="34"/>
        <v>103</v>
      </c>
      <c r="AC80" s="43">
        <f t="shared" si="35"/>
        <v>2168</v>
      </c>
      <c r="AD80" s="43">
        <f t="shared" si="36"/>
        <v>1032</v>
      </c>
      <c r="AE80" s="43">
        <f t="shared" si="37"/>
        <v>3200</v>
      </c>
      <c r="AF80" s="45">
        <f t="shared" si="38"/>
        <v>247.8</v>
      </c>
      <c r="AG80" s="45">
        <f t="shared" si="39"/>
        <v>24</v>
      </c>
      <c r="AH80" s="46">
        <f t="shared" si="40"/>
        <v>0</v>
      </c>
      <c r="AI80" s="34">
        <v>0</v>
      </c>
      <c r="AJ80" s="43"/>
      <c r="AK80" s="43">
        <f t="shared" si="41"/>
        <v>272</v>
      </c>
      <c r="AL80" s="47">
        <f t="shared" si="42"/>
        <v>2928</v>
      </c>
      <c r="AM80" s="45">
        <f t="shared" si="43"/>
        <v>268.45</v>
      </c>
      <c r="AN80" s="45">
        <f t="shared" si="44"/>
        <v>104</v>
      </c>
      <c r="AO80" s="37">
        <v>0</v>
      </c>
      <c r="AP80" s="43">
        <f t="shared" si="45"/>
        <v>224.00000000000003</v>
      </c>
      <c r="AQ80" s="34">
        <f t="shared" si="46"/>
        <v>3796.45</v>
      </c>
      <c r="AR80" s="48">
        <f t="shared" si="47"/>
        <v>683.36099999999999</v>
      </c>
      <c r="AS80" s="49">
        <f t="shared" si="48"/>
        <v>4479.8109999999997</v>
      </c>
    </row>
    <row r="81" spans="1:45" ht="21" x14ac:dyDescent="0.35">
      <c r="A81" s="28">
        <v>76</v>
      </c>
      <c r="B81" s="42" t="s">
        <v>131</v>
      </c>
      <c r="C81" s="30" t="s">
        <v>468</v>
      </c>
      <c r="D81" s="30" t="s">
        <v>469</v>
      </c>
      <c r="E81" s="31" t="s">
        <v>470</v>
      </c>
      <c r="F81" s="30">
        <v>3316798277</v>
      </c>
      <c r="G81" s="29" t="s">
        <v>219</v>
      </c>
      <c r="H81" s="31" t="s">
        <v>220</v>
      </c>
      <c r="I81" s="33" t="s">
        <v>44</v>
      </c>
      <c r="J81" s="32">
        <v>46259</v>
      </c>
      <c r="K81" s="32">
        <v>33650</v>
      </c>
      <c r="L81" s="55" t="s">
        <v>581</v>
      </c>
      <c r="M81" s="59" t="s">
        <v>601</v>
      </c>
      <c r="N81" s="29" t="s">
        <v>500</v>
      </c>
      <c r="O81" s="29">
        <v>9921493914</v>
      </c>
      <c r="P81" s="33" t="s">
        <v>138</v>
      </c>
      <c r="Q81" s="34">
        <v>15382</v>
      </c>
      <c r="R81" s="34">
        <v>2511</v>
      </c>
      <c r="S81" s="34">
        <f t="shared" si="49"/>
        <v>894.65000000000009</v>
      </c>
      <c r="T81" s="43">
        <f t="shared" si="31"/>
        <v>18787.650000000001</v>
      </c>
      <c r="U81" s="43">
        <v>86</v>
      </c>
      <c r="V81" s="35">
        <v>5</v>
      </c>
      <c r="W81" s="35">
        <v>0</v>
      </c>
      <c r="X81" s="44">
        <v>5</v>
      </c>
      <c r="Y81" s="36">
        <v>12</v>
      </c>
      <c r="Z81" s="43">
        <f t="shared" si="32"/>
        <v>2958</v>
      </c>
      <c r="AA81" s="43">
        <f t="shared" si="33"/>
        <v>483</v>
      </c>
      <c r="AB81" s="43">
        <f t="shared" si="34"/>
        <v>172</v>
      </c>
      <c r="AC81" s="43">
        <f t="shared" si="35"/>
        <v>3613</v>
      </c>
      <c r="AD81" s="43">
        <f t="shared" si="36"/>
        <v>1032</v>
      </c>
      <c r="AE81" s="43">
        <f t="shared" si="37"/>
        <v>4645</v>
      </c>
      <c r="AF81" s="45">
        <f t="shared" si="38"/>
        <v>412.92</v>
      </c>
      <c r="AG81" s="45">
        <f t="shared" si="39"/>
        <v>35</v>
      </c>
      <c r="AH81" s="46">
        <f t="shared" si="40"/>
        <v>0</v>
      </c>
      <c r="AI81" s="34">
        <v>0</v>
      </c>
      <c r="AJ81" s="43"/>
      <c r="AK81" s="43">
        <f t="shared" si="41"/>
        <v>448</v>
      </c>
      <c r="AL81" s="47">
        <f t="shared" si="42"/>
        <v>4197</v>
      </c>
      <c r="AM81" s="45">
        <f t="shared" si="43"/>
        <v>447.33</v>
      </c>
      <c r="AN81" s="45">
        <f t="shared" si="44"/>
        <v>150.96250000000001</v>
      </c>
      <c r="AO81" s="37">
        <v>0</v>
      </c>
      <c r="AP81" s="43">
        <f t="shared" si="45"/>
        <v>325.15000000000003</v>
      </c>
      <c r="AQ81" s="34">
        <f t="shared" si="46"/>
        <v>5568.4424999999992</v>
      </c>
      <c r="AR81" s="48">
        <f t="shared" si="47"/>
        <v>1002.3196499999998</v>
      </c>
      <c r="AS81" s="49">
        <f t="shared" si="48"/>
        <v>6570.7621499999987</v>
      </c>
    </row>
    <row r="82" spans="1:45" ht="21" x14ac:dyDescent="0.35">
      <c r="A82" s="42">
        <v>77</v>
      </c>
      <c r="B82" s="42" t="s">
        <v>132</v>
      </c>
      <c r="C82" s="30" t="s">
        <v>471</v>
      </c>
      <c r="D82" s="30" t="s">
        <v>472</v>
      </c>
      <c r="E82" s="31" t="s">
        <v>473</v>
      </c>
      <c r="F82" s="30">
        <v>3318212063</v>
      </c>
      <c r="G82" s="29" t="s">
        <v>221</v>
      </c>
      <c r="H82" s="31" t="s">
        <v>222</v>
      </c>
      <c r="I82" s="33" t="s">
        <v>44</v>
      </c>
      <c r="J82" s="32">
        <v>46259</v>
      </c>
      <c r="K82" s="32">
        <v>38779</v>
      </c>
      <c r="L82" s="55" t="s">
        <v>548</v>
      </c>
      <c r="M82" s="59" t="s">
        <v>602</v>
      </c>
      <c r="N82" s="29" t="s">
        <v>498</v>
      </c>
      <c r="O82" s="29">
        <v>7666025647</v>
      </c>
      <c r="P82" s="33" t="s">
        <v>138</v>
      </c>
      <c r="Q82" s="34">
        <v>15382</v>
      </c>
      <c r="R82" s="34">
        <v>2511</v>
      </c>
      <c r="S82" s="34">
        <f t="shared" si="49"/>
        <v>894.65000000000009</v>
      </c>
      <c r="T82" s="43">
        <f t="shared" si="31"/>
        <v>18787.650000000001</v>
      </c>
      <c r="U82" s="43">
        <v>86</v>
      </c>
      <c r="V82" s="35">
        <v>5</v>
      </c>
      <c r="W82" s="35">
        <v>0</v>
      </c>
      <c r="X82" s="44">
        <v>5</v>
      </c>
      <c r="Y82" s="36">
        <v>16</v>
      </c>
      <c r="Z82" s="43">
        <f t="shared" si="32"/>
        <v>2958</v>
      </c>
      <c r="AA82" s="43">
        <f t="shared" si="33"/>
        <v>483</v>
      </c>
      <c r="AB82" s="43">
        <f t="shared" si="34"/>
        <v>172</v>
      </c>
      <c r="AC82" s="43">
        <f t="shared" si="35"/>
        <v>3613</v>
      </c>
      <c r="AD82" s="43">
        <f t="shared" si="36"/>
        <v>1376</v>
      </c>
      <c r="AE82" s="43">
        <f t="shared" si="37"/>
        <v>4989</v>
      </c>
      <c r="AF82" s="45">
        <f t="shared" si="38"/>
        <v>412.92</v>
      </c>
      <c r="AG82" s="45">
        <f t="shared" si="39"/>
        <v>37</v>
      </c>
      <c r="AH82" s="46">
        <f t="shared" si="40"/>
        <v>0</v>
      </c>
      <c r="AI82" s="34">
        <v>0</v>
      </c>
      <c r="AJ82" s="43"/>
      <c r="AK82" s="43">
        <f t="shared" si="41"/>
        <v>450</v>
      </c>
      <c r="AL82" s="47">
        <f t="shared" si="42"/>
        <v>4539</v>
      </c>
      <c r="AM82" s="45">
        <f t="shared" si="43"/>
        <v>447.33</v>
      </c>
      <c r="AN82" s="45">
        <f t="shared" si="44"/>
        <v>162.14250000000001</v>
      </c>
      <c r="AO82" s="37">
        <v>0</v>
      </c>
      <c r="AP82" s="43">
        <f t="shared" si="45"/>
        <v>349.23</v>
      </c>
      <c r="AQ82" s="34">
        <f t="shared" si="46"/>
        <v>5947.7024999999994</v>
      </c>
      <c r="AR82" s="48">
        <f t="shared" si="47"/>
        <v>1070.5864499999998</v>
      </c>
      <c r="AS82" s="49">
        <f t="shared" si="48"/>
        <v>7018.2889499999992</v>
      </c>
    </row>
    <row r="83" spans="1:45" ht="21" x14ac:dyDescent="0.35">
      <c r="A83" s="42">
        <v>78</v>
      </c>
      <c r="B83" s="42" t="s">
        <v>133</v>
      </c>
      <c r="C83" s="30" t="s">
        <v>474</v>
      </c>
      <c r="D83" s="30" t="s">
        <v>475</v>
      </c>
      <c r="E83" s="31" t="s">
        <v>476</v>
      </c>
      <c r="F83" s="30">
        <v>3315520110</v>
      </c>
      <c r="G83" s="29" t="s">
        <v>223</v>
      </c>
      <c r="H83" s="31" t="s">
        <v>224</v>
      </c>
      <c r="I83" s="33" t="s">
        <v>44</v>
      </c>
      <c r="J83" s="32">
        <v>46259</v>
      </c>
      <c r="K83" s="32">
        <v>38783</v>
      </c>
      <c r="L83" s="55" t="s">
        <v>567</v>
      </c>
      <c r="M83" s="59" t="s">
        <v>603</v>
      </c>
      <c r="N83" s="29" t="s">
        <v>493</v>
      </c>
      <c r="O83" s="29">
        <v>7666175859</v>
      </c>
      <c r="P83" s="33" t="s">
        <v>138</v>
      </c>
      <c r="Q83" s="34">
        <v>15382</v>
      </c>
      <c r="R83" s="34">
        <v>2511</v>
      </c>
      <c r="S83" s="34">
        <f t="shared" si="49"/>
        <v>894.65000000000009</v>
      </c>
      <c r="T83" s="43">
        <f t="shared" si="31"/>
        <v>18787.650000000001</v>
      </c>
      <c r="U83" s="43">
        <v>86</v>
      </c>
      <c r="V83" s="35">
        <v>5</v>
      </c>
      <c r="W83" s="35">
        <v>0</v>
      </c>
      <c r="X83" s="44">
        <v>5</v>
      </c>
      <c r="Y83" s="36">
        <v>0</v>
      </c>
      <c r="Z83" s="43">
        <f t="shared" si="32"/>
        <v>2958</v>
      </c>
      <c r="AA83" s="43">
        <f t="shared" si="33"/>
        <v>483</v>
      </c>
      <c r="AB83" s="43">
        <f t="shared" si="34"/>
        <v>172</v>
      </c>
      <c r="AC83" s="43">
        <f t="shared" si="35"/>
        <v>3613</v>
      </c>
      <c r="AD83" s="43">
        <f t="shared" si="36"/>
        <v>0</v>
      </c>
      <c r="AE83" s="43">
        <f t="shared" si="37"/>
        <v>3613</v>
      </c>
      <c r="AF83" s="45">
        <f t="shared" si="38"/>
        <v>412.92</v>
      </c>
      <c r="AG83" s="45">
        <f t="shared" si="39"/>
        <v>27</v>
      </c>
      <c r="AH83" s="46">
        <f t="shared" si="40"/>
        <v>0</v>
      </c>
      <c r="AI83" s="34">
        <v>0</v>
      </c>
      <c r="AJ83" s="43"/>
      <c r="AK83" s="43">
        <f t="shared" si="41"/>
        <v>440</v>
      </c>
      <c r="AL83" s="47">
        <f t="shared" si="42"/>
        <v>3173</v>
      </c>
      <c r="AM83" s="45">
        <f t="shared" si="43"/>
        <v>447.33</v>
      </c>
      <c r="AN83" s="45">
        <f t="shared" si="44"/>
        <v>117.4225</v>
      </c>
      <c r="AO83" s="37">
        <v>0</v>
      </c>
      <c r="AP83" s="43">
        <f t="shared" si="45"/>
        <v>252.91000000000003</v>
      </c>
      <c r="AQ83" s="34">
        <f t="shared" si="46"/>
        <v>4430.6624999999995</v>
      </c>
      <c r="AR83" s="48">
        <f t="shared" si="47"/>
        <v>797.51924999999983</v>
      </c>
      <c r="AS83" s="49">
        <f t="shared" si="48"/>
        <v>5228.1817499999997</v>
      </c>
    </row>
    <row r="84" spans="1:45" ht="21" x14ac:dyDescent="0.35">
      <c r="A84" s="28">
        <v>79</v>
      </c>
      <c r="B84" s="42" t="s">
        <v>134</v>
      </c>
      <c r="C84" s="30" t="s">
        <v>477</v>
      </c>
      <c r="D84" s="30" t="s">
        <v>478</v>
      </c>
      <c r="E84" s="31" t="s">
        <v>479</v>
      </c>
      <c r="F84" s="30">
        <v>3312021362</v>
      </c>
      <c r="G84" s="29" t="s">
        <v>225</v>
      </c>
      <c r="H84" s="31" t="s">
        <v>226</v>
      </c>
      <c r="I84" s="33" t="s">
        <v>44</v>
      </c>
      <c r="J84" s="32">
        <v>46259</v>
      </c>
      <c r="K84" s="32">
        <v>35786</v>
      </c>
      <c r="L84" s="55" t="s">
        <v>567</v>
      </c>
      <c r="M84" s="59" t="s">
        <v>604</v>
      </c>
      <c r="N84" s="29" t="s">
        <v>493</v>
      </c>
      <c r="O84" s="29">
        <v>9112279447</v>
      </c>
      <c r="P84" s="33" t="s">
        <v>138</v>
      </c>
      <c r="Q84" s="34">
        <v>15382</v>
      </c>
      <c r="R84" s="34">
        <v>2511</v>
      </c>
      <c r="S84" s="34">
        <f t="shared" si="49"/>
        <v>894.65000000000009</v>
      </c>
      <c r="T84" s="43">
        <f t="shared" si="31"/>
        <v>18787.650000000001</v>
      </c>
      <c r="U84" s="43">
        <v>86</v>
      </c>
      <c r="V84" s="35">
        <v>4</v>
      </c>
      <c r="W84" s="35">
        <v>0</v>
      </c>
      <c r="X84" s="44">
        <v>4</v>
      </c>
      <c r="Y84" s="36">
        <v>0</v>
      </c>
      <c r="Z84" s="43">
        <f t="shared" si="32"/>
        <v>2366</v>
      </c>
      <c r="AA84" s="43">
        <f t="shared" si="33"/>
        <v>386</v>
      </c>
      <c r="AB84" s="43">
        <f t="shared" si="34"/>
        <v>138</v>
      </c>
      <c r="AC84" s="43">
        <f t="shared" si="35"/>
        <v>2890</v>
      </c>
      <c r="AD84" s="43">
        <f t="shared" si="36"/>
        <v>0</v>
      </c>
      <c r="AE84" s="43">
        <f t="shared" si="37"/>
        <v>2890</v>
      </c>
      <c r="AF84" s="45">
        <f t="shared" si="38"/>
        <v>330.24</v>
      </c>
      <c r="AG84" s="45">
        <f t="shared" si="39"/>
        <v>22</v>
      </c>
      <c r="AH84" s="46">
        <f t="shared" si="40"/>
        <v>0</v>
      </c>
      <c r="AI84" s="34">
        <v>0</v>
      </c>
      <c r="AJ84" s="43"/>
      <c r="AK84" s="43">
        <f t="shared" si="41"/>
        <v>352</v>
      </c>
      <c r="AL84" s="47">
        <f t="shared" si="42"/>
        <v>2538</v>
      </c>
      <c r="AM84" s="45">
        <f t="shared" si="43"/>
        <v>357.76</v>
      </c>
      <c r="AN84" s="45">
        <f t="shared" si="44"/>
        <v>93.924999999999997</v>
      </c>
      <c r="AO84" s="37">
        <v>0</v>
      </c>
      <c r="AP84" s="43">
        <f t="shared" si="45"/>
        <v>202.3</v>
      </c>
      <c r="AQ84" s="34">
        <f t="shared" si="46"/>
        <v>3543.9850000000006</v>
      </c>
      <c r="AR84" s="48">
        <f t="shared" si="47"/>
        <v>637.91730000000007</v>
      </c>
      <c r="AS84" s="49">
        <f t="shared" si="48"/>
        <v>4181.9023000000007</v>
      </c>
    </row>
    <row r="85" spans="1:45" ht="21" x14ac:dyDescent="0.35">
      <c r="A85" s="42">
        <v>80</v>
      </c>
      <c r="B85" s="42" t="s">
        <v>135</v>
      </c>
      <c r="C85" s="30" t="s">
        <v>480</v>
      </c>
      <c r="D85" s="30" t="s">
        <v>481</v>
      </c>
      <c r="E85" s="31" t="s">
        <v>482</v>
      </c>
      <c r="F85" s="30">
        <v>3319091757</v>
      </c>
      <c r="G85" s="29" t="s">
        <v>227</v>
      </c>
      <c r="H85" s="31" t="s">
        <v>228</v>
      </c>
      <c r="I85" s="33" t="s">
        <v>44</v>
      </c>
      <c r="J85" s="32">
        <v>46258</v>
      </c>
      <c r="K85" s="32">
        <v>36462</v>
      </c>
      <c r="L85" s="55" t="s">
        <v>515</v>
      </c>
      <c r="M85" s="59" t="s">
        <v>605</v>
      </c>
      <c r="N85" s="29" t="s">
        <v>606</v>
      </c>
      <c r="O85" s="29">
        <v>9763745510</v>
      </c>
      <c r="P85" s="33" t="s">
        <v>138</v>
      </c>
      <c r="Q85" s="34">
        <v>15382</v>
      </c>
      <c r="R85" s="34">
        <v>2511</v>
      </c>
      <c r="S85" s="34">
        <f t="shared" si="49"/>
        <v>894.65000000000009</v>
      </c>
      <c r="T85" s="43">
        <f t="shared" si="31"/>
        <v>18787.650000000001</v>
      </c>
      <c r="U85" s="43">
        <v>86</v>
      </c>
      <c r="V85" s="35">
        <v>4</v>
      </c>
      <c r="W85" s="35">
        <v>0</v>
      </c>
      <c r="X85" s="44">
        <v>4</v>
      </c>
      <c r="Y85" s="36">
        <v>28</v>
      </c>
      <c r="Z85" s="43">
        <f t="shared" si="32"/>
        <v>2366</v>
      </c>
      <c r="AA85" s="43">
        <f t="shared" si="33"/>
        <v>386</v>
      </c>
      <c r="AB85" s="43">
        <f t="shared" si="34"/>
        <v>138</v>
      </c>
      <c r="AC85" s="43">
        <f t="shared" si="35"/>
        <v>2890</v>
      </c>
      <c r="AD85" s="43">
        <f t="shared" si="36"/>
        <v>2408</v>
      </c>
      <c r="AE85" s="43">
        <f t="shared" si="37"/>
        <v>5298</v>
      </c>
      <c r="AF85" s="45">
        <f t="shared" si="38"/>
        <v>330.24</v>
      </c>
      <c r="AG85" s="45">
        <f t="shared" si="39"/>
        <v>40</v>
      </c>
      <c r="AH85" s="46">
        <f t="shared" si="40"/>
        <v>0</v>
      </c>
      <c r="AI85" s="34">
        <v>0</v>
      </c>
      <c r="AJ85" s="43"/>
      <c r="AK85" s="43">
        <f t="shared" si="41"/>
        <v>370</v>
      </c>
      <c r="AL85" s="47">
        <f t="shared" si="42"/>
        <v>4928</v>
      </c>
      <c r="AM85" s="45">
        <f t="shared" si="43"/>
        <v>357.76</v>
      </c>
      <c r="AN85" s="45">
        <f t="shared" si="44"/>
        <v>172.185</v>
      </c>
      <c r="AO85" s="37">
        <v>0</v>
      </c>
      <c r="AP85" s="43">
        <f t="shared" si="45"/>
        <v>370.86</v>
      </c>
      <c r="AQ85" s="34">
        <f t="shared" si="46"/>
        <v>6198.8050000000003</v>
      </c>
      <c r="AR85" s="48">
        <f t="shared" si="47"/>
        <v>1115.7849000000001</v>
      </c>
      <c r="AS85" s="49">
        <f t="shared" si="48"/>
        <v>7314.5899000000009</v>
      </c>
    </row>
    <row r="86" spans="1:45" ht="21" x14ac:dyDescent="0.35">
      <c r="A86" s="42">
        <v>81</v>
      </c>
      <c r="B86" s="42" t="s">
        <v>136</v>
      </c>
      <c r="C86" s="30" t="s">
        <v>483</v>
      </c>
      <c r="D86" s="30" t="s">
        <v>484</v>
      </c>
      <c r="E86" s="31" t="s">
        <v>485</v>
      </c>
      <c r="F86" s="30">
        <v>3319093885</v>
      </c>
      <c r="G86" s="29" t="s">
        <v>229</v>
      </c>
      <c r="H86" s="31" t="s">
        <v>230</v>
      </c>
      <c r="I86" s="33" t="s">
        <v>44</v>
      </c>
      <c r="J86" s="32">
        <v>46261</v>
      </c>
      <c r="K86" s="32">
        <v>32982</v>
      </c>
      <c r="L86" s="55" t="s">
        <v>515</v>
      </c>
      <c r="M86" s="59" t="s">
        <v>607</v>
      </c>
      <c r="N86" s="29" t="s">
        <v>606</v>
      </c>
      <c r="O86" s="29">
        <v>9910718006</v>
      </c>
      <c r="P86" s="33" t="s">
        <v>138</v>
      </c>
      <c r="Q86" s="34">
        <v>15382</v>
      </c>
      <c r="R86" s="34">
        <v>2511</v>
      </c>
      <c r="S86" s="34">
        <f t="shared" si="49"/>
        <v>894.65000000000009</v>
      </c>
      <c r="T86" s="43">
        <f t="shared" si="31"/>
        <v>18787.650000000001</v>
      </c>
      <c r="U86" s="43">
        <v>86</v>
      </c>
      <c r="V86" s="35">
        <v>4</v>
      </c>
      <c r="W86" s="35">
        <v>0</v>
      </c>
      <c r="X86" s="44">
        <v>4</v>
      </c>
      <c r="Y86" s="36">
        <v>28</v>
      </c>
      <c r="Z86" s="43">
        <f t="shared" si="32"/>
        <v>2366</v>
      </c>
      <c r="AA86" s="43">
        <f t="shared" si="33"/>
        <v>386</v>
      </c>
      <c r="AB86" s="43">
        <f t="shared" si="34"/>
        <v>138</v>
      </c>
      <c r="AC86" s="43">
        <f t="shared" si="35"/>
        <v>2890</v>
      </c>
      <c r="AD86" s="43">
        <f t="shared" si="36"/>
        <v>2408</v>
      </c>
      <c r="AE86" s="43">
        <f t="shared" si="37"/>
        <v>5298</v>
      </c>
      <c r="AF86" s="45">
        <f t="shared" si="38"/>
        <v>330.24</v>
      </c>
      <c r="AG86" s="45">
        <f t="shared" si="39"/>
        <v>40</v>
      </c>
      <c r="AH86" s="46">
        <f t="shared" si="40"/>
        <v>0</v>
      </c>
      <c r="AI86" s="34">
        <v>0</v>
      </c>
      <c r="AJ86" s="43"/>
      <c r="AK86" s="43">
        <f t="shared" si="41"/>
        <v>370</v>
      </c>
      <c r="AL86" s="47">
        <f t="shared" si="42"/>
        <v>4928</v>
      </c>
      <c r="AM86" s="45">
        <f t="shared" si="43"/>
        <v>357.76</v>
      </c>
      <c r="AN86" s="45">
        <f t="shared" si="44"/>
        <v>172.185</v>
      </c>
      <c r="AO86" s="37">
        <v>0</v>
      </c>
      <c r="AP86" s="43">
        <f t="shared" si="45"/>
        <v>370.86</v>
      </c>
      <c r="AQ86" s="34">
        <f t="shared" si="46"/>
        <v>6198.8050000000003</v>
      </c>
      <c r="AR86" s="48">
        <f t="shared" si="47"/>
        <v>1115.7849000000001</v>
      </c>
      <c r="AS86" s="49">
        <f t="shared" si="48"/>
        <v>7314.5899000000009</v>
      </c>
    </row>
    <row r="87" spans="1:45" ht="21" x14ac:dyDescent="0.35">
      <c r="A87" s="28">
        <v>82</v>
      </c>
      <c r="B87" s="42">
        <v>114</v>
      </c>
      <c r="C87" s="30" t="s">
        <v>486</v>
      </c>
      <c r="D87" s="30">
        <v>0</v>
      </c>
      <c r="E87" s="31">
        <v>0</v>
      </c>
      <c r="F87" s="30">
        <v>0</v>
      </c>
      <c r="G87" s="29" t="s">
        <v>231</v>
      </c>
      <c r="H87" s="31" t="s">
        <v>232</v>
      </c>
      <c r="I87" s="33" t="s">
        <v>44</v>
      </c>
      <c r="J87" s="32">
        <v>46261</v>
      </c>
      <c r="K87" s="32">
        <v>36924</v>
      </c>
      <c r="L87" s="55"/>
      <c r="M87" s="59"/>
      <c r="N87" s="29"/>
      <c r="O87" s="29">
        <v>8090505547</v>
      </c>
      <c r="P87" s="33" t="s">
        <v>138</v>
      </c>
      <c r="Q87" s="34">
        <v>15382</v>
      </c>
      <c r="R87" s="34">
        <v>2511</v>
      </c>
      <c r="S87" s="34">
        <f t="shared" si="49"/>
        <v>894.65000000000009</v>
      </c>
      <c r="T87" s="43">
        <f t="shared" si="31"/>
        <v>18787.650000000001</v>
      </c>
      <c r="U87" s="43">
        <v>86</v>
      </c>
      <c r="V87" s="35">
        <v>5</v>
      </c>
      <c r="W87" s="35">
        <v>0</v>
      </c>
      <c r="X87" s="44">
        <v>5</v>
      </c>
      <c r="Y87" s="36">
        <v>12</v>
      </c>
      <c r="Z87" s="43">
        <f t="shared" si="32"/>
        <v>2958</v>
      </c>
      <c r="AA87" s="43">
        <f t="shared" si="33"/>
        <v>483</v>
      </c>
      <c r="AB87" s="43">
        <f t="shared" si="34"/>
        <v>172</v>
      </c>
      <c r="AC87" s="43">
        <f t="shared" si="35"/>
        <v>3613</v>
      </c>
      <c r="AD87" s="43">
        <f t="shared" si="36"/>
        <v>1032</v>
      </c>
      <c r="AE87" s="43">
        <f t="shared" si="37"/>
        <v>4645</v>
      </c>
      <c r="AF87" s="45">
        <f t="shared" si="38"/>
        <v>412.92</v>
      </c>
      <c r="AG87" s="45">
        <f t="shared" si="39"/>
        <v>35</v>
      </c>
      <c r="AH87" s="46">
        <f t="shared" si="40"/>
        <v>0</v>
      </c>
      <c r="AI87" s="34">
        <v>0</v>
      </c>
      <c r="AJ87" s="43"/>
      <c r="AK87" s="43">
        <f t="shared" si="41"/>
        <v>448</v>
      </c>
      <c r="AL87" s="47">
        <f t="shared" si="42"/>
        <v>4197</v>
      </c>
      <c r="AM87" s="45">
        <f t="shared" si="43"/>
        <v>447.33</v>
      </c>
      <c r="AN87" s="45">
        <f t="shared" si="44"/>
        <v>150.96250000000001</v>
      </c>
      <c r="AO87" s="37">
        <v>0</v>
      </c>
      <c r="AP87" s="43">
        <f t="shared" si="45"/>
        <v>325.15000000000003</v>
      </c>
      <c r="AQ87" s="34">
        <f t="shared" si="46"/>
        <v>5568.4424999999992</v>
      </c>
      <c r="AR87" s="48">
        <f t="shared" si="47"/>
        <v>1002.3196499999998</v>
      </c>
      <c r="AS87" s="49">
        <f t="shared" si="48"/>
        <v>6570.7621499999987</v>
      </c>
    </row>
    <row r="88" spans="1:45" ht="21" x14ac:dyDescent="0.35">
      <c r="A88" s="42">
        <v>83</v>
      </c>
      <c r="B88" s="42" t="s">
        <v>233</v>
      </c>
      <c r="C88" s="30" t="s">
        <v>487</v>
      </c>
      <c r="D88" s="30" t="s">
        <v>488</v>
      </c>
      <c r="E88" s="31">
        <v>0</v>
      </c>
      <c r="F88" s="30">
        <v>0</v>
      </c>
      <c r="G88" s="29"/>
      <c r="H88" s="31"/>
      <c r="I88" s="33" t="s">
        <v>44</v>
      </c>
      <c r="J88" s="32"/>
      <c r="K88" s="32"/>
      <c r="L88" s="55" t="s">
        <v>567</v>
      </c>
      <c r="M88" s="59" t="s">
        <v>608</v>
      </c>
      <c r="N88" s="29"/>
      <c r="O88" s="29"/>
      <c r="P88" s="33" t="s">
        <v>138</v>
      </c>
      <c r="Q88" s="34">
        <v>15382</v>
      </c>
      <c r="R88" s="34">
        <v>2511</v>
      </c>
      <c r="S88" s="34">
        <f t="shared" si="49"/>
        <v>894.65000000000009</v>
      </c>
      <c r="T88" s="43">
        <f t="shared" si="31"/>
        <v>18787.650000000001</v>
      </c>
      <c r="U88" s="43">
        <v>86</v>
      </c>
      <c r="V88" s="35">
        <v>1</v>
      </c>
      <c r="W88" s="35">
        <v>0</v>
      </c>
      <c r="X88" s="44">
        <v>1</v>
      </c>
      <c r="Y88" s="36">
        <v>4</v>
      </c>
      <c r="Z88" s="43">
        <f t="shared" si="32"/>
        <v>592</v>
      </c>
      <c r="AA88" s="43">
        <f t="shared" si="33"/>
        <v>97</v>
      </c>
      <c r="AB88" s="43">
        <f t="shared" si="34"/>
        <v>34</v>
      </c>
      <c r="AC88" s="43">
        <f t="shared" si="35"/>
        <v>723</v>
      </c>
      <c r="AD88" s="43">
        <f t="shared" si="36"/>
        <v>344</v>
      </c>
      <c r="AE88" s="43">
        <f t="shared" si="37"/>
        <v>1067</v>
      </c>
      <c r="AF88" s="45">
        <f t="shared" si="38"/>
        <v>82.68</v>
      </c>
      <c r="AG88" s="45">
        <f t="shared" si="39"/>
        <v>8</v>
      </c>
      <c r="AH88" s="46">
        <f t="shared" si="40"/>
        <v>0</v>
      </c>
      <c r="AI88" s="34">
        <v>0</v>
      </c>
      <c r="AJ88" s="43"/>
      <c r="AK88" s="43">
        <f t="shared" si="41"/>
        <v>91</v>
      </c>
      <c r="AL88" s="47">
        <f t="shared" si="42"/>
        <v>976</v>
      </c>
      <c r="AM88" s="45">
        <f t="shared" si="43"/>
        <v>89.57</v>
      </c>
      <c r="AN88" s="45">
        <f t="shared" si="44"/>
        <v>34.677500000000002</v>
      </c>
      <c r="AO88" s="37">
        <v>0</v>
      </c>
      <c r="AP88" s="43">
        <f t="shared" si="45"/>
        <v>74.690000000000012</v>
      </c>
      <c r="AQ88" s="34">
        <f t="shared" si="46"/>
        <v>1265.9375</v>
      </c>
      <c r="AR88" s="48">
        <f t="shared" si="47"/>
        <v>227.86875000000001</v>
      </c>
      <c r="AS88" s="49">
        <f t="shared" si="48"/>
        <v>1493.8062500000001</v>
      </c>
    </row>
    <row r="89" spans="1:45" ht="32.5" customHeight="1" x14ac:dyDescent="0.4">
      <c r="A89" s="50"/>
      <c r="B89" s="50"/>
      <c r="C89" s="51"/>
      <c r="D89" s="51"/>
      <c r="E89" s="51"/>
      <c r="F89" s="51"/>
      <c r="G89" s="51"/>
      <c r="H89" s="52"/>
      <c r="I89" s="51"/>
      <c r="J89" s="53"/>
      <c r="K89" s="53"/>
      <c r="L89" s="56"/>
      <c r="M89" s="52"/>
      <c r="N89" s="62" t="s">
        <v>609</v>
      </c>
      <c r="O89" s="62"/>
      <c r="P89" s="63"/>
      <c r="Q89" s="64"/>
      <c r="R89" s="64"/>
      <c r="S89" s="65"/>
      <c r="T89" s="65"/>
      <c r="U89" s="65"/>
      <c r="V89" s="43">
        <f t="shared" ref="V89:AS89" si="50">SUM(V6:V88)</f>
        <v>1227</v>
      </c>
      <c r="W89" s="43">
        <f t="shared" si="50"/>
        <v>49</v>
      </c>
      <c r="X89" s="43">
        <f t="shared" si="50"/>
        <v>1276</v>
      </c>
      <c r="Y89" s="43">
        <f t="shared" si="50"/>
        <v>5249</v>
      </c>
      <c r="Z89" s="43">
        <f t="shared" si="50"/>
        <v>765024</v>
      </c>
      <c r="AA89" s="43">
        <f t="shared" si="50"/>
        <v>123232</v>
      </c>
      <c r="AB89" s="43">
        <f t="shared" si="50"/>
        <v>44415</v>
      </c>
      <c r="AC89" s="43">
        <f t="shared" si="50"/>
        <v>932671</v>
      </c>
      <c r="AD89" s="43">
        <f t="shared" si="50"/>
        <v>480460</v>
      </c>
      <c r="AE89" s="43">
        <f t="shared" si="50"/>
        <v>1413131</v>
      </c>
      <c r="AF89" s="43">
        <f t="shared" si="50"/>
        <v>98313.479999999938</v>
      </c>
      <c r="AG89" s="43">
        <f t="shared" si="50"/>
        <v>10597</v>
      </c>
      <c r="AH89" s="43">
        <f t="shared" si="50"/>
        <v>12375</v>
      </c>
      <c r="AI89" s="43">
        <f t="shared" si="50"/>
        <v>0</v>
      </c>
      <c r="AJ89" s="43">
        <f t="shared" si="50"/>
        <v>18000</v>
      </c>
      <c r="AK89" s="43">
        <f t="shared" si="50"/>
        <v>139284</v>
      </c>
      <c r="AL89" s="43">
        <f t="shared" si="50"/>
        <v>1273847</v>
      </c>
      <c r="AM89" s="34">
        <f t="shared" si="50"/>
        <v>106506.27000000008</v>
      </c>
      <c r="AN89" s="34">
        <f t="shared" si="50"/>
        <v>45926.7575</v>
      </c>
      <c r="AO89" s="34">
        <f t="shared" si="50"/>
        <v>0</v>
      </c>
      <c r="AP89" s="34">
        <f t="shared" si="50"/>
        <v>98919.169999999969</v>
      </c>
      <c r="AQ89" s="34">
        <f t="shared" si="50"/>
        <v>1664483.1974999995</v>
      </c>
      <c r="AR89" s="34">
        <f t="shared" si="50"/>
        <v>299606.97555000026</v>
      </c>
      <c r="AS89" s="34">
        <f t="shared" si="50"/>
        <v>1964090.1730499999</v>
      </c>
    </row>
    <row r="91" spans="1:45" hidden="1" x14ac:dyDescent="0.35">
      <c r="AK91" s="60" t="s">
        <v>37</v>
      </c>
      <c r="AL91" s="61">
        <v>106506.27000000008</v>
      </c>
    </row>
    <row r="92" spans="1:45" hidden="1" x14ac:dyDescent="0.35">
      <c r="AK92" s="60" t="s">
        <v>38</v>
      </c>
      <c r="AL92" s="61">
        <v>45926.7575</v>
      </c>
    </row>
    <row r="93" spans="1:45" hidden="1" x14ac:dyDescent="0.35">
      <c r="AK93" s="60" t="s">
        <v>33</v>
      </c>
      <c r="AL93" s="61">
        <v>0</v>
      </c>
    </row>
    <row r="94" spans="1:45" hidden="1" x14ac:dyDescent="0.35">
      <c r="AK94" s="60" t="s">
        <v>39</v>
      </c>
      <c r="AL94" s="61">
        <v>98919.169999999969</v>
      </c>
    </row>
    <row r="95" spans="1:45" hidden="1" x14ac:dyDescent="0.35">
      <c r="AK95" s="60" t="s">
        <v>40</v>
      </c>
      <c r="AL95" s="61">
        <v>1664483.1974999995</v>
      </c>
    </row>
    <row r="96" spans="1:45" hidden="1" x14ac:dyDescent="0.35">
      <c r="AK96" s="60" t="s">
        <v>41</v>
      </c>
      <c r="AL96" s="61">
        <v>299606.97555000026</v>
      </c>
    </row>
    <row r="97" spans="37:38" hidden="1" x14ac:dyDescent="0.35">
      <c r="AK97" s="60" t="s">
        <v>42</v>
      </c>
      <c r="AL97" s="61">
        <v>1964090.1730499999</v>
      </c>
    </row>
  </sheetData>
  <mergeCells count="11">
    <mergeCell ref="A4:B4"/>
    <mergeCell ref="AE3:AL3"/>
    <mergeCell ref="V4:Y4"/>
    <mergeCell ref="A1:AS1"/>
    <mergeCell ref="Z4:AE4"/>
    <mergeCell ref="AF4:AL4"/>
    <mergeCell ref="J4:P4"/>
    <mergeCell ref="Q4:U4"/>
    <mergeCell ref="AM4:AS4"/>
    <mergeCell ref="A3:AB3"/>
    <mergeCell ref="A2:AS2"/>
  </mergeCells>
  <phoneticPr fontId="5" type="noConversion"/>
  <conditionalFormatting sqref="O5:P5">
    <cfRule type="duplicateValues" dxfId="0" priority="1"/>
  </conditionalFormatting>
  <pageMargins left="0.7" right="0.7" top="0.75" bottom="0.75" header="0.3" footer="0.3"/>
  <pageSetup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Wages sheet </vt:lpstr>
      <vt:lpstr>'Wages sheet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Parshu</dc:creator>
  <cp:lastModifiedBy>Parshu Kale</cp:lastModifiedBy>
  <cp:lastPrinted>2026-09-10T10:45:30Z</cp:lastPrinted>
  <dcterms:created xsi:type="dcterms:W3CDTF">2015-06-05T18:17:20Z</dcterms:created>
  <dcterms:modified xsi:type="dcterms:W3CDTF">2026-09-10T10:45:46Z</dcterms:modified>
</cp:coreProperties>
</file>